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05"/>
  <workbookPr/>
  <xr:revisionPtr revIDLastSave="249" documentId="11_0B1D56BE9CDCCE836B02CE7A5FB0D4A9BBFD1C62" xr6:coauthVersionLast="47" xr6:coauthVersionMax="47" xr10:uidLastSave="{B8F1407F-AB68-4B3A-A612-BE1C84F34FE8}"/>
  <bookViews>
    <workbookView xWindow="240" yWindow="105" windowWidth="14805" windowHeight="8010" xr2:uid="{00000000-000D-0000-FFFF-FFFF00000000}"/>
  </bookViews>
  <sheets>
    <sheet name="schema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5" l="1"/>
  <c r="D18" i="5"/>
  <c r="D17" i="5"/>
  <c r="D16" i="5"/>
  <c r="D15" i="5"/>
  <c r="D14" i="5"/>
</calcChain>
</file>

<file path=xl/sharedStrings.xml><?xml version="1.0" encoding="utf-8"?>
<sst xmlns="http://schemas.openxmlformats.org/spreadsheetml/2006/main" count="70" uniqueCount="53">
  <si>
    <t>VISOR MAPA GEOLÒGIC DE CATALUNYA A 1:25000</t>
  </si>
  <si>
    <t>https://www.icgc.cat/Administracio-i-empresa/Eines/Visualitzadors-Geoindex/Geoindex-Mapa-geologic-de-Catalunya-1-25.000</t>
  </si>
  <si>
    <t>type</t>
  </si>
  <si>
    <t>name</t>
  </si>
  <si>
    <t>my_name</t>
  </si>
  <si>
    <t>more info</t>
  </si>
  <si>
    <t>pdf</t>
  </si>
  <si>
    <t>MGC_TBL_ESTIL_GT1_A_M_Pol1</t>
  </si>
  <si>
    <t>xl_pdf1</t>
  </si>
  <si>
    <t>part 1 dels codis i colors cymk en pdf</t>
  </si>
  <si>
    <t>xlsx</t>
  </si>
  <si>
    <t>TBL_reformulació</t>
  </si>
  <si>
    <t>xl_reformulacio</t>
  </si>
  <si>
    <t>passar codificacio antiga a nova</t>
  </si>
  <si>
    <t>MGC_TBL_ESTIL_GT1_N_X_Pol2</t>
  </si>
  <si>
    <t>xl_pdf2</t>
  </si>
  <si>
    <t>part 2 dels codis i colors cymk en pdf</t>
  </si>
  <si>
    <t>MGC_TBL_ESTIL_POL / GT1_Pol</t>
  </si>
  <si>
    <t>xl_estil</t>
  </si>
  <si>
    <t>excel amb codis de colors cymk</t>
  </si>
  <si>
    <t>lyrx</t>
  </si>
  <si>
    <t>gt125mv20sh0fbp1r010_202302</t>
  </si>
  <si>
    <t>xl_basam</t>
  </si>
  <si>
    <t>ArcGis layer with current visor data for diposits prequaternaris</t>
  </si>
  <si>
    <t>gt125mv20sh0fqp1r010_202302</t>
  </si>
  <si>
    <t>xl_quat</t>
  </si>
  <si>
    <t>ArcGis layer with current visor data for basaments prequaternaris</t>
  </si>
  <si>
    <t>paso0</t>
  </si>
  <si>
    <t>paso1</t>
  </si>
  <si>
    <t>paso2</t>
  </si>
  <si>
    <t>paso3</t>
  </si>
  <si>
    <t>paso4</t>
  </si>
  <si>
    <t>paso6</t>
  </si>
  <si>
    <t>abrir todos los ficheros</t>
  </si>
  <si>
    <t>reformular todas tablas a los EPI_ACTUAL</t>
  </si>
  <si>
    <t>preparar datos para comparar (merge columns)</t>
  </si>
  <si>
    <t>filtar filas arcgis</t>
  </si>
  <si>
    <t>mix pdf &lt;--&gt; excel</t>
  </si>
  <si>
    <t>comparar mix &lt;-&gt; arcgis</t>
  </si>
  <si>
    <t>tabla definitiva colores</t>
  </si>
  <si>
    <t>x</t>
  </si>
  <si>
    <t>xl_pdf1_ref</t>
  </si>
  <si>
    <t>arc_pdf1</t>
  </si>
  <si>
    <t>mix_colors1</t>
  </si>
  <si>
    <t>arc_definitive1</t>
  </si>
  <si>
    <t>opcional( va ser un procés separat, però es poden unir la taula del pdf1 amb el pdf2 per tal que el procés sigui complet, tot alhora</t>
  </si>
  <si>
    <t>xl_pdf2_ref</t>
  </si>
  <si>
    <t>arc_pdf2</t>
  </si>
  <si>
    <t>mix_colors2</t>
  </si>
  <si>
    <t>arc_definitive2</t>
  </si>
  <si>
    <t>xl_est_pol</t>
  </si>
  <si>
    <t>arc_estils</t>
  </si>
  <si>
    <t>arc_basam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</si>
</sst>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rgb="FF006100"/>
      <name val="Calibri"/>
      <scheme val="minor"/>
    </font>
    <font>
      <sz val="11"/>
      <color rgb="FF9C57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3" fillId="2" borderId="0" applyNumberFormat="0" applyBorder="0" applyAlignment="0" applyProtection="0"/>
    <xf numFmtId="0" fontId="4" fillId="3" borderId="0" applyNumberFormat="0" applyBorder="0" applyAlignment="0" applyProtection="0"/>
  </cellStyleXfs>
  <cellXfs count="7">
    <xf numFmtId="0" fontId="0" fillId="0" borderId="0" xfId="0"/>
    <xf numFmtId="0" fontId="1" fillId="0" borderId="0" xfId="1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3" fillId="2" borderId="0" xfId="2"/>
    <xf numFmtId="0" fontId="4" fillId="3" borderId="1" xfId="3" applyBorder="1"/>
  </cellXfs>
  <cellStyles count="4">
    <cellStyle name="Good" xfId="2" builtinId="26"/>
    <cellStyle name="Hyperlink" xfId="1" builtinId="8"/>
    <cellStyle name="Neutral" xfId="3" builtinId="2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9B22BE-8C38-478B-BD24-EC29883C191A}" name="Table1" displayName="Table1" ref="B3:E9" totalsRowShown="0">
  <autoFilter ref="B3:E9" xr:uid="{319B22BE-8C38-478B-BD24-EC29883C191A}"/>
  <tableColumns count="4">
    <tableColumn id="1" xr3:uid="{34E03750-8E08-46EB-A7B7-06672FB953DB}" name="type"/>
    <tableColumn id="2" xr3:uid="{8187737A-6A62-4C5A-8F7E-075E19FB320A}" name="name"/>
    <tableColumn id="3" xr3:uid="{009C033E-796F-4322-A757-116DC155B43F}" name="my_name"/>
    <tableColumn id="4" xr3:uid="{37E0D685-B766-45E0-B884-5DB1EE428B22}" name="more info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icgc.cat/Administracio-i-empresa/Eines/Visualitzadors-Geoindex/Geoindex-Mapa-geologic-de-Catalunya-1-25.0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D7213-2B3C-4BE7-90CD-B78B1C17595C}">
  <dimension ref="A1:N19"/>
  <sheetViews>
    <sheetView tabSelected="1" topLeftCell="A6" workbookViewId="0">
      <selection activeCell="E10" sqref="E10"/>
    </sheetView>
  </sheetViews>
  <sheetFormatPr defaultRowHeight="15"/>
  <cols>
    <col min="2" max="2" width="12.42578125" customWidth="1"/>
    <col min="3" max="3" width="40" customWidth="1"/>
    <col min="4" max="4" width="23.85546875" customWidth="1"/>
    <col min="5" max="5" width="27.140625" customWidth="1"/>
    <col min="6" max="6" width="23.5703125" customWidth="1"/>
    <col min="7" max="7" width="13.85546875" customWidth="1"/>
    <col min="8" max="12" width="23.5703125" customWidth="1"/>
  </cols>
  <sheetData>
    <row r="1" spans="1:14" ht="18.75">
      <c r="A1" s="2" t="s">
        <v>0</v>
      </c>
      <c r="B1" s="2"/>
      <c r="C1" s="2"/>
      <c r="D1" s="1" t="s">
        <v>1</v>
      </c>
    </row>
    <row r="3" spans="1:14">
      <c r="B3" t="s">
        <v>2</v>
      </c>
      <c r="C3" t="s">
        <v>3</v>
      </c>
      <c r="D3" t="s">
        <v>4</v>
      </c>
      <c r="E3" t="s">
        <v>5</v>
      </c>
    </row>
    <row r="4" spans="1:14">
      <c r="B4" t="s">
        <v>6</v>
      </c>
      <c r="C4" t="s">
        <v>7</v>
      </c>
      <c r="D4" t="s">
        <v>8</v>
      </c>
      <c r="E4" t="s">
        <v>9</v>
      </c>
    </row>
    <row r="5" spans="1:14">
      <c r="B5" t="s">
        <v>10</v>
      </c>
      <c r="C5" t="s">
        <v>11</v>
      </c>
      <c r="D5" t="s">
        <v>12</v>
      </c>
      <c r="E5" t="s">
        <v>13</v>
      </c>
    </row>
    <row r="6" spans="1:14">
      <c r="B6" t="s">
        <v>6</v>
      </c>
      <c r="C6" t="s">
        <v>14</v>
      </c>
      <c r="D6" t="s">
        <v>15</v>
      </c>
      <c r="E6" t="s">
        <v>16</v>
      </c>
    </row>
    <row r="7" spans="1:14">
      <c r="B7" t="s">
        <v>10</v>
      </c>
      <c r="C7" t="s">
        <v>17</v>
      </c>
      <c r="D7" t="s">
        <v>18</v>
      </c>
      <c r="E7" t="s">
        <v>19</v>
      </c>
    </row>
    <row r="8" spans="1:14">
      <c r="B8" t="s">
        <v>20</v>
      </c>
      <c r="C8" t="s">
        <v>21</v>
      </c>
      <c r="D8" t="s">
        <v>22</v>
      </c>
      <c r="E8" t="s">
        <v>23</v>
      </c>
    </row>
    <row r="9" spans="1:14">
      <c r="B9" t="s">
        <v>20</v>
      </c>
      <c r="C9" t="s">
        <v>24</v>
      </c>
      <c r="D9" t="s">
        <v>25</v>
      </c>
      <c r="E9" t="s">
        <v>26</v>
      </c>
    </row>
    <row r="12" spans="1:14">
      <c r="E12" t="s">
        <v>27</v>
      </c>
      <c r="F12" t="s">
        <v>28</v>
      </c>
      <c r="H12" t="s">
        <v>29</v>
      </c>
      <c r="I12" t="s">
        <v>30</v>
      </c>
      <c r="J12" t="s">
        <v>31</v>
      </c>
      <c r="K12" t="s">
        <v>31</v>
      </c>
      <c r="N12" t="s">
        <v>32</v>
      </c>
    </row>
    <row r="13" spans="1:14">
      <c r="E13" t="s">
        <v>33</v>
      </c>
      <c r="F13" t="s">
        <v>34</v>
      </c>
      <c r="H13" t="s">
        <v>35</v>
      </c>
      <c r="I13" t="s">
        <v>36</v>
      </c>
      <c r="J13" t="s">
        <v>37</v>
      </c>
      <c r="K13" t="s">
        <v>38</v>
      </c>
      <c r="N13" t="s">
        <v>39</v>
      </c>
    </row>
    <row r="14" spans="1:14">
      <c r="D14" s="3" t="str">
        <f>D4</f>
        <v>xl_pdf1</v>
      </c>
      <c r="E14" t="s">
        <v>40</v>
      </c>
      <c r="F14" t="s">
        <v>40</v>
      </c>
      <c r="G14" t="s">
        <v>41</v>
      </c>
      <c r="I14" s="5" t="s">
        <v>42</v>
      </c>
      <c r="J14" t="s">
        <v>43</v>
      </c>
      <c r="K14" s="5" t="s">
        <v>44</v>
      </c>
    </row>
    <row r="15" spans="1:14">
      <c r="D15" s="3" t="str">
        <f t="shared" ref="D15:D19" si="0">D5</f>
        <v>xl_reformulacio</v>
      </c>
      <c r="E15" t="s">
        <v>40</v>
      </c>
      <c r="F15" t="s">
        <v>40</v>
      </c>
    </row>
    <row r="16" spans="1:14">
      <c r="C16" t="s">
        <v>45</v>
      </c>
      <c r="D16" s="6" t="str">
        <f t="shared" si="0"/>
        <v>xl_pdf2</v>
      </c>
      <c r="E16" t="s">
        <v>40</v>
      </c>
      <c r="F16" t="s">
        <v>40</v>
      </c>
      <c r="G16" t="s">
        <v>46</v>
      </c>
      <c r="I16" s="5" t="s">
        <v>47</v>
      </c>
      <c r="J16" t="s">
        <v>48</v>
      </c>
      <c r="K16" s="5" t="s">
        <v>49</v>
      </c>
    </row>
    <row r="17" spans="4:9">
      <c r="D17" s="3" t="str">
        <f t="shared" si="0"/>
        <v>xl_estil</v>
      </c>
      <c r="E17" t="s">
        <v>40</v>
      </c>
      <c r="F17" t="s">
        <v>40</v>
      </c>
      <c r="G17" t="s">
        <v>50</v>
      </c>
      <c r="H17" t="s">
        <v>40</v>
      </c>
      <c r="I17" s="5" t="s">
        <v>51</v>
      </c>
    </row>
    <row r="18" spans="4:9">
      <c r="D18" s="3" t="str">
        <f t="shared" si="0"/>
        <v>xl_basam</v>
      </c>
      <c r="E18" t="s">
        <v>40</v>
      </c>
      <c r="F18" t="s">
        <v>40</v>
      </c>
      <c r="G18" t="s">
        <v>22</v>
      </c>
      <c r="H18" t="s">
        <v>40</v>
      </c>
      <c r="I18" s="5" t="s">
        <v>52</v>
      </c>
    </row>
    <row r="19" spans="4:9">
      <c r="D19" s="4" t="str">
        <f t="shared" si="0"/>
        <v>xl_quat</v>
      </c>
      <c r="E19" t="s">
        <v>40</v>
      </c>
    </row>
  </sheetData>
  <conditionalFormatting sqref="E14:M19">
    <cfRule type="containsText" dxfId="1" priority="2" operator="containsText" text="x">
      <formula>NOT(ISERROR(SEARCH("x",E14)))</formula>
    </cfRule>
  </conditionalFormatting>
  <conditionalFormatting sqref="E14:G19">
    <cfRule type="containsText" dxfId="0" priority="1" operator="containsText" text="no">
      <formula>NOT(ISERROR(SEARCH("no",E14)))</formula>
    </cfRule>
  </conditionalFormatting>
  <hyperlinks>
    <hyperlink ref="D1" r:id="rId1" xr:uid="{30A0D584-DC6F-41B4-9514-1DAF62948E72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Becari Marcos, Alex</cp:lastModifiedBy>
  <cp:revision/>
  <dcterms:created xsi:type="dcterms:W3CDTF">2024-03-06T08:31:34Z</dcterms:created>
  <dcterms:modified xsi:type="dcterms:W3CDTF">2024-04-10T10:47:28Z</dcterms:modified>
  <cp:category/>
  <cp:contentStatus/>
</cp:coreProperties>
</file>
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/>
  <xr:revisionPtr revIDLastSave="3530" documentId="11_76E333C3D35E3076AEF54300101AD684F6CCF83D" xr6:coauthVersionLast="47" xr6:coauthVersionMax="47" xr10:uidLastSave="{376548A1-7110-4BB9-936E-9D72329D858F}"/>
  <bookViews>
    <workbookView xWindow="0" yWindow="0" windowWidth="0" windowHeight="0" firstSheet="2" activeTab="2" xr2:uid="{00000000-000D-0000-FFFF-FFFF00000000}"/>
  </bookViews>
  <sheets>
    <sheet name="cd1" sheetId="1" r:id="rId1"/>
    <sheet name="cd2" sheetId="2" r:id="rId2"/>
    <sheet name="CD_TOT" sheetId="3" r:id="rId3"/>
  </sheets>
  <definedNames>
    <definedName name="_xlnm._FilterDatabase" localSheetId="2" hidden="1">CD_TOT!$A$1:$G$1577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95" i="3" l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693" i="3"/>
  <c r="A694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B1546" i="3"/>
  <c r="C1545" i="3"/>
  <c r="B1545" i="3"/>
  <c r="C1544" i="3"/>
  <c r="B1544" i="3"/>
  <c r="C1543" i="3"/>
  <c r="B1543" i="3"/>
  <c r="C1542" i="3"/>
  <c r="B1542" i="3"/>
  <c r="C1541" i="3"/>
  <c r="B1541" i="3"/>
  <c r="C1540" i="3"/>
  <c r="B1540" i="3"/>
  <c r="C1539" i="3"/>
  <c r="B1539" i="3"/>
  <c r="C1538" i="3"/>
  <c r="B1538" i="3"/>
  <c r="C1537" i="3"/>
  <c r="B1537" i="3"/>
  <c r="C1536" i="3"/>
  <c r="B1536" i="3"/>
  <c r="C1535" i="3"/>
  <c r="B1535" i="3"/>
  <c r="C1534" i="3"/>
  <c r="B1534" i="3"/>
  <c r="C1533" i="3"/>
  <c r="B1533" i="3"/>
  <c r="C1532" i="3"/>
  <c r="B1532" i="3"/>
  <c r="C1531" i="3"/>
  <c r="B1531" i="3"/>
  <c r="C1530" i="3"/>
  <c r="B1530" i="3"/>
  <c r="C1529" i="3"/>
  <c r="B1529" i="3"/>
  <c r="C1528" i="3"/>
  <c r="B1528" i="3"/>
  <c r="C1527" i="3"/>
  <c r="B1527" i="3"/>
  <c r="C1526" i="3"/>
  <c r="B1526" i="3"/>
  <c r="C1525" i="3"/>
  <c r="B1525" i="3"/>
  <c r="C1524" i="3"/>
  <c r="B1524" i="3"/>
  <c r="C1523" i="3"/>
  <c r="B1523" i="3"/>
  <c r="C1522" i="3"/>
  <c r="B1522" i="3"/>
  <c r="C1521" i="3"/>
  <c r="B1521" i="3"/>
  <c r="C1520" i="3"/>
  <c r="B1520" i="3"/>
  <c r="C1519" i="3"/>
  <c r="B1519" i="3"/>
  <c r="C1518" i="3"/>
  <c r="B1518" i="3"/>
  <c r="C1517" i="3"/>
  <c r="B1517" i="3"/>
  <c r="C1516" i="3"/>
  <c r="B1516" i="3"/>
  <c r="C1515" i="3"/>
  <c r="B1515" i="3"/>
  <c r="C1514" i="3"/>
  <c r="B1514" i="3"/>
  <c r="C1513" i="3"/>
  <c r="B1513" i="3"/>
  <c r="C1512" i="3"/>
  <c r="B1512" i="3"/>
  <c r="C1511" i="3"/>
  <c r="B1511" i="3"/>
  <c r="C1510" i="3"/>
  <c r="B1510" i="3"/>
  <c r="C1509" i="3"/>
  <c r="B1509" i="3"/>
  <c r="C1508" i="3"/>
  <c r="B1508" i="3"/>
  <c r="C1507" i="3"/>
  <c r="B1507" i="3"/>
  <c r="C1506" i="3"/>
  <c r="B1506" i="3"/>
  <c r="C1505" i="3"/>
  <c r="B1505" i="3"/>
  <c r="C1504" i="3"/>
  <c r="B1504" i="3"/>
  <c r="C1503" i="3"/>
  <c r="B1503" i="3"/>
  <c r="C1502" i="3"/>
  <c r="B1502" i="3"/>
  <c r="C1501" i="3"/>
  <c r="B1501" i="3"/>
  <c r="C1500" i="3"/>
  <c r="B1500" i="3"/>
  <c r="C1499" i="3"/>
  <c r="B1499" i="3"/>
  <c r="C1498" i="3"/>
  <c r="B1498" i="3"/>
  <c r="C1497" i="3"/>
  <c r="B1497" i="3"/>
  <c r="C1496" i="3"/>
  <c r="B1496" i="3"/>
  <c r="C1495" i="3"/>
  <c r="B1495" i="3"/>
  <c r="C1494" i="3"/>
  <c r="B1494" i="3"/>
  <c r="C1493" i="3"/>
  <c r="B1493" i="3"/>
  <c r="C1492" i="3"/>
  <c r="B1492" i="3"/>
  <c r="C1491" i="3"/>
  <c r="B1491" i="3"/>
  <c r="C1490" i="3"/>
  <c r="B1490" i="3"/>
  <c r="C1489" i="3"/>
  <c r="B1489" i="3"/>
  <c r="C1488" i="3"/>
  <c r="B1488" i="3"/>
  <c r="C1487" i="3"/>
  <c r="B1487" i="3"/>
  <c r="C1486" i="3"/>
  <c r="B1486" i="3"/>
  <c r="C1485" i="3"/>
  <c r="B1485" i="3"/>
  <c r="C1484" i="3"/>
  <c r="B1484" i="3"/>
  <c r="C1483" i="3"/>
  <c r="B1483" i="3"/>
  <c r="C1482" i="3"/>
  <c r="B1482" i="3"/>
  <c r="C1481" i="3"/>
  <c r="B1481" i="3"/>
  <c r="C1480" i="3"/>
  <c r="B1480" i="3"/>
  <c r="C1479" i="3"/>
  <c r="B1479" i="3"/>
  <c r="C1478" i="3"/>
  <c r="B1478" i="3"/>
  <c r="C1477" i="3"/>
  <c r="B1477" i="3"/>
  <c r="C1476" i="3"/>
  <c r="B1476" i="3"/>
  <c r="C1475" i="3"/>
  <c r="B1475" i="3"/>
  <c r="C1474" i="3"/>
  <c r="B1474" i="3"/>
  <c r="C1473" i="3"/>
  <c r="B1473" i="3"/>
  <c r="C1472" i="3"/>
  <c r="B1472" i="3"/>
  <c r="C1471" i="3"/>
  <c r="B1471" i="3"/>
  <c r="C1470" i="3"/>
  <c r="B1470" i="3"/>
  <c r="C1469" i="3"/>
  <c r="B1469" i="3"/>
  <c r="C1468" i="3"/>
  <c r="B1468" i="3"/>
  <c r="C1467" i="3"/>
  <c r="B1467" i="3"/>
  <c r="C1466" i="3"/>
  <c r="B1466" i="3"/>
  <c r="C1465" i="3"/>
  <c r="B1465" i="3"/>
  <c r="C1464" i="3"/>
  <c r="B1464" i="3"/>
  <c r="C1463" i="3"/>
  <c r="B1463" i="3"/>
  <c r="C1462" i="3"/>
  <c r="B1462" i="3"/>
  <c r="C1461" i="3"/>
  <c r="B1461" i="3"/>
  <c r="C1460" i="3"/>
  <c r="B1460" i="3"/>
  <c r="C1459" i="3"/>
  <c r="B1459" i="3"/>
  <c r="C1458" i="3"/>
  <c r="B1458" i="3"/>
  <c r="C1457" i="3"/>
  <c r="B1457" i="3"/>
  <c r="C1456" i="3"/>
  <c r="B1456" i="3"/>
  <c r="C1455" i="3"/>
  <c r="B1455" i="3"/>
  <c r="C1454" i="3"/>
  <c r="B1454" i="3"/>
  <c r="C1453" i="3"/>
  <c r="B1453" i="3"/>
  <c r="C1452" i="3"/>
  <c r="B1452" i="3"/>
  <c r="C1451" i="3"/>
  <c r="B1451" i="3"/>
  <c r="C1450" i="3"/>
  <c r="B1450" i="3"/>
  <c r="C1449" i="3"/>
  <c r="B1449" i="3"/>
  <c r="C1448" i="3"/>
  <c r="B1448" i="3"/>
  <c r="C1447" i="3"/>
  <c r="B1447" i="3"/>
  <c r="C1446" i="3"/>
  <c r="B1446" i="3"/>
  <c r="C1445" i="3"/>
  <c r="B1445" i="3"/>
  <c r="C1444" i="3"/>
  <c r="B1444" i="3"/>
  <c r="C1443" i="3"/>
  <c r="B1443" i="3"/>
  <c r="C1442" i="3"/>
  <c r="B1442" i="3"/>
  <c r="C1441" i="3"/>
  <c r="B1441" i="3"/>
  <c r="C1440" i="3"/>
  <c r="B1440" i="3"/>
  <c r="C1439" i="3"/>
  <c r="B1439" i="3"/>
  <c r="C1438" i="3"/>
  <c r="B1438" i="3"/>
  <c r="C1437" i="3"/>
  <c r="B1437" i="3"/>
  <c r="C1436" i="3"/>
  <c r="B1436" i="3"/>
  <c r="C1435" i="3"/>
  <c r="B1435" i="3"/>
  <c r="C1434" i="3"/>
  <c r="B1434" i="3"/>
  <c r="C1433" i="3"/>
  <c r="B1433" i="3"/>
  <c r="C1432" i="3"/>
  <c r="B1432" i="3"/>
  <c r="C1431" i="3"/>
  <c r="B1431" i="3"/>
  <c r="C1430" i="3"/>
  <c r="B1430" i="3"/>
  <c r="C1429" i="3"/>
  <c r="B1429" i="3"/>
  <c r="C1428" i="3"/>
  <c r="B1428" i="3"/>
  <c r="C1427" i="3"/>
  <c r="B1427" i="3"/>
  <c r="C1426" i="3"/>
  <c r="B1426" i="3"/>
  <c r="C1425" i="3"/>
  <c r="B1425" i="3"/>
  <c r="C1424" i="3"/>
  <c r="B1424" i="3"/>
  <c r="C1423" i="3"/>
  <c r="B1423" i="3"/>
  <c r="C1422" i="3"/>
  <c r="B1422" i="3"/>
  <c r="C1421" i="3"/>
  <c r="B1421" i="3"/>
  <c r="C1420" i="3"/>
  <c r="B1420" i="3"/>
  <c r="C1419" i="3"/>
  <c r="B1419" i="3"/>
  <c r="C1418" i="3"/>
  <c r="B1418" i="3"/>
  <c r="C1417" i="3"/>
  <c r="B1417" i="3"/>
  <c r="C1416" i="3"/>
  <c r="B1416" i="3"/>
  <c r="C1415" i="3"/>
  <c r="B1415" i="3"/>
  <c r="C1414" i="3"/>
  <c r="B1414" i="3"/>
  <c r="C1413" i="3"/>
  <c r="B1413" i="3"/>
  <c r="C1412" i="3"/>
  <c r="B1412" i="3"/>
  <c r="C1411" i="3"/>
  <c r="B1411" i="3"/>
  <c r="C1410" i="3"/>
  <c r="B1410" i="3"/>
  <c r="C1409" i="3"/>
  <c r="B1409" i="3"/>
  <c r="C1408" i="3"/>
  <c r="B1408" i="3"/>
  <c r="C1407" i="3"/>
  <c r="B1407" i="3"/>
  <c r="C1406" i="3"/>
  <c r="B1406" i="3"/>
  <c r="C1405" i="3"/>
  <c r="B1405" i="3"/>
  <c r="C1404" i="3"/>
  <c r="B1404" i="3"/>
  <c r="C1403" i="3"/>
  <c r="B1403" i="3"/>
  <c r="C1402" i="3"/>
  <c r="B1402" i="3"/>
  <c r="C1401" i="3"/>
  <c r="B1401" i="3"/>
  <c r="C1400" i="3"/>
  <c r="B1400" i="3"/>
  <c r="C1399" i="3"/>
  <c r="B1399" i="3"/>
  <c r="C1398" i="3"/>
  <c r="B1398" i="3"/>
  <c r="C1397" i="3"/>
  <c r="B1397" i="3"/>
  <c r="C1396" i="3"/>
  <c r="B1396" i="3"/>
  <c r="C1395" i="3"/>
  <c r="B1395" i="3"/>
  <c r="C1394" i="3"/>
  <c r="B1394" i="3"/>
  <c r="C1393" i="3"/>
  <c r="B1393" i="3"/>
  <c r="C1392" i="3"/>
  <c r="B1392" i="3"/>
  <c r="C1391" i="3"/>
  <c r="B1391" i="3"/>
  <c r="C1390" i="3"/>
  <c r="B1390" i="3"/>
  <c r="C1389" i="3"/>
  <c r="B1389" i="3"/>
  <c r="C1388" i="3"/>
  <c r="B1388" i="3"/>
  <c r="C1387" i="3"/>
  <c r="B1387" i="3"/>
  <c r="C1386" i="3"/>
  <c r="B1386" i="3"/>
  <c r="C1385" i="3"/>
  <c r="B1385" i="3"/>
  <c r="C1384" i="3"/>
  <c r="B1384" i="3"/>
  <c r="C1383" i="3"/>
  <c r="B1383" i="3"/>
  <c r="C1382" i="3"/>
  <c r="B1382" i="3"/>
  <c r="C1381" i="3"/>
  <c r="B1381" i="3"/>
  <c r="C1380" i="3"/>
  <c r="B1380" i="3"/>
  <c r="C1379" i="3"/>
  <c r="B1379" i="3"/>
  <c r="C1378" i="3"/>
  <c r="B1378" i="3"/>
  <c r="C1377" i="3"/>
  <c r="B1377" i="3"/>
  <c r="C1376" i="3"/>
  <c r="B1376" i="3"/>
  <c r="C1375" i="3"/>
  <c r="B1375" i="3"/>
  <c r="C1374" i="3"/>
  <c r="B1374" i="3"/>
  <c r="C1373" i="3"/>
  <c r="B1373" i="3"/>
  <c r="C1372" i="3"/>
  <c r="B1372" i="3"/>
  <c r="C1371" i="3"/>
  <c r="B1371" i="3"/>
  <c r="C1370" i="3"/>
  <c r="B1370" i="3"/>
  <c r="C1369" i="3"/>
  <c r="B1369" i="3"/>
  <c r="C1368" i="3"/>
  <c r="B1368" i="3"/>
  <c r="C1367" i="3"/>
  <c r="B1367" i="3"/>
  <c r="C1366" i="3"/>
  <c r="B1366" i="3"/>
  <c r="C1365" i="3"/>
  <c r="B1365" i="3"/>
  <c r="C1364" i="3"/>
  <c r="B1364" i="3"/>
  <c r="C1363" i="3"/>
  <c r="B1363" i="3"/>
  <c r="C1362" i="3"/>
  <c r="B1362" i="3"/>
  <c r="C1361" i="3"/>
  <c r="B1361" i="3"/>
  <c r="C1360" i="3"/>
  <c r="B1360" i="3"/>
  <c r="C1359" i="3"/>
  <c r="B1359" i="3"/>
  <c r="C1358" i="3"/>
  <c r="B1358" i="3"/>
  <c r="C1357" i="3"/>
  <c r="B1357" i="3"/>
  <c r="C1356" i="3"/>
  <c r="B1356" i="3"/>
  <c r="C1355" i="3"/>
  <c r="B1355" i="3"/>
  <c r="C1354" i="3"/>
  <c r="C1353" i="3"/>
  <c r="C1352" i="3"/>
  <c r="C1351" i="3"/>
  <c r="B1351" i="3"/>
  <c r="C1350" i="3"/>
  <c r="B1350" i="3"/>
  <c r="C1349" i="3"/>
  <c r="B1349" i="3"/>
  <c r="C1348" i="3"/>
  <c r="B1348" i="3"/>
  <c r="C1347" i="3"/>
  <c r="B1347" i="3"/>
  <c r="C1346" i="3"/>
  <c r="B1346" i="3"/>
  <c r="C1345" i="3"/>
  <c r="B1345" i="3"/>
  <c r="C1344" i="3"/>
  <c r="B1344" i="3"/>
  <c r="C1343" i="3"/>
  <c r="B1343" i="3"/>
  <c r="C1342" i="3"/>
  <c r="B1342" i="3"/>
  <c r="C1341" i="3"/>
  <c r="B1341" i="3"/>
  <c r="C1340" i="3"/>
  <c r="B1340" i="3"/>
  <c r="C1339" i="3"/>
  <c r="B1339" i="3"/>
  <c r="C1338" i="3"/>
  <c r="B1338" i="3"/>
  <c r="C1337" i="3"/>
  <c r="B1337" i="3"/>
  <c r="C1336" i="3"/>
  <c r="B1336" i="3"/>
  <c r="C1335" i="3"/>
  <c r="B1335" i="3"/>
  <c r="C1334" i="3"/>
  <c r="B1334" i="3"/>
  <c r="C1333" i="3"/>
  <c r="B1333" i="3"/>
  <c r="C1332" i="3"/>
  <c r="B1332" i="3"/>
  <c r="C1331" i="3"/>
  <c r="B1331" i="3"/>
  <c r="C1330" i="3"/>
  <c r="B1330" i="3"/>
  <c r="C1329" i="3"/>
  <c r="B1329" i="3"/>
  <c r="C1328" i="3"/>
  <c r="B1328" i="3"/>
  <c r="C1327" i="3"/>
  <c r="B1327" i="3"/>
  <c r="C1326" i="3"/>
  <c r="B1326" i="3"/>
  <c r="C1325" i="3"/>
  <c r="B1325" i="3"/>
  <c r="C1324" i="3"/>
  <c r="B1324" i="3"/>
  <c r="C1323" i="3"/>
  <c r="B1323" i="3"/>
  <c r="C1322" i="3"/>
  <c r="B1322" i="3"/>
  <c r="C1321" i="3"/>
  <c r="B1321" i="3"/>
  <c r="C1320" i="3"/>
  <c r="B1320" i="3"/>
  <c r="C1319" i="3"/>
  <c r="B1319" i="3"/>
  <c r="C1318" i="3"/>
  <c r="B1318" i="3"/>
  <c r="C1317" i="3"/>
  <c r="B1317" i="3"/>
  <c r="C1316" i="3"/>
  <c r="B1316" i="3"/>
  <c r="C1315" i="3"/>
  <c r="B1315" i="3"/>
  <c r="C1314" i="3"/>
  <c r="B1314" i="3"/>
  <c r="C1313" i="3"/>
  <c r="B1313" i="3"/>
  <c r="C1312" i="3"/>
  <c r="B1312" i="3"/>
  <c r="C1311" i="3"/>
  <c r="B1311" i="3"/>
  <c r="C1310" i="3"/>
  <c r="B1310" i="3"/>
  <c r="C1309" i="3"/>
  <c r="B1309" i="3"/>
  <c r="C1308" i="3"/>
  <c r="B1308" i="3"/>
  <c r="C1307" i="3"/>
  <c r="B1307" i="3"/>
  <c r="C1306" i="3"/>
  <c r="C1305" i="3"/>
  <c r="C1304" i="3"/>
  <c r="B1304" i="3"/>
  <c r="C1303" i="3"/>
  <c r="C1302" i="3"/>
  <c r="B1302" i="3"/>
  <c r="C1301" i="3"/>
  <c r="B1301" i="3"/>
  <c r="C1300" i="3"/>
  <c r="B1300" i="3"/>
  <c r="C1299" i="3"/>
  <c r="B1299" i="3"/>
  <c r="C1298" i="3"/>
  <c r="B1298" i="3"/>
  <c r="C1297" i="3"/>
  <c r="B1297" i="3"/>
  <c r="C1296" i="3"/>
  <c r="B1296" i="3"/>
  <c r="C1295" i="3"/>
  <c r="B1295" i="3"/>
  <c r="C1294" i="3"/>
  <c r="B1294" i="3"/>
  <c r="C1293" i="3"/>
  <c r="B1293" i="3"/>
  <c r="C1292" i="3"/>
  <c r="B1292" i="3"/>
  <c r="C1291" i="3"/>
  <c r="B1291" i="3"/>
  <c r="C1290" i="3"/>
  <c r="B1290" i="3"/>
  <c r="C1289" i="3"/>
  <c r="B1289" i="3"/>
  <c r="C1288" i="3"/>
  <c r="B1288" i="3"/>
  <c r="C1287" i="3"/>
  <c r="B1287" i="3"/>
  <c r="C1286" i="3"/>
  <c r="C1285" i="3"/>
  <c r="C1284" i="3"/>
  <c r="C1283" i="3"/>
  <c r="C1282" i="3"/>
  <c r="C1281" i="3"/>
  <c r="B1281" i="3"/>
  <c r="C1280" i="3"/>
  <c r="B1280" i="3"/>
  <c r="C1279" i="3"/>
  <c r="B1279" i="3"/>
  <c r="C1278" i="3"/>
  <c r="B1278" i="3"/>
  <c r="C1277" i="3"/>
  <c r="B1277" i="3"/>
  <c r="C1276" i="3"/>
  <c r="B1276" i="3"/>
  <c r="C1275" i="3"/>
  <c r="B1275" i="3"/>
  <c r="C1274" i="3"/>
  <c r="B1274" i="3"/>
  <c r="C1273" i="3"/>
  <c r="B1273" i="3"/>
  <c r="C1272" i="3"/>
  <c r="B1272" i="3"/>
  <c r="C1271" i="3"/>
  <c r="B1271" i="3"/>
  <c r="C1270" i="3"/>
  <c r="B1270" i="3"/>
  <c r="C1269" i="3"/>
  <c r="B1269" i="3"/>
  <c r="C1268" i="3"/>
  <c r="B1268" i="3"/>
  <c r="C1267" i="3"/>
  <c r="B1267" i="3"/>
  <c r="C1266" i="3"/>
  <c r="B1266" i="3"/>
  <c r="C1265" i="3"/>
  <c r="B1265" i="3"/>
  <c r="C1264" i="3"/>
  <c r="B1264" i="3"/>
  <c r="C1263" i="3"/>
  <c r="B1263" i="3"/>
  <c r="C1262" i="3"/>
  <c r="B1262" i="3"/>
  <c r="C1261" i="3"/>
  <c r="B1261" i="3"/>
  <c r="C1260" i="3"/>
  <c r="B1260" i="3"/>
  <c r="C1259" i="3"/>
  <c r="C1258" i="3"/>
  <c r="B1258" i="3"/>
  <c r="C1257" i="3"/>
  <c r="B1257" i="3"/>
  <c r="C1256" i="3"/>
  <c r="B1256" i="3"/>
  <c r="C1255" i="3"/>
  <c r="B1255" i="3"/>
  <c r="C1254" i="3"/>
  <c r="B1254" i="3"/>
  <c r="C1253" i="3"/>
  <c r="B1253" i="3"/>
  <c r="C1252" i="3"/>
  <c r="B1252" i="3"/>
  <c r="C1251" i="3"/>
  <c r="B1251" i="3"/>
  <c r="C1250" i="3"/>
  <c r="B1250" i="3"/>
  <c r="C1249" i="3"/>
  <c r="B1249" i="3"/>
  <c r="C1248" i="3"/>
  <c r="B1248" i="3"/>
  <c r="C1247" i="3"/>
  <c r="B1247" i="3"/>
  <c r="C1246" i="3"/>
  <c r="B1246" i="3"/>
  <c r="C1245" i="3"/>
  <c r="B1245" i="3"/>
  <c r="C1244" i="3"/>
  <c r="B1244" i="3"/>
  <c r="C1243" i="3"/>
  <c r="B1243" i="3"/>
  <c r="C1242" i="3"/>
  <c r="B1242" i="3"/>
  <c r="C1241" i="3"/>
  <c r="B1241" i="3"/>
  <c r="C1240" i="3"/>
  <c r="B1240" i="3"/>
  <c r="C1238" i="3"/>
  <c r="C1237" i="3"/>
  <c r="B1237" i="3"/>
  <c r="C1236" i="3"/>
  <c r="B1236" i="3"/>
  <c r="C1235" i="3"/>
  <c r="B1235" i="3"/>
  <c r="C1234" i="3"/>
  <c r="B1234" i="3"/>
  <c r="C1233" i="3"/>
  <c r="B1233" i="3"/>
  <c r="C1232" i="3"/>
  <c r="C1231" i="3"/>
  <c r="B1231" i="3"/>
  <c r="C1230" i="3"/>
  <c r="B1230" i="3"/>
  <c r="C1229" i="3"/>
  <c r="B1229" i="3"/>
  <c r="C1228" i="3"/>
  <c r="B1228" i="3"/>
  <c r="C1227" i="3"/>
  <c r="B1227" i="3"/>
  <c r="C1226" i="3"/>
  <c r="B1226" i="3"/>
  <c r="C1225" i="3"/>
  <c r="B1225" i="3"/>
  <c r="C1224" i="3"/>
  <c r="B1224" i="3"/>
  <c r="C1223" i="3"/>
  <c r="B1223" i="3"/>
  <c r="C1222" i="3"/>
  <c r="B1222" i="3"/>
  <c r="C1221" i="3"/>
  <c r="B1221" i="3"/>
  <c r="C1220" i="3"/>
  <c r="B1220" i="3"/>
  <c r="C1219" i="3"/>
  <c r="B1219" i="3"/>
  <c r="C1218" i="3"/>
  <c r="B1218" i="3"/>
  <c r="C1217" i="3"/>
  <c r="B1217" i="3"/>
  <c r="C1216" i="3"/>
  <c r="B1216" i="3"/>
  <c r="C1215" i="3"/>
  <c r="C1214" i="3"/>
  <c r="B1214" i="3"/>
  <c r="C1213" i="3"/>
  <c r="B1213" i="3"/>
  <c r="C1212" i="3"/>
  <c r="B1212" i="3"/>
  <c r="C1211" i="3"/>
  <c r="B1211" i="3"/>
  <c r="C1210" i="3"/>
  <c r="B1210" i="3"/>
  <c r="C1209" i="3"/>
  <c r="B1209" i="3"/>
  <c r="C1208" i="3"/>
  <c r="B1208" i="3"/>
  <c r="C1207" i="3"/>
  <c r="B1207" i="3"/>
  <c r="C1206" i="3"/>
  <c r="B1206" i="3"/>
  <c r="C1204" i="3"/>
  <c r="B1204" i="3"/>
  <c r="C1203" i="3"/>
  <c r="B1203" i="3"/>
  <c r="C1202" i="3"/>
  <c r="C1201" i="3"/>
  <c r="B1201" i="3"/>
  <c r="C1200" i="3"/>
  <c r="C1199" i="3"/>
  <c r="B1199" i="3"/>
  <c r="C1198" i="3"/>
  <c r="B1198" i="3"/>
  <c r="C1197" i="3"/>
  <c r="B1197" i="3"/>
  <c r="C1196" i="3"/>
  <c r="B1196" i="3"/>
  <c r="C1195" i="3"/>
  <c r="B1195" i="3"/>
  <c r="C1194" i="3"/>
  <c r="B1194" i="3"/>
  <c r="C1193" i="3"/>
  <c r="B1193" i="3"/>
  <c r="C1192" i="3"/>
  <c r="B1192" i="3"/>
  <c r="C1191" i="3"/>
  <c r="B1191" i="3"/>
  <c r="C1190" i="3"/>
  <c r="B1190" i="3"/>
  <c r="C1189" i="3"/>
  <c r="B1189" i="3"/>
  <c r="C1188" i="3"/>
  <c r="B1188" i="3"/>
  <c r="C1187" i="3"/>
  <c r="B1187" i="3"/>
  <c r="C1186" i="3"/>
  <c r="B1186" i="3"/>
  <c r="C1185" i="3"/>
  <c r="B1185" i="3"/>
  <c r="C1184" i="3"/>
  <c r="B1184" i="3"/>
  <c r="C1183" i="3"/>
  <c r="B1183" i="3"/>
  <c r="C1182" i="3"/>
  <c r="B1182" i="3"/>
  <c r="C1181" i="3"/>
  <c r="B1181" i="3"/>
  <c r="C1180" i="3"/>
  <c r="B1180" i="3"/>
  <c r="C1179" i="3"/>
  <c r="B1179" i="3"/>
  <c r="C1178" i="3"/>
  <c r="B1178" i="3"/>
  <c r="C1177" i="3"/>
  <c r="B1177" i="3"/>
  <c r="C1176" i="3"/>
  <c r="B1176" i="3"/>
  <c r="C1175" i="3"/>
  <c r="B1175" i="3"/>
  <c r="C1174" i="3"/>
  <c r="B1174" i="3"/>
  <c r="C1173" i="3"/>
  <c r="B1173" i="3"/>
  <c r="C1172" i="3"/>
  <c r="B1172" i="3"/>
  <c r="C1171" i="3"/>
  <c r="B1171" i="3"/>
  <c r="C1170" i="3"/>
  <c r="B1170" i="3"/>
  <c r="C1169" i="3"/>
  <c r="B1169" i="3"/>
  <c r="C1168" i="3"/>
  <c r="B1168" i="3"/>
  <c r="C1167" i="3"/>
  <c r="B1167" i="3"/>
  <c r="C1166" i="3"/>
  <c r="B1166" i="3"/>
  <c r="C1165" i="3"/>
  <c r="B1165" i="3"/>
  <c r="C1164" i="3"/>
  <c r="B1164" i="3"/>
  <c r="C1163" i="3"/>
  <c r="B1163" i="3"/>
  <c r="C1162" i="3"/>
  <c r="B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B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B1137" i="3"/>
  <c r="C1136" i="3"/>
  <c r="B1136" i="3"/>
  <c r="C1135" i="3"/>
  <c r="B1135" i="3"/>
  <c r="C1134" i="3"/>
  <c r="B1134" i="3"/>
  <c r="C1133" i="3"/>
  <c r="B1133" i="3"/>
  <c r="C1132" i="3"/>
  <c r="B1132" i="3"/>
  <c r="C1131" i="3"/>
  <c r="B1131" i="3"/>
  <c r="C1130" i="3"/>
  <c r="B1130" i="3"/>
  <c r="C1129" i="3"/>
  <c r="B1129" i="3"/>
  <c r="C1128" i="3"/>
  <c r="C1127" i="3"/>
  <c r="C1126" i="3"/>
  <c r="C1125" i="3"/>
  <c r="C1124" i="3"/>
  <c r="C1123" i="3"/>
  <c r="B1123" i="3"/>
  <c r="C1122" i="3"/>
  <c r="B1122" i="3"/>
  <c r="C1121" i="3"/>
  <c r="B1121" i="3"/>
  <c r="C1120" i="3"/>
  <c r="B1120" i="3"/>
  <c r="C1119" i="3"/>
  <c r="B1119" i="3"/>
  <c r="C1117" i="3"/>
  <c r="B1117" i="3"/>
  <c r="C1114" i="3"/>
  <c r="B1114" i="3"/>
  <c r="C1113" i="3"/>
  <c r="B1113" i="3"/>
  <c r="C1112" i="3"/>
  <c r="B1112" i="3"/>
  <c r="C1111" i="3"/>
  <c r="B1111" i="3"/>
  <c r="C1110" i="3"/>
  <c r="C1109" i="3"/>
  <c r="C1108" i="3"/>
  <c r="C1107" i="3"/>
  <c r="C1106" i="3"/>
  <c r="B1106" i="3"/>
  <c r="C1105" i="3"/>
  <c r="B1105" i="3"/>
  <c r="C1104" i="3"/>
  <c r="B1104" i="3"/>
  <c r="C1103" i="3"/>
  <c r="B1103" i="3"/>
  <c r="C1098" i="3"/>
  <c r="B1098" i="3"/>
  <c r="C1097" i="3"/>
  <c r="B1097" i="3"/>
  <c r="C1096" i="3"/>
  <c r="B1096" i="3"/>
  <c r="C1095" i="3"/>
  <c r="B1095" i="3"/>
  <c r="C1092" i="3"/>
  <c r="B1092" i="3"/>
  <c r="C1091" i="3"/>
  <c r="B1091" i="3"/>
  <c r="C1090" i="3"/>
  <c r="B1090" i="3"/>
  <c r="C1088" i="3"/>
  <c r="B1088" i="3"/>
  <c r="C1085" i="3"/>
  <c r="B1085" i="3"/>
  <c r="C1084" i="3"/>
  <c r="B1084" i="3"/>
  <c r="C1083" i="3"/>
  <c r="B1083" i="3"/>
  <c r="C1082" i="3"/>
  <c r="B1082" i="3"/>
  <c r="C1081" i="3"/>
  <c r="B1081" i="3"/>
  <c r="C1080" i="3"/>
  <c r="B1080" i="3"/>
  <c r="C1079" i="3"/>
  <c r="B1079" i="3"/>
  <c r="C1078" i="3"/>
  <c r="B1078" i="3"/>
  <c r="C1077" i="3"/>
  <c r="B1077" i="3"/>
  <c r="C1076" i="3"/>
  <c r="B1076" i="3"/>
  <c r="C1075" i="3"/>
  <c r="C1074" i="3"/>
  <c r="C1073" i="3"/>
  <c r="B1073" i="3"/>
  <c r="C1072" i="3"/>
  <c r="B1072" i="3"/>
  <c r="C1071" i="3"/>
  <c r="B1071" i="3"/>
  <c r="C1070" i="3"/>
  <c r="B1070" i="3"/>
  <c r="C1069" i="3"/>
  <c r="B1069" i="3"/>
  <c r="C1068" i="3"/>
  <c r="B1068" i="3"/>
  <c r="C1067" i="3"/>
  <c r="B1067" i="3"/>
  <c r="C1066" i="3"/>
  <c r="B1066" i="3"/>
  <c r="C1065" i="3"/>
  <c r="B1065" i="3"/>
  <c r="C1064" i="3"/>
  <c r="B1064" i="3"/>
  <c r="C1063" i="3"/>
  <c r="B1063" i="3"/>
  <c r="C1062" i="3"/>
  <c r="B1062" i="3"/>
  <c r="C1061" i="3"/>
  <c r="B1061" i="3"/>
  <c r="C1060" i="3"/>
  <c r="B1060" i="3"/>
  <c r="C1059" i="3"/>
  <c r="B1059" i="3"/>
  <c r="C1058" i="3"/>
  <c r="B1058" i="3"/>
  <c r="C1057" i="3"/>
  <c r="B1057" i="3"/>
  <c r="C1056" i="3"/>
  <c r="B1056" i="3"/>
  <c r="C1055" i="3"/>
  <c r="B1055" i="3"/>
  <c r="C1054" i="3"/>
  <c r="B1054" i="3"/>
  <c r="C1053" i="3"/>
  <c r="B1053" i="3"/>
  <c r="C1052" i="3"/>
  <c r="B1052" i="3"/>
  <c r="C1051" i="3"/>
  <c r="B1051" i="3"/>
  <c r="C1050" i="3"/>
  <c r="B1050" i="3"/>
  <c r="C1049" i="3"/>
  <c r="B1049" i="3"/>
  <c r="C1048" i="3"/>
  <c r="B1048" i="3"/>
  <c r="C1047" i="3"/>
  <c r="B1047" i="3"/>
  <c r="C1046" i="3"/>
  <c r="B1046" i="3"/>
  <c r="C1045" i="3"/>
  <c r="B1045" i="3"/>
  <c r="C1044" i="3"/>
  <c r="B1044" i="3"/>
  <c r="C1043" i="3"/>
  <c r="B1043" i="3"/>
  <c r="C1042" i="3"/>
  <c r="B1042" i="3"/>
  <c r="C1041" i="3"/>
  <c r="B1041" i="3"/>
  <c r="C1040" i="3"/>
  <c r="B1040" i="3"/>
  <c r="C1039" i="3"/>
  <c r="B1039" i="3"/>
  <c r="C1038" i="3"/>
  <c r="B1038" i="3"/>
  <c r="C1037" i="3"/>
  <c r="B1037" i="3"/>
  <c r="C1036" i="3"/>
  <c r="B1036" i="3"/>
  <c r="C1035" i="3"/>
  <c r="B1035" i="3"/>
  <c r="C1034" i="3"/>
  <c r="B1034" i="3"/>
  <c r="C1033" i="3"/>
  <c r="B1033" i="3"/>
  <c r="C1032" i="3"/>
  <c r="B1032" i="3"/>
  <c r="C1031" i="3"/>
  <c r="B1031" i="3"/>
  <c r="C1030" i="3"/>
  <c r="B1030" i="3"/>
  <c r="C1029" i="3"/>
  <c r="B1029" i="3"/>
  <c r="C1028" i="3"/>
  <c r="B1028" i="3"/>
  <c r="C1025" i="3"/>
  <c r="B1025" i="3"/>
  <c r="C1021" i="3"/>
  <c r="B1021" i="3"/>
  <c r="C1020" i="3"/>
  <c r="B1020" i="3"/>
  <c r="C1019" i="3"/>
  <c r="C1018" i="3"/>
  <c r="C1017" i="3"/>
  <c r="B1017" i="3"/>
  <c r="C1016" i="3"/>
  <c r="B1016" i="3"/>
  <c r="C1015" i="3"/>
  <c r="B1015" i="3"/>
  <c r="C1014" i="3"/>
  <c r="B1014" i="3"/>
  <c r="C1013" i="3"/>
  <c r="B1013" i="3"/>
  <c r="C1009" i="3"/>
  <c r="B1009" i="3"/>
  <c r="C1008" i="3"/>
  <c r="B1008" i="3"/>
  <c r="C1007" i="3"/>
  <c r="B1007" i="3"/>
  <c r="C1006" i="3"/>
  <c r="B1006" i="3"/>
  <c r="C1005" i="3"/>
  <c r="B1005" i="3"/>
  <c r="C1004" i="3"/>
  <c r="C1001" i="3"/>
  <c r="C1000" i="3"/>
  <c r="B1000" i="3"/>
  <c r="C999" i="3"/>
  <c r="B999" i="3"/>
  <c r="C998" i="3"/>
  <c r="B998" i="3"/>
  <c r="C997" i="3"/>
  <c r="B997" i="3"/>
  <c r="C996" i="3"/>
  <c r="B996" i="3"/>
  <c r="C995" i="3"/>
  <c r="B995" i="3"/>
  <c r="C994" i="3"/>
  <c r="B994" i="3"/>
  <c r="C993" i="3"/>
  <c r="B993" i="3"/>
  <c r="C992" i="3"/>
  <c r="B992" i="3"/>
  <c r="C991" i="3"/>
  <c r="B991" i="3"/>
  <c r="C990" i="3"/>
  <c r="B990" i="3"/>
  <c r="C989" i="3"/>
  <c r="B989" i="3"/>
  <c r="C988" i="3"/>
  <c r="B988" i="3"/>
  <c r="C987" i="3"/>
  <c r="B987" i="3"/>
  <c r="C986" i="3"/>
  <c r="B986" i="3"/>
  <c r="C985" i="3"/>
  <c r="B985" i="3"/>
  <c r="C984" i="3"/>
  <c r="B984" i="3"/>
  <c r="B983" i="3"/>
  <c r="C982" i="3"/>
  <c r="B982" i="3"/>
  <c r="C981" i="3"/>
  <c r="B981" i="3"/>
  <c r="C980" i="3"/>
  <c r="B980" i="3"/>
  <c r="C979" i="3"/>
  <c r="B979" i="3"/>
  <c r="C974" i="3"/>
  <c r="B974" i="3"/>
  <c r="C973" i="3"/>
  <c r="B973" i="3"/>
  <c r="C972" i="3"/>
  <c r="B972" i="3"/>
  <c r="C971" i="3"/>
  <c r="B971" i="3"/>
  <c r="C970" i="3"/>
  <c r="B970" i="3"/>
  <c r="C969" i="3"/>
  <c r="B969" i="3"/>
  <c r="C968" i="3"/>
  <c r="B968" i="3"/>
  <c r="C967" i="3"/>
  <c r="B967" i="3"/>
  <c r="C966" i="3"/>
  <c r="C965" i="3"/>
  <c r="C964" i="3"/>
  <c r="C963" i="3"/>
  <c r="B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B945" i="3"/>
  <c r="C944" i="3"/>
  <c r="C943" i="3"/>
  <c r="C942" i="3"/>
  <c r="C941" i="3"/>
  <c r="C940" i="3"/>
  <c r="C939" i="3"/>
  <c r="C938" i="3"/>
  <c r="C937" i="3"/>
  <c r="C936" i="3"/>
  <c r="C935" i="3"/>
  <c r="C934" i="3"/>
  <c r="B934" i="3"/>
  <c r="C933" i="3"/>
  <c r="B933" i="3"/>
  <c r="C932" i="3"/>
  <c r="C931" i="3"/>
  <c r="C930" i="3"/>
  <c r="B930" i="3"/>
  <c r="C929" i="3"/>
  <c r="B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09" i="3"/>
  <c r="B909" i="3"/>
  <c r="C908" i="3"/>
  <c r="B908" i="3"/>
  <c r="C907" i="3"/>
  <c r="B907" i="3"/>
  <c r="C906" i="3"/>
  <c r="B906" i="3"/>
  <c r="C905" i="3"/>
  <c r="B905" i="3"/>
  <c r="C904" i="3"/>
  <c r="B904" i="3"/>
  <c r="C903" i="3"/>
  <c r="B903" i="3"/>
  <c r="C902" i="3"/>
  <c r="B902" i="3"/>
  <c r="C901" i="3"/>
  <c r="B901" i="3"/>
  <c r="C900" i="3"/>
  <c r="B900" i="3"/>
  <c r="C899" i="3"/>
  <c r="B899" i="3"/>
  <c r="C898" i="3"/>
  <c r="B898" i="3"/>
  <c r="C897" i="3"/>
  <c r="B897" i="3"/>
  <c r="C896" i="3"/>
  <c r="B896" i="3"/>
  <c r="C895" i="3"/>
  <c r="B895" i="3"/>
  <c r="C894" i="3"/>
  <c r="B894" i="3"/>
  <c r="C893" i="3"/>
  <c r="B893" i="3"/>
  <c r="C892" i="3"/>
  <c r="B892" i="3"/>
  <c r="C891" i="3"/>
  <c r="B891" i="3"/>
  <c r="C888" i="3"/>
  <c r="B888" i="3"/>
  <c r="C887" i="3"/>
  <c r="B887" i="3"/>
  <c r="C886" i="3"/>
  <c r="B886" i="3"/>
  <c r="C885" i="3"/>
  <c r="B885" i="3"/>
  <c r="C884" i="3"/>
  <c r="B884" i="3"/>
  <c r="C883" i="3"/>
  <c r="B883" i="3"/>
  <c r="C882" i="3"/>
  <c r="B882" i="3"/>
  <c r="C881" i="3"/>
  <c r="B881" i="3"/>
  <c r="C880" i="3"/>
  <c r="B880" i="3"/>
  <c r="C879" i="3"/>
  <c r="B879" i="3"/>
  <c r="C878" i="3"/>
  <c r="B878" i="3"/>
  <c r="C877" i="3"/>
  <c r="B877" i="3"/>
  <c r="C876" i="3"/>
  <c r="B876" i="3"/>
  <c r="C875" i="3"/>
  <c r="B875" i="3"/>
  <c r="C874" i="3"/>
  <c r="B874" i="3"/>
  <c r="C873" i="3"/>
  <c r="B873" i="3"/>
  <c r="C872" i="3"/>
  <c r="B872" i="3"/>
  <c r="C871" i="3"/>
  <c r="B871" i="3"/>
  <c r="C870" i="3"/>
  <c r="B870" i="3"/>
  <c r="C869" i="3"/>
  <c r="B869" i="3"/>
  <c r="C868" i="3"/>
  <c r="B868" i="3"/>
  <c r="C867" i="3"/>
  <c r="B867" i="3"/>
  <c r="C866" i="3"/>
  <c r="B866" i="3"/>
  <c r="C865" i="3"/>
  <c r="B865" i="3"/>
  <c r="C864" i="3"/>
  <c r="B864" i="3"/>
  <c r="C863" i="3"/>
  <c r="B863" i="3"/>
  <c r="C862" i="3"/>
  <c r="B862" i="3"/>
  <c r="C861" i="3"/>
  <c r="B861" i="3"/>
  <c r="C860" i="3"/>
  <c r="B860" i="3"/>
  <c r="C859" i="3"/>
  <c r="B859" i="3"/>
  <c r="C858" i="3"/>
  <c r="B858" i="3"/>
  <c r="C857" i="3"/>
  <c r="B857" i="3"/>
  <c r="C856" i="3"/>
  <c r="B856" i="3"/>
  <c r="C855" i="3"/>
  <c r="B855" i="3"/>
  <c r="C854" i="3"/>
  <c r="B854" i="3"/>
  <c r="C853" i="3"/>
  <c r="B853" i="3"/>
  <c r="C852" i="3"/>
  <c r="B852" i="3"/>
  <c r="C851" i="3"/>
  <c r="B851" i="3"/>
  <c r="C850" i="3"/>
  <c r="B850" i="3"/>
  <c r="C849" i="3"/>
  <c r="B849" i="3"/>
  <c r="C848" i="3"/>
  <c r="B848" i="3"/>
  <c r="C847" i="3"/>
  <c r="B847" i="3"/>
  <c r="C846" i="3"/>
  <c r="B846" i="3"/>
  <c r="C845" i="3"/>
  <c r="B845" i="3"/>
  <c r="C844" i="3"/>
  <c r="B844" i="3"/>
  <c r="C843" i="3"/>
  <c r="B843" i="3"/>
  <c r="C842" i="3"/>
  <c r="B842" i="3"/>
  <c r="C841" i="3"/>
  <c r="B841" i="3"/>
  <c r="C840" i="3"/>
  <c r="B840" i="3"/>
  <c r="C839" i="3"/>
  <c r="B839" i="3"/>
  <c r="C838" i="3"/>
  <c r="B838" i="3"/>
  <c r="C837" i="3"/>
  <c r="B837" i="3"/>
  <c r="C836" i="3"/>
  <c r="B836" i="3"/>
  <c r="C835" i="3"/>
  <c r="B835" i="3"/>
  <c r="C834" i="3"/>
  <c r="B834" i="3"/>
  <c r="B833" i="3"/>
  <c r="C832" i="3"/>
  <c r="B832" i="3"/>
  <c r="C831" i="3"/>
  <c r="B831" i="3"/>
  <c r="C830" i="3"/>
  <c r="B830" i="3"/>
  <c r="C829" i="3"/>
  <c r="B829" i="3"/>
  <c r="C828" i="3"/>
  <c r="B828" i="3"/>
  <c r="C827" i="3"/>
  <c r="B827" i="3"/>
  <c r="C826" i="3"/>
  <c r="B826" i="3"/>
  <c r="C825" i="3"/>
  <c r="B825" i="3"/>
  <c r="C824" i="3"/>
  <c r="B824" i="3"/>
  <c r="C823" i="3"/>
  <c r="B823" i="3"/>
  <c r="C822" i="3"/>
  <c r="B822" i="3"/>
  <c r="C821" i="3"/>
  <c r="B821" i="3"/>
  <c r="C820" i="3"/>
  <c r="B820" i="3"/>
  <c r="C819" i="3"/>
  <c r="B819" i="3"/>
  <c r="C818" i="3"/>
  <c r="B818" i="3"/>
  <c r="C817" i="3"/>
  <c r="B817" i="3"/>
  <c r="C816" i="3"/>
  <c r="B816" i="3"/>
  <c r="C815" i="3"/>
  <c r="B815" i="3"/>
  <c r="C814" i="3"/>
  <c r="B814" i="3"/>
  <c r="C813" i="3"/>
  <c r="B813" i="3"/>
  <c r="C812" i="3"/>
  <c r="B812" i="3"/>
  <c r="C811" i="3"/>
  <c r="B811" i="3"/>
  <c r="C810" i="3"/>
  <c r="B810" i="3"/>
  <c r="C809" i="3"/>
  <c r="B809" i="3"/>
  <c r="C808" i="3"/>
  <c r="B808" i="3"/>
  <c r="C807" i="3"/>
  <c r="B807" i="3"/>
  <c r="C806" i="3"/>
  <c r="B806" i="3"/>
  <c r="C805" i="3"/>
  <c r="B805" i="3"/>
  <c r="C804" i="3"/>
  <c r="B804" i="3"/>
  <c r="C803" i="3"/>
  <c r="B803" i="3"/>
  <c r="C802" i="3"/>
  <c r="B802" i="3"/>
  <c r="C801" i="3"/>
  <c r="B801" i="3"/>
  <c r="C800" i="3"/>
  <c r="B800" i="3"/>
  <c r="C799" i="3"/>
  <c r="B799" i="3"/>
  <c r="C798" i="3"/>
  <c r="B798" i="3"/>
  <c r="C797" i="3"/>
  <c r="B797" i="3"/>
  <c r="C796" i="3"/>
  <c r="B796" i="3"/>
  <c r="C795" i="3"/>
  <c r="B795" i="3"/>
  <c r="C794" i="3"/>
  <c r="B794" i="3"/>
  <c r="C793" i="3"/>
  <c r="B793" i="3"/>
  <c r="C792" i="3"/>
  <c r="B792" i="3"/>
  <c r="C791" i="3"/>
  <c r="B791" i="3"/>
  <c r="C790" i="3"/>
  <c r="B790" i="3"/>
  <c r="C789" i="3"/>
  <c r="B789" i="3"/>
  <c r="C788" i="3"/>
  <c r="B788" i="3"/>
  <c r="C787" i="3"/>
  <c r="B787" i="3"/>
  <c r="C786" i="3"/>
  <c r="B786" i="3"/>
  <c r="C785" i="3"/>
  <c r="B785" i="3"/>
  <c r="C784" i="3"/>
  <c r="B784" i="3"/>
  <c r="C783" i="3"/>
  <c r="B783" i="3"/>
  <c r="C782" i="3"/>
  <c r="B782" i="3"/>
  <c r="C781" i="3"/>
  <c r="B781" i="3"/>
  <c r="C780" i="3"/>
  <c r="B780" i="3"/>
  <c r="C779" i="3"/>
  <c r="B779" i="3"/>
  <c r="C778" i="3"/>
  <c r="B778" i="3"/>
  <c r="C777" i="3"/>
  <c r="B777" i="3"/>
  <c r="C776" i="3"/>
  <c r="B776" i="3"/>
  <c r="C775" i="3"/>
  <c r="B775" i="3"/>
  <c r="C774" i="3"/>
  <c r="B774" i="3"/>
  <c r="C773" i="3"/>
  <c r="B773" i="3"/>
  <c r="C772" i="3"/>
  <c r="B772" i="3"/>
  <c r="C771" i="3"/>
  <c r="B771" i="3"/>
  <c r="C770" i="3"/>
  <c r="B770" i="3"/>
  <c r="C769" i="3"/>
  <c r="B769" i="3"/>
  <c r="C768" i="3"/>
  <c r="B768" i="3"/>
  <c r="C767" i="3"/>
  <c r="B767" i="3"/>
  <c r="C766" i="3"/>
  <c r="B766" i="3"/>
  <c r="C765" i="3"/>
  <c r="B765" i="3"/>
  <c r="C764" i="3"/>
  <c r="B764" i="3"/>
  <c r="C763" i="3"/>
  <c r="B763" i="3"/>
  <c r="C762" i="3"/>
  <c r="B762" i="3"/>
  <c r="C761" i="3"/>
  <c r="B761" i="3"/>
  <c r="C760" i="3"/>
  <c r="B760" i="3"/>
  <c r="C759" i="3"/>
  <c r="B759" i="3"/>
  <c r="C758" i="3"/>
  <c r="B758" i="3"/>
  <c r="C757" i="3"/>
  <c r="B757" i="3"/>
  <c r="C756" i="3"/>
  <c r="B756" i="3"/>
  <c r="C755" i="3"/>
  <c r="B755" i="3"/>
  <c r="C754" i="3"/>
  <c r="B754" i="3"/>
  <c r="C753" i="3"/>
  <c r="B753" i="3"/>
  <c r="C752" i="3"/>
  <c r="B752" i="3"/>
  <c r="C751" i="3"/>
  <c r="B751" i="3"/>
  <c r="C750" i="3"/>
  <c r="B750" i="3"/>
  <c r="C749" i="3"/>
  <c r="B749" i="3"/>
  <c r="C748" i="3"/>
  <c r="B748" i="3"/>
  <c r="C747" i="3"/>
  <c r="B747" i="3"/>
  <c r="C746" i="3"/>
  <c r="B746" i="3"/>
  <c r="C745" i="3"/>
  <c r="B745" i="3"/>
  <c r="C744" i="3"/>
  <c r="B744" i="3"/>
  <c r="C743" i="3"/>
  <c r="B743" i="3"/>
  <c r="C742" i="3"/>
  <c r="B742" i="3"/>
  <c r="C741" i="3"/>
  <c r="B741" i="3"/>
  <c r="C740" i="3"/>
  <c r="B740" i="3"/>
  <c r="C739" i="3"/>
  <c r="B739" i="3"/>
  <c r="C738" i="3"/>
  <c r="B738" i="3"/>
  <c r="C737" i="3"/>
  <c r="B737" i="3"/>
  <c r="C736" i="3"/>
  <c r="B736" i="3"/>
  <c r="C735" i="3"/>
  <c r="B735" i="3"/>
  <c r="C734" i="3"/>
  <c r="B734" i="3"/>
  <c r="C733" i="3"/>
  <c r="B733" i="3"/>
  <c r="C732" i="3"/>
  <c r="B732" i="3"/>
  <c r="C731" i="3"/>
  <c r="B731" i="3"/>
  <c r="C730" i="3"/>
  <c r="B730" i="3"/>
  <c r="C729" i="3"/>
  <c r="B729" i="3"/>
  <c r="C728" i="3"/>
  <c r="B728" i="3"/>
  <c r="C727" i="3"/>
  <c r="B727" i="3"/>
  <c r="C726" i="3"/>
  <c r="B726" i="3"/>
  <c r="C725" i="3"/>
  <c r="B725" i="3"/>
  <c r="C724" i="3"/>
  <c r="B724" i="3"/>
  <c r="C723" i="3"/>
  <c r="B723" i="3"/>
  <c r="C722" i="3"/>
  <c r="B722" i="3"/>
  <c r="C721" i="3"/>
  <c r="B721" i="3"/>
  <c r="C720" i="3"/>
  <c r="B720" i="3"/>
  <c r="C719" i="3"/>
  <c r="B719" i="3"/>
  <c r="C718" i="3"/>
  <c r="B718" i="3"/>
  <c r="C717" i="3"/>
  <c r="B717" i="3"/>
  <c r="C716" i="3"/>
  <c r="B716" i="3"/>
  <c r="C715" i="3"/>
  <c r="B715" i="3"/>
  <c r="C714" i="3"/>
  <c r="B714" i="3"/>
  <c r="C713" i="3"/>
  <c r="B713" i="3"/>
  <c r="C712" i="3"/>
  <c r="B712" i="3"/>
  <c r="C711" i="3"/>
  <c r="B711" i="3"/>
  <c r="C710" i="3"/>
  <c r="B710" i="3"/>
  <c r="C709" i="3"/>
  <c r="B709" i="3"/>
  <c r="C708" i="3"/>
  <c r="B708" i="3"/>
  <c r="C707" i="3"/>
  <c r="B707" i="3"/>
  <c r="C706" i="3"/>
  <c r="B706" i="3"/>
  <c r="C705" i="3"/>
  <c r="B705" i="3"/>
  <c r="C704" i="3"/>
  <c r="B704" i="3"/>
  <c r="C703" i="3"/>
  <c r="B703" i="3"/>
  <c r="C702" i="3"/>
  <c r="B702" i="3"/>
  <c r="C701" i="3"/>
  <c r="B701" i="3"/>
  <c r="C700" i="3"/>
  <c r="B700" i="3"/>
  <c r="C699" i="3"/>
  <c r="B699" i="3"/>
  <c r="C698" i="3"/>
  <c r="B698" i="3"/>
  <c r="C697" i="3"/>
  <c r="B697" i="3"/>
  <c r="C696" i="3"/>
  <c r="B696" i="3"/>
  <c r="C695" i="3"/>
  <c r="B695" i="3"/>
  <c r="C694" i="3"/>
  <c r="B694" i="3"/>
  <c r="C693" i="3"/>
  <c r="C692" i="3"/>
  <c r="B692" i="3"/>
  <c r="C691" i="3"/>
  <c r="B691" i="3"/>
  <c r="C690" i="3"/>
  <c r="B690" i="3"/>
  <c r="C689" i="3"/>
  <c r="B689" i="3"/>
  <c r="C688" i="3"/>
  <c r="B688" i="3"/>
  <c r="C687" i="3"/>
  <c r="B687" i="3"/>
  <c r="C686" i="3"/>
  <c r="B686" i="3"/>
  <c r="C685" i="3"/>
  <c r="B685" i="3"/>
  <c r="C684" i="3"/>
  <c r="B684" i="3"/>
  <c r="C683" i="3"/>
  <c r="B683" i="3"/>
  <c r="C682" i="3"/>
  <c r="B682" i="3"/>
  <c r="C681" i="3"/>
  <c r="B681" i="3"/>
  <c r="C680" i="3"/>
  <c r="B680" i="3"/>
  <c r="C679" i="3"/>
  <c r="B679" i="3"/>
  <c r="C678" i="3"/>
  <c r="B678" i="3"/>
  <c r="C677" i="3"/>
  <c r="B677" i="3"/>
  <c r="C676" i="3"/>
  <c r="B676" i="3"/>
  <c r="C675" i="3"/>
  <c r="B675" i="3"/>
  <c r="C674" i="3"/>
  <c r="B674" i="3"/>
  <c r="C673" i="3"/>
  <c r="B673" i="3"/>
  <c r="C672" i="3"/>
  <c r="B672" i="3"/>
  <c r="C671" i="3"/>
  <c r="B671" i="3"/>
  <c r="C670" i="3"/>
  <c r="B670" i="3"/>
  <c r="C669" i="3"/>
  <c r="B669" i="3"/>
  <c r="C668" i="3"/>
  <c r="B668" i="3"/>
  <c r="C667" i="3"/>
  <c r="B667" i="3"/>
  <c r="C666" i="3"/>
  <c r="B666" i="3"/>
  <c r="C665" i="3"/>
  <c r="B665" i="3"/>
  <c r="C663" i="3"/>
  <c r="B663" i="3"/>
  <c r="C662" i="3"/>
  <c r="B662" i="3"/>
  <c r="C661" i="3"/>
  <c r="B661" i="3"/>
  <c r="C660" i="3"/>
  <c r="B660" i="3"/>
  <c r="C659" i="3"/>
  <c r="B659" i="3"/>
  <c r="C658" i="3"/>
  <c r="B658" i="3"/>
  <c r="C657" i="3"/>
  <c r="B657" i="3"/>
  <c r="C656" i="3"/>
  <c r="B656" i="3"/>
  <c r="C655" i="3"/>
  <c r="B655" i="3"/>
  <c r="C654" i="3"/>
  <c r="B654" i="3"/>
  <c r="C653" i="3"/>
  <c r="B653" i="3"/>
  <c r="C652" i="3"/>
  <c r="B652" i="3"/>
  <c r="C651" i="3"/>
  <c r="B651" i="3"/>
  <c r="C650" i="3"/>
  <c r="B650" i="3"/>
  <c r="C649" i="3"/>
  <c r="B649" i="3"/>
  <c r="C648" i="3"/>
  <c r="B648" i="3"/>
  <c r="C647" i="3"/>
  <c r="B647" i="3"/>
  <c r="C646" i="3"/>
  <c r="B646" i="3"/>
  <c r="C645" i="3"/>
  <c r="B645" i="3"/>
  <c r="C644" i="3"/>
  <c r="B644" i="3"/>
  <c r="C643" i="3"/>
  <c r="B643" i="3"/>
  <c r="C642" i="3"/>
  <c r="B642" i="3"/>
  <c r="C641" i="3"/>
  <c r="B641" i="3"/>
  <c r="C640" i="3"/>
  <c r="B640" i="3"/>
  <c r="C639" i="3"/>
  <c r="B639" i="3"/>
  <c r="C638" i="3"/>
  <c r="B638" i="3"/>
  <c r="C637" i="3"/>
  <c r="B637" i="3"/>
  <c r="C636" i="3"/>
  <c r="B636" i="3"/>
  <c r="C635" i="3"/>
  <c r="B635" i="3"/>
  <c r="C634" i="3"/>
  <c r="B634" i="3"/>
  <c r="C633" i="3"/>
  <c r="B633" i="3"/>
  <c r="C632" i="3"/>
  <c r="B632" i="3"/>
  <c r="C631" i="3"/>
  <c r="B631" i="3"/>
  <c r="C630" i="3"/>
  <c r="B630" i="3"/>
  <c r="C629" i="3"/>
  <c r="B629" i="3"/>
  <c r="C628" i="3"/>
  <c r="B628" i="3"/>
  <c r="C627" i="3"/>
  <c r="B627" i="3"/>
  <c r="C626" i="3"/>
  <c r="B626" i="3"/>
  <c r="C625" i="3"/>
  <c r="B625" i="3"/>
  <c r="C624" i="3"/>
  <c r="B624" i="3"/>
  <c r="C623" i="3"/>
  <c r="B623" i="3"/>
  <c r="C622" i="3"/>
  <c r="B622" i="3"/>
  <c r="C621" i="3"/>
  <c r="B621" i="3"/>
  <c r="C620" i="3"/>
  <c r="B620" i="3"/>
  <c r="C619" i="3"/>
  <c r="B619" i="3"/>
  <c r="C618" i="3"/>
  <c r="B618" i="3"/>
  <c r="C617" i="3"/>
  <c r="B617" i="3"/>
  <c r="C616" i="3"/>
  <c r="B616" i="3"/>
  <c r="C615" i="3"/>
  <c r="B615" i="3"/>
  <c r="C614" i="3"/>
  <c r="B614" i="3"/>
  <c r="C613" i="3"/>
  <c r="B613" i="3"/>
  <c r="C612" i="3"/>
  <c r="B612" i="3"/>
  <c r="C611" i="3"/>
  <c r="B611" i="3"/>
  <c r="C610" i="3"/>
  <c r="B610" i="3"/>
  <c r="C609" i="3"/>
  <c r="B609" i="3"/>
  <c r="C608" i="3"/>
  <c r="B608" i="3"/>
  <c r="C607" i="3"/>
  <c r="B607" i="3"/>
  <c r="C606" i="3"/>
  <c r="B606" i="3"/>
  <c r="C605" i="3"/>
  <c r="B605" i="3"/>
  <c r="C604" i="3"/>
  <c r="B604" i="3"/>
  <c r="C603" i="3"/>
  <c r="B603" i="3"/>
  <c r="C602" i="3"/>
  <c r="B602" i="3"/>
  <c r="C601" i="3"/>
  <c r="B601" i="3"/>
  <c r="C600" i="3"/>
  <c r="B600" i="3"/>
  <c r="C599" i="3"/>
  <c r="B599" i="3"/>
  <c r="C598" i="3"/>
  <c r="B598" i="3"/>
  <c r="C597" i="3"/>
  <c r="B597" i="3"/>
  <c r="C596" i="3"/>
  <c r="B596" i="3"/>
  <c r="C595" i="3"/>
  <c r="B595" i="3"/>
  <c r="B594" i="3"/>
  <c r="C593" i="3"/>
  <c r="B593" i="3"/>
  <c r="C592" i="3"/>
  <c r="B592" i="3"/>
  <c r="C591" i="3"/>
  <c r="B591" i="3"/>
  <c r="C590" i="3"/>
  <c r="B590" i="3"/>
  <c r="C589" i="3"/>
  <c r="B589" i="3"/>
  <c r="C588" i="3"/>
  <c r="B588" i="3"/>
  <c r="C587" i="3"/>
  <c r="B587" i="3"/>
  <c r="C586" i="3"/>
  <c r="B586" i="3"/>
  <c r="C585" i="3"/>
  <c r="B585" i="3"/>
  <c r="C584" i="3"/>
  <c r="B584" i="3"/>
  <c r="C583" i="3"/>
  <c r="B583" i="3"/>
  <c r="C582" i="3"/>
  <c r="B582" i="3"/>
  <c r="C581" i="3"/>
  <c r="B581" i="3"/>
  <c r="C580" i="3"/>
  <c r="B580" i="3"/>
  <c r="C579" i="3"/>
  <c r="B579" i="3"/>
  <c r="C578" i="3"/>
  <c r="B578" i="3"/>
  <c r="C577" i="3"/>
  <c r="B577" i="3"/>
  <c r="C576" i="3"/>
  <c r="B576" i="3"/>
  <c r="C575" i="3"/>
  <c r="B575" i="3"/>
  <c r="B574" i="3"/>
  <c r="C573" i="3"/>
  <c r="B573" i="3"/>
  <c r="C572" i="3"/>
  <c r="B572" i="3"/>
  <c r="C571" i="3"/>
  <c r="B571" i="3"/>
  <c r="C570" i="3"/>
  <c r="B570" i="3"/>
  <c r="C569" i="3"/>
  <c r="B569" i="3"/>
  <c r="C568" i="3"/>
  <c r="B568" i="3"/>
  <c r="C567" i="3"/>
  <c r="B567" i="3"/>
  <c r="C566" i="3"/>
  <c r="B566" i="3"/>
  <c r="C565" i="3"/>
  <c r="B565" i="3"/>
  <c r="C564" i="3"/>
  <c r="B564" i="3"/>
  <c r="C563" i="3"/>
  <c r="B563" i="3"/>
  <c r="C562" i="3"/>
  <c r="B562" i="3"/>
  <c r="C561" i="3"/>
  <c r="B561" i="3"/>
  <c r="C560" i="3"/>
  <c r="B560" i="3"/>
  <c r="C559" i="3"/>
  <c r="B559" i="3"/>
  <c r="C558" i="3"/>
  <c r="B558" i="3"/>
  <c r="C555" i="3"/>
  <c r="B555" i="3"/>
  <c r="C554" i="3"/>
  <c r="B554" i="3"/>
  <c r="C553" i="3"/>
  <c r="B553" i="3"/>
  <c r="C552" i="3"/>
  <c r="B552" i="3"/>
  <c r="C551" i="3"/>
  <c r="B551" i="3"/>
  <c r="C550" i="3"/>
  <c r="B550" i="3"/>
  <c r="B549" i="3"/>
  <c r="C548" i="3"/>
  <c r="B548" i="3"/>
  <c r="C547" i="3"/>
  <c r="B547" i="3"/>
  <c r="B546" i="3"/>
  <c r="C545" i="3"/>
  <c r="B545" i="3"/>
  <c r="C544" i="3"/>
  <c r="B544" i="3"/>
  <c r="B543" i="3"/>
  <c r="C542" i="3"/>
  <c r="B542" i="3"/>
  <c r="C541" i="3"/>
  <c r="B541" i="3"/>
  <c r="C540" i="3"/>
  <c r="C539" i="3"/>
  <c r="B539" i="3"/>
  <c r="C538" i="3"/>
  <c r="B538" i="3"/>
  <c r="C537" i="3"/>
  <c r="B537" i="3"/>
  <c r="C536" i="3"/>
  <c r="B536" i="3"/>
  <c r="C535" i="3"/>
  <c r="B535" i="3"/>
  <c r="C534" i="3"/>
  <c r="B534" i="3"/>
  <c r="C533" i="3"/>
  <c r="B533" i="3"/>
  <c r="C532" i="3"/>
  <c r="B532" i="3"/>
  <c r="C531" i="3"/>
  <c r="B531" i="3"/>
  <c r="C530" i="3"/>
  <c r="B530" i="3"/>
  <c r="C529" i="3"/>
  <c r="B529" i="3"/>
  <c r="C528" i="3"/>
  <c r="B528" i="3"/>
  <c r="C527" i="3"/>
  <c r="B527" i="3"/>
  <c r="C526" i="3"/>
  <c r="B526" i="3"/>
  <c r="C525" i="3"/>
  <c r="B525" i="3"/>
  <c r="C524" i="3"/>
  <c r="B524" i="3"/>
  <c r="B523" i="3"/>
  <c r="C522" i="3"/>
  <c r="B522" i="3"/>
  <c r="C521" i="3"/>
  <c r="B521" i="3"/>
  <c r="C520" i="3"/>
  <c r="B520" i="3"/>
  <c r="C519" i="3"/>
  <c r="B519" i="3"/>
  <c r="C518" i="3"/>
  <c r="B518" i="3"/>
  <c r="C517" i="3"/>
  <c r="B517" i="3"/>
  <c r="C516" i="3"/>
  <c r="B516" i="3"/>
  <c r="B515" i="3"/>
  <c r="C514" i="3"/>
  <c r="B514" i="3"/>
  <c r="C513" i="3"/>
  <c r="B513" i="3"/>
  <c r="C512" i="3"/>
  <c r="B512" i="3"/>
  <c r="C511" i="3"/>
  <c r="B511" i="3"/>
  <c r="B510" i="3"/>
  <c r="C509" i="3"/>
  <c r="B509" i="3"/>
  <c r="C508" i="3"/>
  <c r="B508" i="3"/>
  <c r="C507" i="3"/>
  <c r="B507" i="3"/>
  <c r="C506" i="3"/>
  <c r="B506" i="3"/>
  <c r="C505" i="3"/>
  <c r="B505" i="3"/>
  <c r="C504" i="3"/>
  <c r="B504" i="3"/>
  <c r="C503" i="3"/>
  <c r="B503" i="3"/>
  <c r="C502" i="3"/>
  <c r="B502" i="3"/>
  <c r="C501" i="3"/>
  <c r="B501" i="3"/>
  <c r="C500" i="3"/>
  <c r="B500" i="3"/>
  <c r="C499" i="3"/>
  <c r="B499" i="3"/>
  <c r="C498" i="3"/>
  <c r="B498" i="3"/>
  <c r="C497" i="3"/>
  <c r="B497" i="3"/>
  <c r="C496" i="3"/>
  <c r="B496" i="3"/>
  <c r="C495" i="3"/>
  <c r="B495" i="3"/>
  <c r="C494" i="3"/>
  <c r="B494" i="3"/>
  <c r="C493" i="3"/>
  <c r="B493" i="3"/>
  <c r="C492" i="3"/>
  <c r="B492" i="3"/>
  <c r="C491" i="3"/>
  <c r="B491" i="3"/>
  <c r="C490" i="3"/>
  <c r="B490" i="3"/>
  <c r="C489" i="3"/>
  <c r="B489" i="3"/>
  <c r="C488" i="3"/>
  <c r="B488" i="3"/>
  <c r="C487" i="3"/>
  <c r="B487" i="3"/>
  <c r="C486" i="3"/>
  <c r="B486" i="3"/>
  <c r="C485" i="3"/>
  <c r="B485" i="3"/>
  <c r="C484" i="3"/>
  <c r="B484" i="3"/>
  <c r="C483" i="3"/>
  <c r="B483" i="3"/>
  <c r="C482" i="3"/>
  <c r="B482" i="3"/>
  <c r="C481" i="3"/>
  <c r="B481" i="3"/>
  <c r="C480" i="3"/>
  <c r="B480" i="3"/>
  <c r="C479" i="3"/>
  <c r="B479" i="3"/>
  <c r="C478" i="3"/>
  <c r="B478" i="3"/>
  <c r="B477" i="3"/>
  <c r="C476" i="3"/>
  <c r="B476" i="3"/>
  <c r="C475" i="3"/>
  <c r="B475" i="3"/>
  <c r="C474" i="3"/>
  <c r="B474" i="3"/>
  <c r="C473" i="3"/>
  <c r="B473" i="3"/>
  <c r="C472" i="3"/>
  <c r="B472" i="3"/>
  <c r="C471" i="3"/>
  <c r="B471" i="3"/>
  <c r="C470" i="3"/>
  <c r="B470" i="3"/>
  <c r="C469" i="3"/>
  <c r="B469" i="3"/>
  <c r="C468" i="3"/>
  <c r="B468" i="3"/>
  <c r="C467" i="3"/>
  <c r="B467" i="3"/>
  <c r="C466" i="3"/>
  <c r="B466" i="3"/>
  <c r="C465" i="3"/>
  <c r="B465" i="3"/>
  <c r="C464" i="3"/>
  <c r="B464" i="3"/>
  <c r="C463" i="3"/>
  <c r="B463" i="3"/>
  <c r="C462" i="3"/>
  <c r="B462" i="3"/>
  <c r="C461" i="3"/>
  <c r="B461" i="3"/>
  <c r="C460" i="3"/>
  <c r="B460" i="3"/>
  <c r="C459" i="3"/>
  <c r="B459" i="3"/>
  <c r="C458" i="3"/>
  <c r="B458" i="3"/>
  <c r="C457" i="3"/>
  <c r="B457" i="3"/>
  <c r="C456" i="3"/>
  <c r="B456" i="3"/>
  <c r="C455" i="3"/>
  <c r="B455" i="3"/>
  <c r="C454" i="3"/>
  <c r="B454" i="3"/>
  <c r="B453" i="3"/>
  <c r="C452" i="3"/>
  <c r="B452" i="3"/>
  <c r="C451" i="3"/>
  <c r="B451" i="3"/>
  <c r="C450" i="3"/>
  <c r="B450" i="3"/>
  <c r="C449" i="3"/>
  <c r="B449" i="3"/>
  <c r="C448" i="3"/>
  <c r="B448" i="3"/>
  <c r="C447" i="3"/>
  <c r="B447" i="3"/>
  <c r="C446" i="3"/>
  <c r="B446" i="3"/>
  <c r="C445" i="3"/>
  <c r="B445" i="3"/>
  <c r="C444" i="3"/>
  <c r="B444" i="3"/>
  <c r="C443" i="3"/>
  <c r="B443" i="3"/>
  <c r="C442" i="3"/>
  <c r="B442" i="3"/>
  <c r="C441" i="3"/>
  <c r="B441" i="3"/>
  <c r="C440" i="3"/>
  <c r="B440" i="3"/>
  <c r="C439" i="3"/>
  <c r="B439" i="3"/>
  <c r="C438" i="3"/>
  <c r="B438" i="3"/>
  <c r="C436" i="3"/>
  <c r="B436" i="3"/>
  <c r="B435" i="3"/>
  <c r="C434" i="3"/>
  <c r="B434" i="3"/>
  <c r="C433" i="3"/>
  <c r="B433" i="3"/>
  <c r="C432" i="3"/>
  <c r="B432" i="3"/>
  <c r="C431" i="3"/>
  <c r="B431" i="3"/>
  <c r="C430" i="3"/>
  <c r="B430" i="3"/>
  <c r="C429" i="3"/>
  <c r="B429" i="3"/>
  <c r="C428" i="3"/>
  <c r="B428" i="3"/>
  <c r="C427" i="3"/>
  <c r="B427" i="3"/>
  <c r="C426" i="3"/>
  <c r="B426" i="3"/>
  <c r="C425" i="3"/>
  <c r="B425" i="3"/>
  <c r="C424" i="3"/>
  <c r="B424" i="3"/>
  <c r="C423" i="3"/>
  <c r="B423" i="3"/>
  <c r="C422" i="3"/>
  <c r="B422" i="3"/>
  <c r="C421" i="3"/>
  <c r="B421" i="3"/>
  <c r="C420" i="3"/>
  <c r="B420" i="3"/>
  <c r="C419" i="3"/>
  <c r="B419" i="3"/>
  <c r="C418" i="3"/>
  <c r="B418" i="3"/>
  <c r="C417" i="3"/>
  <c r="B417" i="3"/>
  <c r="C416" i="3"/>
  <c r="B416" i="3"/>
  <c r="C415" i="3"/>
  <c r="B415" i="3"/>
  <c r="B414" i="3"/>
  <c r="C408" i="3"/>
  <c r="B408" i="3"/>
  <c r="B407" i="3"/>
  <c r="C406" i="3"/>
  <c r="B406" i="3"/>
  <c r="B405" i="3"/>
  <c r="B398" i="3"/>
  <c r="B397" i="3"/>
  <c r="B396" i="3"/>
  <c r="B395" i="3"/>
  <c r="B394" i="3"/>
  <c r="B390" i="3"/>
  <c r="C388" i="3"/>
  <c r="B388" i="3"/>
  <c r="C386" i="3"/>
  <c r="B386" i="3"/>
  <c r="C385" i="3"/>
  <c r="B385" i="3"/>
  <c r="C384" i="3"/>
  <c r="B384" i="3"/>
  <c r="C383" i="3"/>
  <c r="B383" i="3"/>
  <c r="C382" i="3"/>
  <c r="B382" i="3"/>
  <c r="C381" i="3"/>
  <c r="B381" i="3"/>
  <c r="C380" i="3"/>
  <c r="B380" i="3"/>
  <c r="C379" i="3"/>
  <c r="B379" i="3"/>
  <c r="C378" i="3"/>
  <c r="B378" i="3"/>
  <c r="C376" i="3"/>
  <c r="B376" i="3"/>
  <c r="C375" i="3"/>
  <c r="B375" i="3"/>
  <c r="C374" i="3"/>
  <c r="B374" i="3"/>
  <c r="C373" i="3"/>
  <c r="B373" i="3"/>
  <c r="C372" i="3"/>
  <c r="B372" i="3"/>
  <c r="C371" i="3"/>
  <c r="B371" i="3"/>
  <c r="C370" i="3"/>
  <c r="B370" i="3"/>
  <c r="C369" i="3"/>
  <c r="B369" i="3"/>
  <c r="C367" i="3"/>
  <c r="B367" i="3"/>
  <c r="C366" i="3"/>
  <c r="B366" i="3"/>
  <c r="C365" i="3"/>
  <c r="B365" i="3"/>
  <c r="C364" i="3"/>
  <c r="B364" i="3"/>
  <c r="C363" i="3"/>
  <c r="B363" i="3"/>
  <c r="C362" i="3"/>
  <c r="B362" i="3"/>
  <c r="C361" i="3"/>
  <c r="B361" i="3"/>
  <c r="C360" i="3"/>
  <c r="B360" i="3"/>
  <c r="C359" i="3"/>
  <c r="B359" i="3"/>
  <c r="C358" i="3"/>
  <c r="B358" i="3"/>
  <c r="C357" i="3"/>
  <c r="B357" i="3"/>
  <c r="C356" i="3"/>
  <c r="B356" i="3"/>
  <c r="C355" i="3"/>
  <c r="B355" i="3"/>
  <c r="C354" i="3"/>
  <c r="B354" i="3"/>
  <c r="C353" i="3"/>
  <c r="B353" i="3"/>
  <c r="C352" i="3"/>
  <c r="B352" i="3"/>
  <c r="C351" i="3"/>
  <c r="B351" i="3"/>
  <c r="C350" i="3"/>
  <c r="B350" i="3"/>
  <c r="B349" i="3"/>
  <c r="C348" i="3"/>
  <c r="B348" i="3"/>
  <c r="C347" i="3"/>
  <c r="B347" i="3"/>
  <c r="C346" i="3"/>
  <c r="B346" i="3"/>
  <c r="C345" i="3"/>
  <c r="B345" i="3"/>
  <c r="C344" i="3"/>
  <c r="B344" i="3"/>
  <c r="B343" i="3"/>
  <c r="B342" i="3"/>
  <c r="C341" i="3"/>
  <c r="B341" i="3"/>
  <c r="C340" i="3"/>
  <c r="B340" i="3"/>
  <c r="B339" i="3"/>
  <c r="B338" i="3"/>
  <c r="B337" i="3"/>
  <c r="B336" i="3"/>
  <c r="B335" i="3"/>
  <c r="B334" i="3"/>
  <c r="C333" i="3"/>
  <c r="B333" i="3"/>
  <c r="C332" i="3"/>
  <c r="B332" i="3"/>
  <c r="C331" i="3"/>
  <c r="B331" i="3"/>
  <c r="C330" i="3"/>
  <c r="B330" i="3"/>
  <c r="B329" i="3"/>
  <c r="B328" i="3"/>
  <c r="C327" i="3"/>
  <c r="B327" i="3"/>
  <c r="C326" i="3"/>
  <c r="B326" i="3"/>
  <c r="C325" i="3"/>
  <c r="B325" i="3"/>
  <c r="C324" i="3"/>
  <c r="B324" i="3"/>
  <c r="C323" i="3"/>
  <c r="B323" i="3"/>
  <c r="C322" i="3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C314" i="3"/>
  <c r="B314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4" i="3"/>
  <c r="B284" i="3"/>
  <c r="C283" i="3"/>
  <c r="B283" i="3"/>
  <c r="C282" i="3"/>
  <c r="B282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8" i="3"/>
  <c r="B268" i="3"/>
  <c r="C267" i="3"/>
  <c r="B267" i="3"/>
  <c r="B266" i="3"/>
  <c r="C265" i="3"/>
  <c r="B265" i="3"/>
  <c r="C264" i="3"/>
  <c r="B264" i="3"/>
  <c r="C263" i="3"/>
  <c r="B263" i="3"/>
  <c r="C260" i="3"/>
  <c r="B260" i="3"/>
  <c r="C259" i="3"/>
  <c r="B259" i="3"/>
  <c r="C258" i="3"/>
  <c r="B258" i="3"/>
  <c r="C257" i="3"/>
  <c r="B257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4" i="3"/>
  <c r="B224" i="3"/>
  <c r="C223" i="3"/>
  <c r="B223" i="3"/>
  <c r="C222" i="3"/>
  <c r="B222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B107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B3" i="3"/>
  <c r="B2" i="3"/>
  <c r="C612" i="2"/>
  <c r="C310" i="2"/>
  <c r="C470" i="2"/>
  <c r="C2" i="2"/>
  <c r="C469" i="2"/>
  <c r="C509" i="2"/>
  <c r="C467" i="2"/>
  <c r="C466" i="2"/>
  <c r="C465" i="2"/>
  <c r="C464" i="2"/>
  <c r="C463" i="2"/>
  <c r="C462" i="2"/>
  <c r="C461" i="2"/>
  <c r="C253" i="2"/>
  <c r="C468" i="2"/>
  <c r="C252" i="2"/>
  <c r="C251" i="2"/>
  <c r="C250" i="2"/>
  <c r="C260" i="2"/>
  <c r="C249" i="2"/>
  <c r="C460" i="2"/>
  <c r="C595" i="2"/>
  <c r="C248" i="2"/>
  <c r="C247" i="2"/>
  <c r="C246" i="2"/>
  <c r="C327" i="2"/>
  <c r="C245" i="2"/>
  <c r="C455" i="2"/>
  <c r="C454" i="2"/>
  <c r="C453" i="2"/>
  <c r="C457" i="2"/>
  <c r="C456" i="2"/>
  <c r="C458" i="2"/>
  <c r="C594" i="2"/>
  <c r="C452" i="2"/>
  <c r="C451" i="2"/>
  <c r="C313" i="2"/>
  <c r="C449" i="2"/>
  <c r="C450" i="2"/>
  <c r="C328" i="2"/>
  <c r="C244" i="2"/>
  <c r="C241" i="2"/>
  <c r="C593" i="2"/>
  <c r="C448" i="2"/>
  <c r="C592" i="2"/>
  <c r="C591" i="2"/>
  <c r="C447" i="2"/>
  <c r="C240" i="2"/>
  <c r="C568" i="2"/>
  <c r="C541" i="2"/>
  <c r="C214" i="2"/>
  <c r="C29" i="2"/>
  <c r="C86" i="2"/>
  <c r="C28" i="2"/>
  <c r="C85" i="2"/>
  <c r="C27" i="2"/>
  <c r="C84" i="2"/>
  <c r="C88" i="2"/>
  <c r="C83" i="2"/>
  <c r="C87" i="2"/>
  <c r="C26" i="2"/>
  <c r="C82" i="2"/>
  <c r="C25" i="2"/>
  <c r="C24" i="2"/>
  <c r="C23" i="2"/>
  <c r="C22" i="2"/>
  <c r="C818" i="2"/>
  <c r="C254" i="2"/>
  <c r="C21" i="2"/>
  <c r="C20" i="2"/>
  <c r="C19" i="2"/>
  <c r="C334" i="2"/>
  <c r="C18" i="2"/>
  <c r="C17" i="2"/>
  <c r="C16" i="2"/>
  <c r="C15" i="2"/>
  <c r="C294" i="2"/>
  <c r="C14" i="2"/>
  <c r="C81" i="2"/>
  <c r="C80" i="2"/>
  <c r="C79" i="2"/>
  <c r="C78" i="2"/>
  <c r="C308" i="2"/>
  <c r="C77" i="2"/>
  <c r="C75" i="2"/>
  <c r="C76" i="2"/>
  <c r="C307" i="2"/>
  <c r="C74" i="2"/>
  <c r="C73" i="2"/>
  <c r="C72" i="2"/>
  <c r="C40" i="2"/>
  <c r="C71" i="2"/>
  <c r="C70" i="2"/>
  <c r="C306" i="2"/>
  <c r="C69" i="2"/>
  <c r="C68" i="2"/>
  <c r="C67" i="2"/>
  <c r="C305" i="2"/>
  <c r="C304" i="2"/>
  <c r="C213" i="2"/>
  <c r="C302" i="2"/>
  <c r="C64" i="2"/>
  <c r="C63" i="2"/>
  <c r="C315" i="2"/>
  <c r="C314" i="2"/>
  <c r="C62" i="2"/>
  <c r="C65" i="2"/>
  <c r="C787" i="2"/>
  <c r="C786" i="2"/>
  <c r="C13" i="2"/>
  <c r="C590" i="2"/>
  <c r="C589" i="2"/>
  <c r="C693" i="2"/>
  <c r="C692" i="2"/>
  <c r="C770" i="2"/>
  <c r="C584" i="2"/>
  <c r="C583" i="2"/>
  <c r="C689" i="2"/>
  <c r="C582" i="2"/>
  <c r="C581" i="2"/>
  <c r="C588" i="2"/>
  <c r="C587" i="2"/>
  <c r="C586" i="2"/>
  <c r="C560" i="2"/>
  <c r="C556" i="2"/>
  <c r="C559" i="2"/>
  <c r="C555" i="2"/>
  <c r="C506" i="2"/>
  <c r="C768" i="2"/>
  <c r="C505" i="2"/>
  <c r="C694" i="2"/>
  <c r="C598" i="2"/>
  <c r="C599" i="2"/>
  <c r="C580" i="2"/>
  <c r="C558" i="2"/>
  <c r="C554" i="2"/>
  <c r="C557" i="2"/>
  <c r="C553" i="2"/>
  <c r="C616" i="2"/>
  <c r="C699" i="2"/>
  <c r="C700" i="2"/>
  <c r="C611" i="2"/>
  <c r="C697" i="2"/>
  <c r="C698" i="2"/>
  <c r="C696" i="2"/>
  <c r="C609" i="2"/>
  <c r="C608" i="2"/>
  <c r="C607" i="2"/>
  <c r="C606" i="2"/>
  <c r="C508" i="2"/>
  <c r="C496" i="2"/>
  <c r="C605" i="2"/>
  <c r="C604" i="2"/>
  <c r="C610" i="2"/>
  <c r="C486" i="2"/>
  <c r="C686" i="2"/>
  <c r="C691" i="2"/>
  <c r="C690" i="2"/>
  <c r="C510" i="2"/>
  <c r="C688" i="2"/>
  <c r="C819" i="2"/>
  <c r="C601" i="2"/>
  <c r="C600" i="2"/>
  <c r="C603" i="2"/>
  <c r="C602" i="2"/>
  <c r="C495" i="2"/>
  <c r="C494" i="2"/>
  <c r="C493" i="2"/>
  <c r="C492" i="2"/>
  <c r="C484" i="2"/>
  <c r="C702" i="2"/>
  <c r="C703" i="2"/>
  <c r="C6" i="2"/>
  <c r="C301" i="2"/>
  <c r="C685" i="2"/>
  <c r="C507" i="2"/>
  <c r="C491" i="2"/>
  <c r="C769" i="2"/>
  <c r="C483" i="2"/>
  <c r="C577" i="2"/>
  <c r="C576" i="2"/>
  <c r="C575" i="2"/>
  <c r="C574" i="2"/>
  <c r="C490" i="2"/>
  <c r="C489" i="2"/>
  <c r="C488" i="2"/>
  <c r="C487" i="2"/>
  <c r="C579" i="2"/>
  <c r="C578" i="2"/>
  <c r="C573" i="2"/>
  <c r="C482" i="2"/>
  <c r="C572" i="2"/>
  <c r="C571" i="2"/>
  <c r="C617" i="2"/>
  <c r="C701" i="2"/>
  <c r="C570" i="2"/>
  <c r="C682" i="2"/>
  <c r="C681" i="2"/>
  <c r="C808" i="2"/>
  <c r="C569" i="2"/>
  <c r="C683" i="2"/>
  <c r="C679" i="2"/>
  <c r="C680" i="2"/>
  <c r="C567" i="2"/>
  <c r="C485" i="2"/>
  <c r="C481" i="2"/>
  <c r="C775" i="2"/>
  <c r="C776" i="2"/>
  <c r="C773" i="2"/>
  <c r="C772" i="2"/>
  <c r="C842" i="2"/>
  <c r="C846" i="2"/>
  <c r="C841" i="2"/>
  <c r="C840" i="2"/>
  <c r="C839" i="2"/>
  <c r="C838" i="2"/>
  <c r="C833" i="2"/>
  <c r="C844" i="2"/>
  <c r="C847" i="2"/>
  <c r="C843" i="2"/>
  <c r="C837" i="2"/>
  <c r="C765" i="2"/>
  <c r="C836" i="2"/>
  <c r="C848" i="2"/>
  <c r="C835" i="2"/>
  <c r="C849" i="2"/>
  <c r="C764" i="2"/>
  <c r="C763" i="2"/>
  <c r="C761" i="2"/>
  <c r="C850" i="2"/>
  <c r="C834" i="2"/>
  <c r="C851" i="2"/>
  <c r="C832" i="2"/>
  <c r="C831" i="2"/>
  <c r="C830" i="2"/>
  <c r="C829" i="2"/>
  <c r="C828" i="2"/>
  <c r="C827" i="2"/>
  <c r="C824" i="2"/>
  <c r="C852" i="2"/>
  <c r="C853" i="2"/>
  <c r="C759" i="2"/>
  <c r="C813" i="2"/>
  <c r="C812" i="2"/>
  <c r="C758" i="2"/>
  <c r="C757" i="2"/>
  <c r="C756" i="2"/>
  <c r="C755" i="2"/>
  <c r="C816" i="2"/>
  <c r="C753" i="2"/>
  <c r="C823" i="2"/>
  <c r="C754" i="2"/>
  <c r="C735" i="2"/>
  <c r="C736" i="2"/>
  <c r="C752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0" i="2"/>
  <c r="C729" i="2"/>
  <c r="C728" i="2"/>
  <c r="C727" i="2"/>
  <c r="C733" i="2"/>
  <c r="C732" i="2"/>
  <c r="C731" i="2"/>
  <c r="C751" i="2"/>
  <c r="C726" i="2"/>
  <c r="C724" i="2"/>
  <c r="C723" i="2"/>
  <c r="C429" i="2"/>
  <c r="C817" i="2"/>
  <c r="C144" i="2"/>
  <c r="C145" i="2"/>
  <c r="C147" i="2"/>
  <c r="C143" i="2"/>
  <c r="C722" i="2"/>
  <c r="C146" i="2"/>
  <c r="C148" i="2"/>
  <c r="C845" i="2"/>
  <c r="C822" i="2"/>
  <c r="C201" i="2"/>
  <c r="C200" i="2"/>
  <c r="C721" i="2"/>
  <c r="C720" i="2"/>
  <c r="C719" i="2"/>
  <c r="C718" i="2"/>
  <c r="C716" i="2"/>
  <c r="C717" i="2"/>
  <c r="C815" i="2"/>
  <c r="C715" i="2"/>
  <c r="C811" i="2"/>
  <c r="C810" i="2"/>
  <c r="C809" i="2"/>
  <c r="C714" i="2"/>
  <c r="C713" i="2"/>
  <c r="C712" i="2"/>
  <c r="C711" i="2"/>
  <c r="C710" i="2"/>
  <c r="C709" i="2"/>
  <c r="C708" i="2"/>
  <c r="C707" i="2"/>
  <c r="C706" i="2"/>
  <c r="C705" i="2"/>
  <c r="C139" i="2"/>
  <c r="C734" i="2"/>
  <c r="C392" i="2"/>
  <c r="C391" i="2"/>
  <c r="C405" i="2"/>
  <c r="C400" i="2"/>
  <c r="C407" i="2"/>
  <c r="C390" i="2"/>
  <c r="C394" i="2"/>
  <c r="C406" i="2"/>
  <c r="C401" i="2"/>
  <c r="C393" i="2"/>
  <c r="C413" i="2"/>
  <c r="C537" i="2"/>
  <c r="C536" i="2"/>
  <c r="C426" i="2"/>
  <c r="C423" i="2"/>
  <c r="C422" i="2"/>
  <c r="C421" i="2"/>
  <c r="C420" i="2"/>
  <c r="C389" i="2"/>
  <c r="C388" i="2"/>
  <c r="C399" i="2"/>
  <c r="C382" i="2"/>
  <c r="C387" i="2"/>
  <c r="C397" i="2"/>
  <c r="C347" i="2"/>
  <c r="C404" i="2"/>
  <c r="C386" i="2"/>
  <c r="C669" i="2"/>
  <c r="C172" i="2"/>
  <c r="C668" i="2"/>
  <c r="C197" i="2"/>
  <c r="C171" i="2"/>
  <c r="C381" i="2"/>
  <c r="C196" i="2"/>
  <c r="C170" i="2"/>
  <c r="C535" i="2"/>
  <c r="C349" i="2"/>
  <c r="C667" i="2"/>
  <c r="C660" i="2"/>
  <c r="C639" i="2"/>
  <c r="C638" i="2"/>
  <c r="C645" i="2"/>
  <c r="C634" i="2"/>
  <c r="C630" i="2"/>
  <c r="C641" i="2"/>
  <c r="C640" i="2"/>
  <c r="C644" i="2"/>
  <c r="C637" i="2"/>
  <c r="C636" i="2"/>
  <c r="C633" i="2"/>
  <c r="C643" i="2"/>
  <c r="C635" i="2"/>
  <c r="C632" i="2"/>
  <c r="C631" i="2"/>
  <c r="C125" i="2"/>
  <c r="C622" i="2"/>
  <c r="C115" i="2"/>
  <c r="C124" i="2"/>
  <c r="C122" i="2"/>
  <c r="C799" i="2"/>
  <c r="C784" i="2"/>
  <c r="C116" i="2"/>
  <c r="C177" i="2"/>
  <c r="C114" i="2"/>
  <c r="C626" i="2"/>
  <c r="C666" i="2"/>
  <c r="C121" i="2"/>
  <c r="C123" i="2"/>
  <c r="C120" i="2"/>
  <c r="C665" i="2"/>
  <c r="C119" i="2"/>
  <c r="C625" i="2"/>
  <c r="C790" i="2"/>
  <c r="C783" i="2"/>
  <c r="C782" i="2"/>
  <c r="C798" i="2"/>
  <c r="C781" i="2"/>
  <c r="C118" i="2"/>
  <c r="C113" i="2"/>
  <c r="C117" i="2"/>
  <c r="C624" i="2"/>
  <c r="C800" i="2"/>
  <c r="C789" i="2"/>
  <c r="C855" i="2"/>
  <c r="C788" i="2"/>
  <c r="C801" i="2"/>
  <c r="C802" i="2"/>
  <c r="C780" i="2"/>
  <c r="C779" i="2"/>
  <c r="C778" i="2"/>
  <c r="C533" i="2"/>
  <c r="C532" i="2"/>
  <c r="C531" i="2"/>
  <c r="C530" i="2"/>
  <c r="C529" i="2"/>
  <c r="C528" i="2"/>
  <c r="C527" i="2"/>
  <c r="C176" i="2"/>
  <c r="C652" i="2"/>
  <c r="C651" i="2"/>
  <c r="C107" i="2"/>
  <c r="C108" i="2"/>
  <c r="C525" i="2"/>
  <c r="C109" i="2"/>
  <c r="C526" i="2"/>
  <c r="C524" i="2"/>
  <c r="C111" i="2"/>
  <c r="C523" i="2"/>
  <c r="C522" i="2"/>
  <c r="C777" i="2"/>
  <c r="C106" i="2"/>
  <c r="C650" i="2"/>
  <c r="C621" i="2"/>
  <c r="C105" i="2"/>
  <c r="C104" i="2"/>
  <c r="C278" i="2"/>
  <c r="C649" i="2"/>
  <c r="C277" i="2"/>
  <c r="C648" i="2"/>
  <c r="C110" i="2"/>
  <c r="C175" i="2"/>
  <c r="C103" i="2"/>
  <c r="C499" i="2"/>
  <c r="C102" i="2"/>
  <c r="C101" i="2"/>
  <c r="C647" i="2"/>
  <c r="C99" i="2"/>
  <c r="C98" i="2"/>
  <c r="C92" i="2"/>
  <c r="C521" i="2"/>
  <c r="C519" i="2"/>
  <c r="C518" i="2"/>
  <c r="C517" i="2"/>
  <c r="C516" i="2"/>
  <c r="C515" i="2"/>
  <c r="C520" i="2"/>
  <c r="C627" i="2"/>
  <c r="C97" i="2"/>
  <c r="C628" i="2"/>
  <c r="C338" i="2"/>
  <c r="E889" i="2"/>
  <c r="A888" i="2"/>
  <c r="E888" i="2"/>
  <c r="C663" i="2"/>
  <c r="C269" i="2"/>
  <c r="C270" i="2"/>
  <c r="C255" i="2"/>
  <c r="C237" i="2"/>
  <c r="C262" i="2"/>
  <c r="C416" i="2"/>
  <c r="C263" i="2"/>
  <c r="C264" i="2"/>
  <c r="C511" i="2"/>
  <c r="C275" i="2"/>
  <c r="C274" i="2"/>
  <c r="C261" i="2"/>
  <c r="C259" i="2"/>
  <c r="C418" i="2"/>
  <c r="C383" i="2"/>
  <c r="C384" i="2"/>
  <c r="C273" i="2"/>
  <c r="C236" i="2"/>
  <c r="C662" i="2"/>
  <c r="C661" i="2"/>
  <c r="C615" i="2"/>
  <c r="C614" i="2"/>
  <c r="C232" i="2"/>
  <c r="C226" i="2"/>
  <c r="C234" i="2"/>
  <c r="C225" i="2"/>
  <c r="C233" i="2"/>
  <c r="C228" i="2"/>
  <c r="C231" i="2"/>
  <c r="C227" i="2"/>
  <c r="C235" i="2"/>
  <c r="C230" i="2"/>
  <c r="C224" i="2"/>
  <c r="C229" i="2"/>
  <c r="C223" i="2"/>
  <c r="C222" i="2"/>
  <c r="C873" i="2"/>
  <c r="C868" i="2"/>
  <c r="C865" i="2"/>
  <c r="C858" i="2"/>
  <c r="C884" i="2"/>
  <c r="C883" i="2"/>
  <c r="C881" i="2"/>
  <c r="C863" i="2"/>
  <c r="C882" i="2"/>
  <c r="C856" i="2"/>
  <c r="C872" i="2"/>
  <c r="C871" i="2"/>
  <c r="C862" i="2"/>
  <c r="C870" i="2"/>
  <c r="C861" i="2"/>
  <c r="C875" i="2"/>
  <c r="C874" i="2"/>
  <c r="C867" i="2"/>
  <c r="C866" i="2"/>
  <c r="C864" i="2"/>
  <c r="C880" i="2"/>
  <c r="C879" i="2"/>
  <c r="C878" i="2"/>
  <c r="C877" i="2"/>
  <c r="C876" i="2"/>
  <c r="C860" i="2"/>
  <c r="C886" i="2"/>
  <c r="C885" i="2"/>
  <c r="C869" i="2"/>
  <c r="C859" i="2"/>
  <c r="C857" i="2"/>
  <c r="C266" i="2"/>
  <c r="C437" i="2"/>
  <c r="C267" i="2"/>
  <c r="C265" i="2"/>
  <c r="C436" i="2"/>
  <c r="C435" i="2"/>
  <c r="C434" i="2"/>
  <c r="C433" i="2"/>
  <c r="C268" i="2"/>
  <c r="B89" i="2"/>
  <c r="B90" i="2"/>
  <c r="B238" i="2"/>
  <c r="B276" i="2"/>
  <c r="B281" i="2"/>
  <c r="B623" i="2"/>
  <c r="B642" i="2"/>
  <c r="B657" i="2"/>
  <c r="B203" i="2"/>
  <c r="B629" i="2"/>
  <c r="B93" i="2"/>
  <c r="B94" i="2"/>
  <c r="B646" i="2"/>
  <c r="B96" i="2"/>
  <c r="B95" i="2"/>
  <c r="B664" i="2"/>
  <c r="B91" i="2"/>
  <c r="B100" i="2"/>
  <c r="B628" i="2"/>
  <c r="B338" i="2"/>
  <c r="B97" i="2"/>
  <c r="B627" i="2"/>
  <c r="B520" i="2"/>
  <c r="B515" i="2"/>
  <c r="B516" i="2"/>
  <c r="B517" i="2"/>
  <c r="B518" i="2"/>
  <c r="B519" i="2"/>
  <c r="B521" i="2"/>
  <c r="B92" i="2"/>
  <c r="B98" i="2"/>
  <c r="B99" i="2"/>
  <c r="B647" i="2"/>
  <c r="B101" i="2"/>
  <c r="B102" i="2"/>
  <c r="B499" i="2"/>
  <c r="B103" i="2"/>
  <c r="B175" i="2"/>
  <c r="B110" i="2"/>
  <c r="B648" i="2"/>
  <c r="B277" i="2"/>
  <c r="B649" i="2"/>
  <c r="B278" i="2"/>
  <c r="B104" i="2"/>
  <c r="B105" i="2"/>
  <c r="B621" i="2"/>
  <c r="B650" i="2"/>
  <c r="B106" i="2"/>
  <c r="B777" i="2"/>
  <c r="B522" i="2"/>
  <c r="B523" i="2"/>
  <c r="B111" i="2"/>
  <c r="B526" i="2"/>
  <c r="B109" i="2"/>
  <c r="B525" i="2"/>
  <c r="B108" i="2"/>
  <c r="B107" i="2"/>
  <c r="B651" i="2"/>
  <c r="B652" i="2"/>
  <c r="B176" i="2"/>
  <c r="B527" i="2"/>
  <c r="B528" i="2"/>
  <c r="B529" i="2"/>
  <c r="B530" i="2"/>
  <c r="B531" i="2"/>
  <c r="B532" i="2"/>
  <c r="B533" i="2"/>
  <c r="B778" i="2"/>
  <c r="B779" i="2"/>
  <c r="B780" i="2"/>
  <c r="B802" i="2"/>
  <c r="B801" i="2"/>
  <c r="B788" i="2"/>
  <c r="B855" i="2"/>
  <c r="B789" i="2"/>
  <c r="B800" i="2"/>
  <c r="B112" i="2"/>
  <c r="B534" i="2"/>
  <c r="B624" i="2"/>
  <c r="B117" i="2"/>
  <c r="B113" i="2"/>
  <c r="B118" i="2"/>
  <c r="B781" i="2"/>
  <c r="B798" i="2"/>
  <c r="B782" i="2"/>
  <c r="B783" i="2"/>
  <c r="B790" i="2"/>
  <c r="B625" i="2"/>
  <c r="B119" i="2"/>
  <c r="B665" i="2"/>
  <c r="B120" i="2"/>
  <c r="B123" i="2"/>
  <c r="B121" i="2"/>
  <c r="B666" i="2"/>
  <c r="B626" i="2"/>
  <c r="B114" i="2"/>
  <c r="B177" i="2"/>
  <c r="B116" i="2"/>
  <c r="B784" i="2"/>
  <c r="B799" i="2"/>
  <c r="B122" i="2"/>
  <c r="B124" i="2"/>
  <c r="B115" i="2"/>
  <c r="B622" i="2"/>
  <c r="B125" i="2"/>
  <c r="B631" i="2"/>
  <c r="B632" i="2"/>
  <c r="B635" i="2"/>
  <c r="B643" i="2"/>
  <c r="B633" i="2"/>
  <c r="B636" i="2"/>
  <c r="B637" i="2"/>
  <c r="B644" i="2"/>
  <c r="B640" i="2"/>
  <c r="B641" i="2"/>
  <c r="B630" i="2"/>
  <c r="B634" i="2"/>
  <c r="B645" i="2"/>
  <c r="B638" i="2"/>
  <c r="B639" i="2"/>
  <c r="B660" i="2"/>
  <c r="B667" i="2"/>
  <c r="B653" i="2"/>
  <c r="B656" i="2"/>
  <c r="B658" i="2"/>
  <c r="B659" i="2"/>
  <c r="B655" i="2"/>
  <c r="B654" i="2"/>
  <c r="B126" i="2"/>
  <c r="B127" i="2"/>
  <c r="B282" i="2"/>
  <c r="B288" i="2"/>
  <c r="B341" i="2"/>
  <c r="B412" i="2"/>
  <c r="B342" i="2"/>
  <c r="B178" i="2"/>
  <c r="B343" i="2"/>
  <c r="B179" i="2"/>
  <c r="B180" i="2"/>
  <c r="B181" i="2"/>
  <c r="B300" i="2"/>
  <c r="B344" i="2"/>
  <c r="B345" i="2"/>
  <c r="B182" i="2"/>
  <c r="B129" i="2"/>
  <c r="B184" i="2"/>
  <c r="B185" i="2"/>
  <c r="B186" i="2"/>
  <c r="B187" i="2"/>
  <c r="B215" i="2"/>
  <c r="B188" i="2"/>
  <c r="B189" i="2"/>
  <c r="B218" i="2"/>
  <c r="B130" i="2"/>
  <c r="B190" i="2"/>
  <c r="B191" i="2"/>
  <c r="B192" i="2"/>
  <c r="B183" i="2"/>
  <c r="B131" i="2"/>
  <c r="B339" i="2"/>
  <c r="B340" i="2"/>
  <c r="B132" i="2"/>
  <c r="B193" i="2"/>
  <c r="B133" i="2"/>
  <c r="B194" i="2"/>
  <c r="B195" i="2"/>
  <c r="B128" i="2"/>
  <c r="B348" i="2"/>
  <c r="B169" i="2"/>
  <c r="B283" i="2"/>
  <c r="B337" i="2"/>
  <c r="B346" i="2"/>
  <c r="B500" i="2"/>
  <c r="B501" i="2"/>
  <c r="B502" i="2"/>
  <c r="B385" i="2"/>
  <c r="B376" i="2"/>
  <c r="B503" i="2"/>
  <c r="B504" i="2"/>
  <c r="B377" i="2"/>
  <c r="B414" i="2"/>
  <c r="B415" i="2"/>
  <c r="B378" i="2"/>
  <c r="B379" i="2"/>
  <c r="B380" i="2"/>
  <c r="B349" i="2"/>
  <c r="B535" i="2"/>
  <c r="B170" i="2"/>
  <c r="B196" i="2"/>
  <c r="B381" i="2"/>
  <c r="B171" i="2"/>
  <c r="B197" i="2"/>
  <c r="B668" i="2"/>
  <c r="B172" i="2"/>
  <c r="B669" i="2"/>
  <c r="B386" i="2"/>
  <c r="B404" i="2"/>
  <c r="B347" i="2"/>
  <c r="B397" i="2"/>
  <c r="B387" i="2"/>
  <c r="B382" i="2"/>
  <c r="B399" i="2"/>
  <c r="B388" i="2"/>
  <c r="B389" i="2"/>
  <c r="B420" i="2"/>
  <c r="B421" i="2"/>
  <c r="B422" i="2"/>
  <c r="B423" i="2"/>
  <c r="B426" i="2"/>
  <c r="B536" i="2"/>
  <c r="B537" i="2"/>
  <c r="B413" i="2"/>
  <c r="B393" i="2"/>
  <c r="B401" i="2"/>
  <c r="B406" i="2"/>
  <c r="B394" i="2"/>
  <c r="B390" i="2"/>
  <c r="B407" i="2"/>
  <c r="B400" i="2"/>
  <c r="B405" i="2"/>
  <c r="B391" i="2"/>
  <c r="B392" i="2"/>
  <c r="B134" i="2"/>
  <c r="B135" i="2"/>
  <c r="B272" i="2"/>
  <c r="B289" i="2"/>
  <c r="B350" i="2"/>
  <c r="B428" i="2"/>
  <c r="B725" i="2"/>
  <c r="B771" i="2"/>
  <c r="B290" i="2"/>
  <c r="B351" i="2"/>
  <c r="B330" i="2"/>
  <c r="B670" i="2"/>
  <c r="B352" i="2"/>
  <c r="B136" i="2"/>
  <c r="B353" i="2"/>
  <c r="B137" i="2"/>
  <c r="B292" i="2"/>
  <c r="B322" i="2"/>
  <c r="B354" i="2"/>
  <c r="B139" i="2"/>
  <c r="B705" i="2"/>
  <c r="B706" i="2"/>
  <c r="B707" i="2"/>
  <c r="B708" i="2"/>
  <c r="B709" i="2"/>
  <c r="B710" i="2"/>
  <c r="B711" i="2"/>
  <c r="B712" i="2"/>
  <c r="B713" i="2"/>
  <c r="B714" i="2"/>
  <c r="B809" i="2"/>
  <c r="B810" i="2"/>
  <c r="B811" i="2"/>
  <c r="B715" i="2"/>
  <c r="B815" i="2"/>
  <c r="B717" i="2"/>
  <c r="B716" i="2"/>
  <c r="B718" i="2"/>
  <c r="B719" i="2"/>
  <c r="B720" i="2"/>
  <c r="B721" i="2"/>
  <c r="B323" i="2"/>
  <c r="B734" i="2"/>
  <c r="B200" i="2"/>
  <c r="B201" i="2"/>
  <c r="B822" i="2"/>
  <c r="B845" i="2"/>
  <c r="B148" i="2"/>
  <c r="B146" i="2"/>
  <c r="B722" i="2"/>
  <c r="B143" i="2"/>
  <c r="B147" i="2"/>
  <c r="B145" i="2"/>
  <c r="B144" i="2"/>
  <c r="B817" i="2"/>
  <c r="B429" i="2"/>
  <c r="B723" i="2"/>
  <c r="B724" i="2"/>
  <c r="B726" i="2"/>
  <c r="B751" i="2"/>
  <c r="B736" i="2"/>
  <c r="B731" i="2"/>
  <c r="B732" i="2"/>
  <c r="B733" i="2"/>
  <c r="B727" i="2"/>
  <c r="B728" i="2"/>
  <c r="B729" i="2"/>
  <c r="B730" i="2"/>
  <c r="B735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2" i="2"/>
  <c r="B142" i="2"/>
  <c r="B754" i="2"/>
  <c r="B823" i="2"/>
  <c r="B753" i="2"/>
  <c r="B816" i="2"/>
  <c r="B755" i="2"/>
  <c r="B756" i="2"/>
  <c r="B757" i="2"/>
  <c r="B758" i="2"/>
  <c r="B812" i="2"/>
  <c r="B813" i="2"/>
  <c r="B759" i="2"/>
  <c r="B853" i="2"/>
  <c r="B852" i="2"/>
  <c r="B824" i="2"/>
  <c r="B825" i="2"/>
  <c r="B760" i="2"/>
  <c r="B814" i="2"/>
  <c r="B826" i="2"/>
  <c r="B324" i="2"/>
  <c r="B325" i="2"/>
  <c r="B138" i="2"/>
  <c r="B141" i="2"/>
  <c r="B316" i="2"/>
  <c r="B671" i="2"/>
  <c r="B672" i="2"/>
  <c r="B673" i="2"/>
  <c r="B140" i="2"/>
  <c r="B174" i="2"/>
  <c r="B430" i="2"/>
  <c r="B202" i="2"/>
  <c r="B827" i="2"/>
  <c r="B828" i="2"/>
  <c r="B829" i="2"/>
  <c r="B830" i="2"/>
  <c r="B831" i="2"/>
  <c r="B832" i="2"/>
  <c r="B851" i="2"/>
  <c r="B834" i="2"/>
  <c r="B850" i="2"/>
  <c r="B761" i="2"/>
  <c r="B763" i="2"/>
  <c r="B764" i="2"/>
  <c r="B849" i="2"/>
  <c r="B835" i="2"/>
  <c r="B848" i="2"/>
  <c r="B836" i="2"/>
  <c r="B765" i="2"/>
  <c r="B837" i="2"/>
  <c r="B843" i="2"/>
  <c r="B847" i="2"/>
  <c r="B844" i="2"/>
  <c r="B833" i="2"/>
  <c r="B838" i="2"/>
  <c r="B839" i="2"/>
  <c r="B840" i="2"/>
  <c r="B841" i="2"/>
  <c r="B846" i="2"/>
  <c r="B842" i="2"/>
  <c r="B762" i="2"/>
  <c r="B766" i="2"/>
  <c r="B767" i="2"/>
  <c r="B772" i="2"/>
  <c r="B773" i="2"/>
  <c r="B774" i="2"/>
  <c r="B775" i="2"/>
  <c r="B776" i="2"/>
  <c r="B160" i="2"/>
  <c r="B291" i="2"/>
  <c r="B159" i="2"/>
  <c r="B167" i="2"/>
  <c r="B168" i="2"/>
  <c r="B3" i="2"/>
  <c r="B4" i="2"/>
  <c r="B239" i="2"/>
  <c r="B293" i="2"/>
  <c r="B303" i="2"/>
  <c r="B309" i="2"/>
  <c r="B438" i="2"/>
  <c r="B439" i="2"/>
  <c r="B446" i="2"/>
  <c r="B459" i="2"/>
  <c r="B480" i="2"/>
  <c r="B497" i="2"/>
  <c r="B552" i="2"/>
  <c r="B561" i="2"/>
  <c r="B585" i="2"/>
  <c r="B540" i="2"/>
  <c r="B5" i="2"/>
  <c r="B242" i="2"/>
  <c r="B444" i="2"/>
  <c r="B37" i="2"/>
  <c r="B445" i="2"/>
  <c r="B38" i="2"/>
  <c r="B39" i="2"/>
  <c r="B48" i="2"/>
  <c r="B49" i="2"/>
  <c r="B50" i="2"/>
  <c r="B209" i="2"/>
  <c r="B51" i="2"/>
  <c r="B52" i="2"/>
  <c r="B30" i="2"/>
  <c r="B243" i="2"/>
  <c r="B210" i="2"/>
  <c r="B34" i="2"/>
  <c r="B46" i="2"/>
  <c r="B41" i="2"/>
  <c r="B45" i="2"/>
  <c r="B43" i="2"/>
  <c r="B44" i="2"/>
  <c r="B42" i="2"/>
  <c r="B47" i="2"/>
  <c r="B33" i="2"/>
  <c r="B31" i="2"/>
  <c r="B53" i="2"/>
  <c r="B211" i="2"/>
  <c r="B54" i="2"/>
  <c r="B55" i="2"/>
  <c r="B35" i="2"/>
  <c r="B32" i="2"/>
  <c r="B56" i="2"/>
  <c r="B36" i="2"/>
  <c r="B57" i="2"/>
  <c r="B326" i="2"/>
  <c r="B355" i="2"/>
  <c r="B360" i="2"/>
  <c r="B549" i="2"/>
  <c r="B550" i="2"/>
  <c r="B440" i="2"/>
  <c r="B551" i="2"/>
  <c r="B471" i="2"/>
  <c r="B498" i="2"/>
  <c r="B562" i="2"/>
  <c r="B563" i="2"/>
  <c r="B803" i="2"/>
  <c r="B804" i="2"/>
  <c r="B805" i="2"/>
  <c r="B441" i="2"/>
  <c r="B684" i="2"/>
  <c r="B472" i="2"/>
  <c r="B473" i="2"/>
  <c r="B618" i="2"/>
  <c r="B619" i="2"/>
  <c r="B695" i="2"/>
  <c r="B854" i="2"/>
  <c r="B442" i="2"/>
  <c r="B474" i="2"/>
  <c r="B564" i="2"/>
  <c r="B806" i="2"/>
  <c r="B565" i="2"/>
  <c r="B807" i="2"/>
  <c r="B674" i="2"/>
  <c r="B785" i="2"/>
  <c r="B676" i="2"/>
  <c r="B675" i="2"/>
  <c r="B677" i="2"/>
  <c r="B678" i="2"/>
  <c r="B443" i="2"/>
  <c r="B475" i="2"/>
  <c r="B476" i="2"/>
  <c r="B620" i="2"/>
  <c r="B477" i="2"/>
  <c r="B566" i="2"/>
  <c r="B478" i="2"/>
  <c r="B479" i="2"/>
  <c r="B596" i="2"/>
  <c r="B597" i="2"/>
  <c r="B9" i="2"/>
  <c r="B212" i="2"/>
  <c r="B11" i="2"/>
  <c r="B60" i="2"/>
  <c r="B59" i="2"/>
  <c r="B58" i="2"/>
  <c r="B8" i="2"/>
  <c r="B61" i="2"/>
  <c r="B538" i="2"/>
  <c r="B539" i="2"/>
  <c r="B687" i="2"/>
  <c r="B12" i="2"/>
  <c r="B481" i="2"/>
  <c r="B485" i="2"/>
  <c r="B567" i="2"/>
  <c r="B680" i="2"/>
  <c r="B679" i="2"/>
  <c r="B683" i="2"/>
  <c r="B569" i="2"/>
  <c r="B808" i="2"/>
  <c r="B681" i="2"/>
  <c r="B682" i="2"/>
  <c r="B62" i="2"/>
  <c r="B314" i="2"/>
  <c r="B315" i="2"/>
  <c r="B63" i="2"/>
  <c r="B64" i="2"/>
  <c r="B570" i="2"/>
  <c r="B701" i="2"/>
  <c r="B617" i="2"/>
  <c r="B571" i="2"/>
  <c r="B572" i="2"/>
  <c r="B482" i="2"/>
  <c r="B573" i="2"/>
  <c r="B578" i="2"/>
  <c r="B579" i="2"/>
  <c r="B487" i="2"/>
  <c r="B488" i="2"/>
  <c r="B489" i="2"/>
  <c r="B490" i="2"/>
  <c r="B574" i="2"/>
  <c r="B575" i="2"/>
  <c r="B576" i="2"/>
  <c r="B577" i="2"/>
  <c r="B553" i="2"/>
  <c r="B557" i="2"/>
  <c r="B554" i="2"/>
  <c r="B558" i="2"/>
  <c r="B580" i="2"/>
  <c r="B599" i="2"/>
  <c r="B598" i="2"/>
  <c r="B694" i="2"/>
  <c r="B505" i="2"/>
  <c r="B768" i="2"/>
  <c r="B506" i="2"/>
  <c r="B555" i="2"/>
  <c r="B559" i="2"/>
  <c r="B556" i="2"/>
  <c r="B560" i="2"/>
  <c r="B586" i="2"/>
  <c r="B587" i="2"/>
  <c r="B588" i="2"/>
  <c r="B581" i="2"/>
  <c r="B582" i="2"/>
  <c r="B689" i="2"/>
  <c r="B583" i="2"/>
  <c r="B584" i="2"/>
  <c r="B770" i="2"/>
  <c r="B692" i="2"/>
  <c r="B693" i="2"/>
  <c r="B589" i="2"/>
  <c r="B590" i="2"/>
  <c r="B483" i="2"/>
  <c r="B769" i="2"/>
  <c r="B491" i="2"/>
  <c r="B507" i="2"/>
  <c r="B685" i="2"/>
  <c r="B703" i="2"/>
  <c r="B702" i="2"/>
  <c r="B786" i="2"/>
  <c r="B787" i="2"/>
  <c r="B13" i="2"/>
  <c r="B65" i="2"/>
  <c r="B484" i="2"/>
  <c r="B492" i="2"/>
  <c r="B493" i="2"/>
  <c r="B494" i="2"/>
  <c r="B495" i="2"/>
  <c r="B602" i="2"/>
  <c r="B603" i="2"/>
  <c r="B600" i="2"/>
  <c r="B601" i="2"/>
  <c r="B819" i="2"/>
  <c r="B688" i="2"/>
  <c r="B510" i="2"/>
  <c r="B690" i="2"/>
  <c r="B691" i="2"/>
  <c r="B686" i="2"/>
  <c r="B486" i="2"/>
  <c r="B610" i="2"/>
  <c r="B604" i="2"/>
  <c r="B605" i="2"/>
  <c r="B496" i="2"/>
  <c r="B508" i="2"/>
  <c r="B606" i="2"/>
  <c r="B607" i="2"/>
  <c r="B608" i="2"/>
  <c r="B609" i="2"/>
  <c r="B696" i="2"/>
  <c r="B698" i="2"/>
  <c r="B697" i="2"/>
  <c r="B611" i="2"/>
  <c r="B700" i="2"/>
  <c r="B699" i="2"/>
  <c r="B616" i="2"/>
  <c r="B7" i="2"/>
  <c r="B10" i="2"/>
  <c r="B66" i="2"/>
  <c r="B301" i="2"/>
  <c r="B6" i="2"/>
  <c r="B302" i="2"/>
  <c r="B213" i="2"/>
  <c r="B304" i="2"/>
  <c r="B305" i="2"/>
  <c r="B67" i="2"/>
  <c r="B68" i="2"/>
  <c r="B69" i="2"/>
  <c r="B306" i="2"/>
  <c r="B70" i="2"/>
  <c r="B71" i="2"/>
  <c r="B40" i="2"/>
  <c r="B72" i="2"/>
  <c r="B73" i="2"/>
  <c r="B74" i="2"/>
  <c r="B307" i="2"/>
  <c r="B76" i="2"/>
  <c r="B75" i="2"/>
  <c r="B77" i="2"/>
  <c r="B308" i="2"/>
  <c r="B78" i="2"/>
  <c r="B79" i="2"/>
  <c r="B80" i="2"/>
  <c r="B81" i="2"/>
  <c r="B14" i="2"/>
  <c r="B294" i="2"/>
  <c r="B15" i="2"/>
  <c r="B16" i="2"/>
  <c r="B17" i="2"/>
  <c r="B18" i="2"/>
  <c r="B334" i="2"/>
  <c r="B19" i="2"/>
  <c r="B20" i="2"/>
  <c r="B21" i="2"/>
  <c r="B254" i="2"/>
  <c r="B818" i="2"/>
  <c r="B22" i="2"/>
  <c r="B23" i="2"/>
  <c r="B24" i="2"/>
  <c r="B25" i="2"/>
  <c r="B82" i="2"/>
  <c r="B26" i="2"/>
  <c r="B87" i="2"/>
  <c r="B83" i="2"/>
  <c r="B88" i="2"/>
  <c r="B84" i="2"/>
  <c r="B27" i="2"/>
  <c r="B85" i="2"/>
  <c r="B28" i="2"/>
  <c r="B86" i="2"/>
  <c r="B29" i="2"/>
  <c r="B214" i="2"/>
  <c r="B161" i="2"/>
  <c r="B295" i="2"/>
  <c r="B298" i="2"/>
  <c r="B356" i="2"/>
  <c r="B546" i="2"/>
  <c r="B163" i="2"/>
  <c r="B296" i="2"/>
  <c r="B357" i="2"/>
  <c r="B358" i="2"/>
  <c r="B704" i="2"/>
  <c r="B297" i="2"/>
  <c r="B204" i="2"/>
  <c r="B165" i="2"/>
  <c r="B166" i="2"/>
  <c r="B512" i="2"/>
  <c r="B542" i="2"/>
  <c r="B543" i="2"/>
  <c r="B544" i="2"/>
  <c r="B545" i="2"/>
  <c r="B513" i="2"/>
  <c r="B317" i="2"/>
  <c r="B318" i="2"/>
  <c r="B279" i="2"/>
  <c r="B280" i="2"/>
  <c r="B359" i="2"/>
  <c r="B162" i="2"/>
  <c r="B164" i="2"/>
  <c r="B149" i="2"/>
  <c r="B150" i="2"/>
  <c r="B299" i="2"/>
  <c r="B361" i="2"/>
  <c r="B372" i="2"/>
  <c r="B151" i="2"/>
  <c r="B362" i="2"/>
  <c r="B431" i="2"/>
  <c r="B363" i="2"/>
  <c r="B152" i="2"/>
  <c r="B364" i="2"/>
  <c r="B153" i="2"/>
  <c r="B154" i="2"/>
  <c r="B365" i="2"/>
  <c r="B793" i="2"/>
  <c r="B329" i="2"/>
  <c r="B792" i="2"/>
  <c r="B794" i="2"/>
  <c r="B795" i="2"/>
  <c r="B796" i="2"/>
  <c r="B797" i="2"/>
  <c r="B366" i="2"/>
  <c r="B367" i="2"/>
  <c r="B791" i="2"/>
  <c r="B216" i="2"/>
  <c r="B208" i="2"/>
  <c r="B368" i="2"/>
  <c r="B374" i="2"/>
  <c r="B155" i="2"/>
  <c r="B156" i="2"/>
  <c r="B432" i="2"/>
  <c r="B157" i="2"/>
  <c r="B158" i="2"/>
  <c r="B217" i="2"/>
  <c r="B369" i="2"/>
  <c r="B371" i="2"/>
  <c r="B370" i="2"/>
  <c r="B373" i="2"/>
  <c r="B821" i="2"/>
  <c r="B206" i="2"/>
  <c r="B207" i="2"/>
  <c r="B205" i="2"/>
  <c r="B820" i="2"/>
  <c r="B173" i="2"/>
  <c r="B375" i="2"/>
  <c r="B613" i="2"/>
  <c r="C3" i="2"/>
  <c r="C4" i="2"/>
  <c r="C5" i="2"/>
  <c r="C7" i="2"/>
  <c r="C8" i="2"/>
  <c r="C9" i="2"/>
  <c r="C10" i="2"/>
  <c r="C11" i="2"/>
  <c r="C12" i="2"/>
  <c r="C30" i="2"/>
  <c r="C31" i="2"/>
  <c r="C32" i="2"/>
  <c r="C33" i="2"/>
  <c r="C34" i="2"/>
  <c r="C35" i="2"/>
  <c r="C36" i="2"/>
  <c r="C37" i="2"/>
  <c r="C38" i="2"/>
  <c r="C39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6" i="2"/>
  <c r="C89" i="2"/>
  <c r="C90" i="2"/>
  <c r="C91" i="2"/>
  <c r="C93" i="2"/>
  <c r="C94" i="2"/>
  <c r="C95" i="2"/>
  <c r="C96" i="2"/>
  <c r="C100" i="2"/>
  <c r="C112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40" i="2"/>
  <c r="C141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3" i="2"/>
  <c r="C174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202" i="2"/>
  <c r="C203" i="2"/>
  <c r="C204" i="2"/>
  <c r="C205" i="2"/>
  <c r="C206" i="2"/>
  <c r="C207" i="2"/>
  <c r="C208" i="2"/>
  <c r="C209" i="2"/>
  <c r="C210" i="2"/>
  <c r="C211" i="2"/>
  <c r="C212" i="2"/>
  <c r="C215" i="2"/>
  <c r="C216" i="2"/>
  <c r="C217" i="2"/>
  <c r="C218" i="2"/>
  <c r="C238" i="2"/>
  <c r="C239" i="2"/>
  <c r="C242" i="2"/>
  <c r="C243" i="2"/>
  <c r="C256" i="2"/>
  <c r="C257" i="2"/>
  <c r="C258" i="2"/>
  <c r="C271" i="2"/>
  <c r="C272" i="2"/>
  <c r="C276" i="2"/>
  <c r="C279" i="2"/>
  <c r="C280" i="2"/>
  <c r="C281" i="2"/>
  <c r="C282" i="2"/>
  <c r="C283" i="2"/>
  <c r="C288" i="2"/>
  <c r="C289" i="2"/>
  <c r="C290" i="2"/>
  <c r="C291" i="2"/>
  <c r="C293" i="2"/>
  <c r="C295" i="2"/>
  <c r="C296" i="2"/>
  <c r="C297" i="2"/>
  <c r="C298" i="2"/>
  <c r="C299" i="2"/>
  <c r="C300" i="2"/>
  <c r="C303" i="2"/>
  <c r="C309" i="2"/>
  <c r="C316" i="2"/>
  <c r="C317" i="2"/>
  <c r="C318" i="2"/>
  <c r="C322" i="2"/>
  <c r="C323" i="2"/>
  <c r="C324" i="2"/>
  <c r="C325" i="2"/>
  <c r="C326" i="2"/>
  <c r="C329" i="2"/>
  <c r="C330" i="2"/>
  <c r="C337" i="2"/>
  <c r="C339" i="2"/>
  <c r="C340" i="2"/>
  <c r="C341" i="2"/>
  <c r="C342" i="2"/>
  <c r="C343" i="2"/>
  <c r="C344" i="2"/>
  <c r="C345" i="2"/>
  <c r="C346" i="2"/>
  <c r="C348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5" i="2"/>
  <c r="C412" i="2"/>
  <c r="C414" i="2"/>
  <c r="C415" i="2"/>
  <c r="C417" i="2"/>
  <c r="C419" i="2"/>
  <c r="C428" i="2"/>
  <c r="C430" i="2"/>
  <c r="C431" i="2"/>
  <c r="C432" i="2"/>
  <c r="C438" i="2"/>
  <c r="C439" i="2"/>
  <c r="C440" i="2"/>
  <c r="C441" i="2"/>
  <c r="C442" i="2"/>
  <c r="C443" i="2"/>
  <c r="C444" i="2"/>
  <c r="C445" i="2"/>
  <c r="C446" i="2"/>
  <c r="C459" i="2"/>
  <c r="C471" i="2"/>
  <c r="C472" i="2"/>
  <c r="C473" i="2"/>
  <c r="C474" i="2"/>
  <c r="C475" i="2"/>
  <c r="C476" i="2"/>
  <c r="C477" i="2"/>
  <c r="C478" i="2"/>
  <c r="C479" i="2"/>
  <c r="C480" i="2"/>
  <c r="C497" i="2"/>
  <c r="C498" i="2"/>
  <c r="C500" i="2"/>
  <c r="C501" i="2"/>
  <c r="C502" i="2"/>
  <c r="C503" i="2"/>
  <c r="C504" i="2"/>
  <c r="C512" i="2"/>
  <c r="C513" i="2"/>
  <c r="C534" i="2"/>
  <c r="C538" i="2"/>
  <c r="C539" i="2"/>
  <c r="C540" i="2"/>
  <c r="C542" i="2"/>
  <c r="C543" i="2"/>
  <c r="C544" i="2"/>
  <c r="C545" i="2"/>
  <c r="C546" i="2"/>
  <c r="C547" i="2"/>
  <c r="C549" i="2"/>
  <c r="C550" i="2"/>
  <c r="C551" i="2"/>
  <c r="C552" i="2"/>
  <c r="C561" i="2"/>
  <c r="C562" i="2"/>
  <c r="C563" i="2"/>
  <c r="C564" i="2"/>
  <c r="C565" i="2"/>
  <c r="C566" i="2"/>
  <c r="C585" i="2"/>
  <c r="C596" i="2"/>
  <c r="C597" i="2"/>
  <c r="C613" i="2"/>
  <c r="C618" i="2"/>
  <c r="C619" i="2"/>
  <c r="C620" i="2"/>
  <c r="C623" i="2"/>
  <c r="C629" i="2"/>
  <c r="C642" i="2"/>
  <c r="C646" i="2"/>
  <c r="C653" i="2"/>
  <c r="C654" i="2"/>
  <c r="C655" i="2"/>
  <c r="C656" i="2"/>
  <c r="C657" i="2"/>
  <c r="C658" i="2"/>
  <c r="C659" i="2"/>
  <c r="C664" i="2"/>
  <c r="C670" i="2"/>
  <c r="C671" i="2"/>
  <c r="C672" i="2"/>
  <c r="C673" i="2"/>
  <c r="C674" i="2"/>
  <c r="C675" i="2"/>
  <c r="C676" i="2"/>
  <c r="C677" i="2"/>
  <c r="C678" i="2"/>
  <c r="C684" i="2"/>
  <c r="C687" i="2"/>
  <c r="C695" i="2"/>
  <c r="C704" i="2"/>
  <c r="C725" i="2"/>
  <c r="C760" i="2"/>
  <c r="C762" i="2"/>
  <c r="C766" i="2"/>
  <c r="C767" i="2"/>
  <c r="C771" i="2"/>
  <c r="C774" i="2"/>
  <c r="C785" i="2"/>
  <c r="C791" i="2"/>
  <c r="C792" i="2"/>
  <c r="C793" i="2"/>
  <c r="C794" i="2"/>
  <c r="C795" i="2"/>
  <c r="C796" i="2"/>
  <c r="C797" i="2"/>
  <c r="C803" i="2"/>
  <c r="C804" i="2"/>
  <c r="C805" i="2"/>
  <c r="C806" i="2"/>
  <c r="C807" i="2"/>
  <c r="C814" i="2"/>
  <c r="C820" i="2"/>
  <c r="C821" i="2"/>
  <c r="C825" i="2"/>
  <c r="C826" i="2"/>
  <c r="C854" i="2"/>
  <c r="C375" i="1"/>
  <c r="C386" i="1"/>
  <c r="C381" i="1"/>
  <c r="C374" i="1"/>
  <c r="C385" i="1"/>
  <c r="C379" i="1"/>
  <c r="C384" i="1"/>
  <c r="C378" i="1"/>
  <c r="C611" i="1"/>
  <c r="C373" i="1"/>
  <c r="C380" i="1"/>
  <c r="C141" i="1"/>
  <c r="C436" i="1"/>
  <c r="C408" i="1"/>
  <c r="C406" i="1"/>
  <c r="C140" i="1"/>
  <c r="C224" i="1"/>
  <c r="C383" i="1"/>
  <c r="C139" i="1"/>
  <c r="C382" i="1"/>
  <c r="C223" i="1"/>
  <c r="C138" i="1"/>
  <c r="C222" i="1"/>
  <c r="C371" i="1"/>
  <c r="C137" i="1"/>
  <c r="C220" i="1"/>
  <c r="C369" i="1"/>
  <c r="C259" i="1"/>
  <c r="C136" i="1"/>
  <c r="C144" i="1"/>
  <c r="C613" i="1"/>
  <c r="C142" i="1"/>
  <c r="C612" i="1"/>
  <c r="C637" i="1"/>
  <c r="C143" i="1"/>
  <c r="C370" i="1"/>
  <c r="C610" i="1"/>
  <c r="C372" i="1"/>
  <c r="C260" i="1"/>
  <c r="C145" i="1"/>
  <c r="C135" i="1"/>
  <c r="C376" i="1"/>
  <c r="C439" i="1"/>
  <c r="C388" i="1"/>
  <c r="C264" i="1"/>
  <c r="C625" i="1"/>
  <c r="C443" i="1"/>
  <c r="C438" i="1"/>
  <c r="C263" i="1"/>
  <c r="C87" i="1"/>
  <c r="C86" i="1"/>
  <c r="C540" i="1"/>
  <c r="C539" i="1"/>
  <c r="C538" i="1"/>
  <c r="C668" i="1"/>
  <c r="C692" i="1"/>
  <c r="C684" i="1"/>
  <c r="C683" i="1"/>
  <c r="C667" i="1"/>
  <c r="C691" i="1"/>
  <c r="C681" i="1"/>
  <c r="C678" i="1"/>
  <c r="C675" i="1"/>
  <c r="C674" i="1"/>
  <c r="C673" i="1"/>
  <c r="C672" i="1"/>
  <c r="C680" i="1"/>
  <c r="C682" i="1"/>
  <c r="C676" i="1"/>
  <c r="C666" i="1"/>
  <c r="C671" i="1"/>
  <c r="C679" i="1"/>
  <c r="C688" i="1"/>
  <c r="C687" i="1"/>
  <c r="C686" i="1"/>
  <c r="C685" i="1"/>
  <c r="C677" i="1"/>
  <c r="C670" i="1"/>
  <c r="C669" i="1"/>
  <c r="C690" i="1"/>
  <c r="C689" i="1"/>
  <c r="C568" i="1"/>
  <c r="C440" i="1"/>
  <c r="C154" i="1"/>
  <c r="C92" i="1"/>
  <c r="C155" i="1"/>
  <c r="C617" i="1"/>
  <c r="C616" i="1"/>
  <c r="C567" i="1"/>
  <c r="C90" i="1"/>
  <c r="C619" i="1"/>
  <c r="C442" i="1"/>
  <c r="C230" i="1"/>
  <c r="C91" i="1"/>
  <c r="C320" i="1"/>
  <c r="C636" i="1"/>
  <c r="C542" i="1"/>
  <c r="C287" i="1"/>
  <c r="C280" i="1"/>
  <c r="C159" i="1"/>
  <c r="C279" i="1"/>
  <c r="C158" i="1"/>
  <c r="C157" i="1"/>
  <c r="C278" i="1"/>
  <c r="C314" i="1"/>
  <c r="C623" i="1"/>
  <c r="C447" i="1"/>
  <c r="C622" i="1"/>
  <c r="C277" i="1"/>
  <c r="C624" i="1"/>
  <c r="C276" i="1"/>
  <c r="C321" i="1"/>
  <c r="C156" i="1"/>
  <c r="C275" i="1"/>
  <c r="C274" i="1"/>
  <c r="C615" i="1"/>
  <c r="C273" i="1"/>
  <c r="C101" i="1"/>
  <c r="C100" i="1"/>
  <c r="C621" i="1"/>
  <c r="C614" i="1"/>
  <c r="C441" i="1"/>
  <c r="C99" i="1"/>
  <c r="C88" i="1"/>
  <c r="C620" i="1"/>
  <c r="C98" i="1"/>
  <c r="C97" i="1"/>
  <c r="C282" i="1"/>
  <c r="C149" i="1"/>
  <c r="C150" i="1"/>
  <c r="C96" i="1"/>
  <c r="C94" i="1"/>
  <c r="C151" i="1"/>
  <c r="C444" i="1"/>
  <c r="C102" i="1"/>
  <c r="C152" i="1"/>
  <c r="C153" i="1"/>
  <c r="C93" i="1"/>
  <c r="C618" i="1"/>
  <c r="C322" i="1"/>
  <c r="C95" i="1"/>
  <c r="C581" i="1"/>
  <c r="C445" i="1"/>
  <c r="C650" i="1"/>
  <c r="C649" i="1"/>
  <c r="C283" i="1"/>
  <c r="C284" i="1"/>
  <c r="C446" i="1"/>
  <c r="C148" i="1"/>
  <c r="C588" i="1"/>
  <c r="C586" i="1"/>
  <c r="C582" i="1"/>
  <c r="C585" i="1"/>
  <c r="C583" i="1"/>
  <c r="C584" i="1"/>
  <c r="C653" i="1"/>
  <c r="C651" i="1"/>
  <c r="C648" i="1"/>
  <c r="C647" i="1"/>
  <c r="C663" i="1"/>
  <c r="C646" i="1"/>
  <c r="C645" i="1"/>
  <c r="C643" i="1"/>
  <c r="C644" i="1"/>
  <c r="C642" i="1"/>
  <c r="C641" i="1"/>
  <c r="C640" i="1"/>
  <c r="C662" i="1"/>
  <c r="C652" i="1"/>
  <c r="C639" i="1"/>
  <c r="C638" i="1"/>
  <c r="C265" i="1"/>
  <c r="C147" i="1"/>
  <c r="C146" i="1"/>
  <c r="C626" i="1"/>
  <c r="C333" i="1"/>
  <c r="C332" i="1"/>
  <c r="C352" i="1"/>
  <c r="C341" i="1"/>
  <c r="C340" i="1"/>
  <c r="C331" i="1"/>
  <c r="C353" i="1"/>
  <c r="C351" i="1"/>
  <c r="C131" i="1"/>
  <c r="C312" i="1"/>
  <c r="C85" i="1"/>
  <c r="C84" i="1"/>
  <c r="C83" i="1"/>
  <c r="C311" i="1"/>
  <c r="C82" i="1"/>
  <c r="C81" i="1"/>
  <c r="C76" i="1"/>
  <c r="C604" i="1"/>
  <c r="C603" i="1"/>
  <c r="C572" i="1"/>
  <c r="C79" i="1"/>
  <c r="C219" i="1"/>
  <c r="C218" i="1"/>
  <c r="C602" i="1"/>
  <c r="C78" i="1"/>
  <c r="C217" i="1"/>
  <c r="C216" i="1"/>
  <c r="C310" i="1"/>
  <c r="C309" i="1"/>
  <c r="C601" i="1"/>
  <c r="C80" i="1"/>
  <c r="C308" i="1"/>
  <c r="C215" i="1"/>
  <c r="C214" i="1"/>
  <c r="C77" i="1"/>
  <c r="C75" i="1"/>
  <c r="C307" i="1"/>
  <c r="C208" i="1"/>
  <c r="C207" i="1"/>
  <c r="C272" i="1"/>
  <c r="C74" i="1"/>
  <c r="C73" i="1"/>
  <c r="C72" i="1"/>
  <c r="C71" i="1"/>
  <c r="C213" i="1"/>
  <c r="C70" i="1"/>
  <c r="C212" i="1"/>
  <c r="C69" i="1"/>
  <c r="C306" i="1"/>
  <c r="C68" i="1"/>
  <c r="C600" i="1"/>
  <c r="C599" i="1"/>
  <c r="C67" i="1"/>
  <c r="C211" i="1"/>
  <c r="C66" i="1"/>
  <c r="C65" i="1"/>
  <c r="C210" i="1"/>
  <c r="C64" i="1"/>
  <c r="C63" i="1"/>
  <c r="C62" i="1"/>
  <c r="C61" i="1"/>
  <c r="C209" i="1"/>
  <c r="C60" i="1"/>
  <c r="C635" i="1"/>
  <c r="C229" i="1"/>
  <c r="C57" i="1"/>
  <c r="C634" i="1"/>
  <c r="C206" i="1"/>
  <c r="C58" i="1"/>
  <c r="C56" i="1"/>
  <c r="C55" i="1"/>
  <c r="C54" i="1"/>
  <c r="C52" i="1"/>
  <c r="C59" i="1"/>
  <c r="C204" i="1"/>
  <c r="C203" i="1"/>
  <c r="C202" i="1"/>
  <c r="C201" i="1"/>
  <c r="C205" i="1"/>
  <c r="C200" i="1"/>
  <c r="C571" i="1"/>
  <c r="C199" i="1"/>
  <c r="C198" i="1"/>
  <c r="C197" i="1"/>
  <c r="C196" i="1"/>
  <c r="C195" i="1"/>
  <c r="C305" i="1"/>
  <c r="C304" i="1"/>
  <c r="C633" i="1"/>
  <c r="C193" i="1"/>
  <c r="C192" i="1"/>
  <c r="C51" i="1"/>
  <c r="C367" i="1"/>
  <c r="C598" i="1"/>
  <c r="C597" i="1"/>
  <c r="C194" i="1"/>
  <c r="C50" i="1"/>
  <c r="C49" i="1"/>
  <c r="C303" i="1"/>
  <c r="C302" i="1"/>
  <c r="C301" i="1"/>
  <c r="C47" i="1"/>
  <c r="C48" i="1"/>
  <c r="C632" i="1"/>
  <c r="C53" i="1"/>
  <c r="C330" i="1"/>
  <c r="C271" i="1"/>
  <c r="C46" i="1"/>
  <c r="C45" i="1"/>
  <c r="C590" i="1"/>
  <c r="C609" i="1"/>
  <c r="C326" i="1"/>
  <c r="C105" i="1"/>
  <c r="C111" i="1"/>
  <c r="C587" i="1"/>
  <c r="C608" i="1"/>
  <c r="C191" i="1"/>
  <c r="C110" i="1"/>
  <c r="C109" i="1"/>
  <c r="C108" i="1"/>
  <c r="C232" i="1"/>
  <c r="C190" i="1"/>
  <c r="C541" i="1"/>
  <c r="C607" i="1"/>
  <c r="C231" i="1"/>
  <c r="C189" i="1"/>
  <c r="C325" i="1"/>
  <c r="C606" i="1"/>
  <c r="C589" i="1"/>
  <c r="C104" i="1"/>
  <c r="C605" i="1"/>
  <c r="C350" i="1"/>
  <c r="C270" i="1"/>
  <c r="C103" i="1"/>
  <c r="C519" i="1"/>
  <c r="E694" i="1"/>
  <c r="C434" i="1"/>
  <c r="C433" i="1"/>
  <c r="C432" i="1"/>
  <c r="C348" i="1"/>
  <c r="C566" i="1"/>
  <c r="C565" i="1"/>
  <c r="C424" i="1"/>
  <c r="C426" i="1"/>
  <c r="C423" i="1"/>
  <c r="C422" i="1"/>
  <c r="C427" i="1"/>
  <c r="C425" i="1"/>
  <c r="C421" i="1"/>
  <c r="C298" i="1"/>
  <c r="C296" i="1"/>
  <c r="C295" i="1"/>
  <c r="C294" i="1"/>
  <c r="C297" i="1"/>
  <c r="C293" i="1"/>
  <c r="C188" i="1"/>
  <c r="C130" i="1"/>
  <c r="C187" i="1"/>
  <c r="C186" i="1"/>
  <c r="C431" i="1"/>
  <c r="C185" i="1"/>
  <c r="C129" i="1"/>
  <c r="C258" i="1"/>
  <c r="C250" i="1"/>
  <c r="C251" i="1"/>
  <c r="C128" i="1"/>
  <c r="C127" i="1"/>
  <c r="C126" i="1"/>
  <c r="C123" i="1"/>
  <c r="C134" i="1"/>
  <c r="C133" i="1"/>
  <c r="C268" i="1"/>
  <c r="C132" i="1"/>
  <c r="C125" i="1"/>
  <c r="C319" i="1"/>
  <c r="C253" i="1"/>
  <c r="C252" i="1"/>
  <c r="C248" i="1"/>
  <c r="C564" i="1"/>
  <c r="C183" i="1"/>
  <c r="C318" i="1"/>
  <c r="C300" i="1"/>
  <c r="C299" i="1"/>
  <c r="C291" i="1"/>
  <c r="C430" i="1"/>
  <c r="C429" i="1"/>
  <c r="C354" i="1"/>
  <c r="C182" i="1"/>
  <c r="C181" i="1"/>
  <c r="C357" i="1"/>
  <c r="C356" i="1"/>
  <c r="C124" i="1"/>
  <c r="C570" i="1"/>
  <c r="C174" i="1"/>
  <c r="C122" i="1"/>
  <c r="C179" i="1"/>
  <c r="C180" i="1"/>
  <c r="C178" i="1"/>
  <c r="C121" i="1"/>
  <c r="C120" i="1"/>
  <c r="C119" i="1"/>
  <c r="C118" i="1"/>
  <c r="C563" i="1"/>
  <c r="C562" i="1"/>
  <c r="C254" i="1"/>
  <c r="C249" i="1"/>
  <c r="C317" i="1"/>
  <c r="C117" i="1"/>
  <c r="C316" i="1"/>
  <c r="C289" i="1"/>
  <c r="C116" i="1"/>
  <c r="C561" i="1"/>
  <c r="C665" i="1"/>
  <c r="C177" i="1"/>
  <c r="C115" i="1"/>
  <c r="C114" i="1"/>
  <c r="C290" i="1"/>
  <c r="C255" i="1"/>
  <c r="C428" i="1"/>
  <c r="C419" i="1"/>
  <c r="C415" i="1"/>
  <c r="C267" i="1"/>
  <c r="C418" i="1"/>
  <c r="C417" i="1"/>
  <c r="C416" i="1"/>
  <c r="C355" i="1"/>
  <c r="C176" i="1"/>
  <c r="C175" i="1"/>
  <c r="C113" i="1"/>
  <c r="C420" i="1"/>
  <c r="C292" i="1"/>
  <c r="C112" i="1"/>
  <c r="C631" i="1"/>
  <c r="C366" i="1"/>
  <c r="C347" i="1"/>
  <c r="C630" i="1"/>
  <c r="C346" i="1"/>
  <c r="C345" i="1"/>
  <c r="C344" i="1"/>
  <c r="C6" i="1"/>
  <c r="C504" i="1"/>
  <c r="C537" i="1"/>
  <c r="C628" i="1"/>
  <c r="C536" i="1"/>
  <c r="C503" i="1"/>
  <c r="C661" i="1"/>
  <c r="C535" i="1"/>
  <c r="C505" i="1"/>
  <c r="C579" i="1"/>
  <c r="C508" i="1"/>
  <c r="C507" i="1"/>
  <c r="C502" i="1"/>
  <c r="C578" i="1"/>
  <c r="C534" i="1"/>
  <c r="C577" i="1"/>
  <c r="C476" i="1"/>
  <c r="C490" i="1"/>
  <c r="C489" i="1"/>
  <c r="C660" i="1"/>
  <c r="C533" i="1"/>
  <c r="C474" i="1"/>
  <c r="C659" i="1"/>
  <c r="C506" i="1"/>
  <c r="C488" i="1"/>
  <c r="C532" i="1"/>
  <c r="C487" i="1"/>
  <c r="C486" i="1"/>
  <c r="C530" i="1"/>
  <c r="C497" i="1"/>
  <c r="C529" i="1"/>
  <c r="C461" i="1"/>
  <c r="C43" i="1"/>
  <c r="C44" i="1"/>
  <c r="C518" i="1"/>
  <c r="C501" i="1"/>
  <c r="C496" i="1"/>
  <c r="C500" i="1"/>
  <c r="C499" i="1"/>
  <c r="C658" i="1"/>
  <c r="C528" i="1"/>
  <c r="C472" i="1"/>
  <c r="C517" i="1"/>
  <c r="C498" i="1"/>
  <c r="C527" i="1"/>
  <c r="C471" i="1"/>
  <c r="C526" i="1"/>
  <c r="C596" i="1"/>
  <c r="C525" i="1"/>
  <c r="C485" i="1"/>
  <c r="C524" i="1"/>
  <c r="C516" i="1"/>
  <c r="C576" i="1"/>
  <c r="C470" i="1"/>
  <c r="C469" i="1"/>
  <c r="C522" i="1"/>
  <c r="C484" i="1"/>
  <c r="C521" i="1"/>
  <c r="C509" i="1"/>
  <c r="C468" i="1"/>
  <c r="C595" i="1"/>
  <c r="C467" i="1"/>
  <c r="C466" i="1"/>
  <c r="C475" i="1"/>
  <c r="C464" i="1"/>
  <c r="C463" i="1"/>
  <c r="C483" i="1"/>
  <c r="C482" i="1"/>
  <c r="C495" i="1"/>
  <c r="C575" i="1"/>
  <c r="C494" i="1"/>
  <c r="C465" i="1"/>
  <c r="C462" i="1"/>
  <c r="C514" i="1"/>
  <c r="C493" i="1"/>
  <c r="C492" i="1"/>
  <c r="C491" i="1"/>
  <c r="C481" i="1"/>
  <c r="C480" i="1"/>
  <c r="C479" i="1"/>
  <c r="C478" i="1"/>
  <c r="C520" i="1"/>
  <c r="C513" i="1"/>
  <c r="C512" i="1"/>
  <c r="C511" i="1"/>
  <c r="C473" i="1"/>
  <c r="C42" i="1"/>
  <c r="C41" i="1"/>
  <c r="C40" i="1"/>
  <c r="C39" i="1"/>
  <c r="C173" i="1"/>
  <c r="C233" i="1"/>
  <c r="C38" i="1"/>
  <c r="C243" i="1"/>
  <c r="C242" i="1"/>
  <c r="C364" i="1"/>
  <c r="C37" i="1"/>
  <c r="C593" i="1"/>
  <c r="C460" i="1"/>
  <c r="C35" i="1"/>
  <c r="C34" i="1"/>
  <c r="C33" i="1"/>
  <c r="C459" i="1"/>
  <c r="C362" i="1"/>
  <c r="C365" i="1"/>
  <c r="C592" i="1"/>
  <c r="C36" i="1"/>
  <c r="C239" i="1"/>
  <c r="C238" i="1"/>
  <c r="C172" i="1"/>
  <c r="C171" i="1"/>
  <c r="C236" i="1"/>
  <c r="C235" i="1"/>
  <c r="C241" i="1"/>
  <c r="C240" i="1"/>
  <c r="C234" i="1"/>
  <c r="C170" i="1"/>
  <c r="C169" i="1"/>
  <c r="C363" i="1"/>
  <c r="C168" i="1"/>
  <c r="C591" i="1"/>
  <c r="C32" i="1"/>
  <c r="C458" i="1"/>
  <c r="C457" i="1"/>
  <c r="C167" i="1"/>
  <c r="C31" i="1"/>
  <c r="C30" i="1"/>
  <c r="C361" i="1"/>
  <c r="C29" i="1"/>
  <c r="C237" i="1"/>
  <c r="C166" i="1"/>
  <c r="C456" i="1"/>
  <c r="C28" i="1"/>
  <c r="C27" i="1"/>
  <c r="C455" i="1"/>
  <c r="C165" i="1"/>
  <c r="C26" i="1"/>
  <c r="C454" i="1"/>
  <c r="C288" i="1"/>
  <c r="C25" i="1"/>
  <c r="C24" i="1"/>
  <c r="C23" i="1"/>
  <c r="C22" i="1"/>
  <c r="C21" i="1"/>
  <c r="C20" i="1"/>
  <c r="C627" i="1"/>
  <c r="C164" i="1"/>
  <c r="C163" i="1"/>
  <c r="C18" i="1"/>
  <c r="C17" i="1"/>
  <c r="C19" i="1"/>
  <c r="C16" i="1"/>
  <c r="C657" i="1"/>
  <c r="C452" i="1"/>
  <c r="C245" i="1"/>
  <c r="C247" i="1"/>
  <c r="C656" i="1"/>
  <c r="C655" i="1"/>
  <c r="C654" i="1"/>
  <c r="C160" i="1"/>
  <c r="C246" i="1"/>
  <c r="C15" i="1"/>
  <c r="C451" i="1"/>
  <c r="C14" i="1"/>
  <c r="C13" i="1"/>
  <c r="C559" i="1"/>
  <c r="C560" i="1"/>
  <c r="C4" i="1"/>
  <c r="C161" i="1"/>
  <c r="C12" i="1"/>
  <c r="C244" i="1"/>
  <c r="C558" i="1"/>
  <c r="C573" i="1"/>
  <c r="C569" i="1"/>
  <c r="C11" i="1"/>
  <c r="C162" i="1"/>
  <c r="C327" i="1"/>
  <c r="C10" i="1"/>
  <c r="C450" i="1"/>
  <c r="C360" i="1"/>
  <c r="C9" i="1"/>
  <c r="C8" i="1"/>
  <c r="C7" i="1"/>
  <c r="C449" i="1"/>
  <c r="C5" i="1"/>
  <c r="C448" i="1"/>
  <c r="C531" i="1"/>
  <c r="C324" i="1"/>
  <c r="C323" i="1"/>
  <c r="C89" i="1"/>
  <c r="C629" i="1"/>
  <c r="C555" i="1"/>
  <c r="C551" i="1"/>
  <c r="C554" i="1"/>
  <c r="C548" i="1"/>
  <c r="C547" i="1"/>
  <c r="C553" i="1"/>
  <c r="C550" i="1"/>
  <c r="C257" i="1"/>
  <c r="C545" i="1"/>
  <c r="C359" i="1"/>
  <c r="C544" i="1"/>
  <c r="C552" i="1"/>
  <c r="C580" i="1"/>
  <c r="C358" i="1"/>
  <c r="B343" i="1"/>
  <c r="B342" i="1"/>
  <c r="B337" i="1"/>
  <c r="B336" i="1"/>
  <c r="B349" i="1"/>
  <c r="B335" i="1"/>
  <c r="B334" i="1"/>
  <c r="B390" i="1"/>
  <c r="B339" i="1"/>
  <c r="B338" i="1"/>
  <c r="B407" i="1"/>
  <c r="B398" i="1"/>
  <c r="B435" i="1"/>
  <c r="B397" i="1"/>
  <c r="B405" i="1"/>
  <c r="B396" i="1"/>
  <c r="B395" i="1"/>
  <c r="B394" i="1"/>
  <c r="B333" i="1"/>
  <c r="B332" i="1"/>
  <c r="B352" i="1"/>
  <c r="B341" i="1"/>
  <c r="B340" i="1"/>
  <c r="B331" i="1"/>
  <c r="B353" i="1"/>
  <c r="B351" i="1"/>
  <c r="B131" i="1"/>
  <c r="B312" i="1"/>
  <c r="B85" i="1"/>
  <c r="B84" i="1"/>
  <c r="B83" i="1"/>
  <c r="B311" i="1"/>
  <c r="B82" i="1"/>
  <c r="B81" i="1"/>
  <c r="B76" i="1"/>
  <c r="B604" i="1"/>
  <c r="B603" i="1"/>
  <c r="B572" i="1"/>
  <c r="B79" i="1"/>
  <c r="B219" i="1"/>
  <c r="B218" i="1"/>
  <c r="B602" i="1"/>
  <c r="B78" i="1"/>
  <c r="B217" i="1"/>
  <c r="B216" i="1"/>
  <c r="B310" i="1"/>
  <c r="B309" i="1"/>
  <c r="B601" i="1"/>
  <c r="B80" i="1"/>
  <c r="B308" i="1"/>
  <c r="B215" i="1"/>
  <c r="B214" i="1"/>
  <c r="B77" i="1"/>
  <c r="B75" i="1"/>
  <c r="B307" i="1"/>
  <c r="B208" i="1"/>
  <c r="B207" i="1"/>
  <c r="B272" i="1"/>
  <c r="B74" i="1"/>
  <c r="B73" i="1"/>
  <c r="B72" i="1"/>
  <c r="B71" i="1"/>
  <c r="B213" i="1"/>
  <c r="B70" i="1"/>
  <c r="B212" i="1"/>
  <c r="B69" i="1"/>
  <c r="B306" i="1"/>
  <c r="B68" i="1"/>
  <c r="B600" i="1"/>
  <c r="B599" i="1"/>
  <c r="B67" i="1"/>
  <c r="B211" i="1"/>
  <c r="B66" i="1"/>
  <c r="B65" i="1"/>
  <c r="B210" i="1"/>
  <c r="B64" i="1"/>
  <c r="B63" i="1"/>
  <c r="B62" i="1"/>
  <c r="B61" i="1"/>
  <c r="B209" i="1"/>
  <c r="B60" i="1"/>
  <c r="B229" i="1"/>
  <c r="B635" i="1"/>
  <c r="B57" i="1"/>
  <c r="B634" i="1"/>
  <c r="B206" i="1"/>
  <c r="B58" i="1"/>
  <c r="B56" i="1"/>
  <c r="B55" i="1"/>
  <c r="B54" i="1"/>
  <c r="B52" i="1"/>
  <c r="B59" i="1"/>
  <c r="B204" i="1"/>
  <c r="B203" i="1"/>
  <c r="B202" i="1"/>
  <c r="B201" i="1"/>
  <c r="B205" i="1"/>
  <c r="B200" i="1"/>
  <c r="B571" i="1"/>
  <c r="B199" i="1"/>
  <c r="B198" i="1"/>
  <c r="B197" i="1"/>
  <c r="B196" i="1"/>
  <c r="B195" i="1"/>
  <c r="B305" i="1"/>
  <c r="B304" i="1"/>
  <c r="B633" i="1"/>
  <c r="B193" i="1"/>
  <c r="B192" i="1"/>
  <c r="B51" i="1"/>
  <c r="B367" i="1"/>
  <c r="B598" i="1"/>
  <c r="B597" i="1"/>
  <c r="B194" i="1"/>
  <c r="B50" i="1"/>
  <c r="B49" i="1"/>
  <c r="B303" i="1"/>
  <c r="B302" i="1"/>
  <c r="B301" i="1"/>
  <c r="B47" i="1"/>
  <c r="B48" i="1"/>
  <c r="B632" i="1"/>
  <c r="B53" i="1"/>
  <c r="B330" i="1"/>
  <c r="B271" i="1"/>
  <c r="B46" i="1"/>
  <c r="B45" i="1"/>
  <c r="B590" i="1"/>
  <c r="B609" i="1"/>
  <c r="B326" i="1"/>
  <c r="B105" i="1"/>
  <c r="B111" i="1"/>
  <c r="B587" i="1"/>
  <c r="B608" i="1"/>
  <c r="B191" i="1"/>
  <c r="B110" i="1"/>
  <c r="B109" i="1"/>
  <c r="B108" i="1"/>
  <c r="B232" i="1"/>
  <c r="B190" i="1"/>
  <c r="B541" i="1"/>
  <c r="B107" i="1"/>
  <c r="B607" i="1"/>
  <c r="B231" i="1"/>
  <c r="B106" i="1"/>
  <c r="B189" i="1"/>
  <c r="B325" i="1"/>
  <c r="B606" i="1"/>
  <c r="B589" i="1"/>
  <c r="B104" i="1"/>
  <c r="B605" i="1"/>
  <c r="B350" i="1"/>
  <c r="B270" i="1"/>
  <c r="B103" i="1"/>
  <c r="B434" i="1"/>
  <c r="B433" i="1"/>
  <c r="B432" i="1"/>
  <c r="B348" i="1"/>
  <c r="B566" i="1"/>
  <c r="B565" i="1"/>
  <c r="B424" i="1"/>
  <c r="B426" i="1"/>
  <c r="B423" i="1"/>
  <c r="B422" i="1"/>
  <c r="B427" i="1"/>
  <c r="B425" i="1"/>
  <c r="B421" i="1"/>
  <c r="B298" i="1"/>
  <c r="B296" i="1"/>
  <c r="B295" i="1"/>
  <c r="B294" i="1"/>
  <c r="B297" i="1"/>
  <c r="B293" i="1"/>
  <c r="B188" i="1"/>
  <c r="B130" i="1"/>
  <c r="B187" i="1"/>
  <c r="B186" i="1"/>
  <c r="B431" i="1"/>
  <c r="B185" i="1"/>
  <c r="B129" i="1"/>
  <c r="B258" i="1"/>
  <c r="B250" i="1"/>
  <c r="B251" i="1"/>
  <c r="B128" i="1"/>
  <c r="B127" i="1"/>
  <c r="B126" i="1"/>
  <c r="B123" i="1"/>
  <c r="B134" i="1"/>
  <c r="B133" i="1"/>
  <c r="B268" i="1"/>
  <c r="B132" i="1"/>
  <c r="B125" i="1"/>
  <c r="B319" i="1"/>
  <c r="B253" i="1"/>
  <c r="B252" i="1"/>
  <c r="B248" i="1"/>
  <c r="B564" i="1"/>
  <c r="B183" i="1"/>
  <c r="B318" i="1"/>
  <c r="B300" i="1"/>
  <c r="B299" i="1"/>
  <c r="B291" i="1"/>
  <c r="B430" i="1"/>
  <c r="B429" i="1"/>
  <c r="B354" i="1"/>
  <c r="B182" i="1"/>
  <c r="B181" i="1"/>
  <c r="B357" i="1"/>
  <c r="B356" i="1"/>
  <c r="B124" i="1"/>
  <c r="B570" i="1"/>
  <c r="B174" i="1"/>
  <c r="B122" i="1"/>
  <c r="B179" i="1"/>
  <c r="B180" i="1"/>
  <c r="B178" i="1"/>
  <c r="B121" i="1"/>
  <c r="B120" i="1"/>
  <c r="B119" i="1"/>
  <c r="B118" i="1"/>
  <c r="B563" i="1"/>
  <c r="B562" i="1"/>
  <c r="B254" i="1"/>
  <c r="B249" i="1"/>
  <c r="B317" i="1"/>
  <c r="B117" i="1"/>
  <c r="B316" i="1"/>
  <c r="B289" i="1"/>
  <c r="B116" i="1"/>
  <c r="B561" i="1"/>
  <c r="B665" i="1"/>
  <c r="B177" i="1"/>
  <c r="B115" i="1"/>
  <c r="B114" i="1"/>
  <c r="B290" i="1"/>
  <c r="B255" i="1"/>
  <c r="B428" i="1"/>
  <c r="B419" i="1"/>
  <c r="B415" i="1"/>
  <c r="B267" i="1"/>
  <c r="B418" i="1"/>
  <c r="B417" i="1"/>
  <c r="B416" i="1"/>
  <c r="B355" i="1"/>
  <c r="B176" i="1"/>
  <c r="B175" i="1"/>
  <c r="B113" i="1"/>
  <c r="B420" i="1"/>
  <c r="B292" i="1"/>
  <c r="B112" i="1"/>
  <c r="B631" i="1"/>
  <c r="B366" i="1"/>
  <c r="B347" i="1"/>
  <c r="B630" i="1"/>
  <c r="B346" i="1"/>
  <c r="B345" i="1"/>
  <c r="B344" i="1"/>
  <c r="B504" i="1"/>
  <c r="B628" i="1"/>
  <c r="B537" i="1"/>
  <c r="B536" i="1"/>
  <c r="B503" i="1"/>
  <c r="B661" i="1"/>
  <c r="B535" i="1"/>
  <c r="B505" i="1"/>
  <c r="B579" i="1"/>
  <c r="B508" i="1"/>
  <c r="B507" i="1"/>
  <c r="B502" i="1"/>
  <c r="B578" i="1"/>
  <c r="B534" i="1"/>
  <c r="B577" i="1"/>
  <c r="B476" i="1"/>
  <c r="B490" i="1"/>
  <c r="B489" i="1"/>
  <c r="B660" i="1"/>
  <c r="B533" i="1"/>
  <c r="B474" i="1"/>
  <c r="B659" i="1"/>
  <c r="B506" i="1"/>
  <c r="B488" i="1"/>
  <c r="B532" i="1"/>
  <c r="B487" i="1"/>
  <c r="B486" i="1"/>
  <c r="B530" i="1"/>
  <c r="B497" i="1"/>
  <c r="B529" i="1"/>
  <c r="B461" i="1"/>
  <c r="B501" i="1"/>
  <c r="B496" i="1"/>
  <c r="B500" i="1"/>
  <c r="B499" i="1"/>
  <c r="B658" i="1"/>
  <c r="B528" i="1"/>
  <c r="B472" i="1"/>
  <c r="B517" i="1"/>
  <c r="B498" i="1"/>
  <c r="B527" i="1"/>
  <c r="B471" i="1"/>
  <c r="B526" i="1"/>
  <c r="B596" i="1"/>
  <c r="B525" i="1"/>
  <c r="B485" i="1"/>
  <c r="B524" i="1"/>
  <c r="B516" i="1"/>
  <c r="B576" i="1"/>
  <c r="B470" i="1"/>
  <c r="B469" i="1"/>
  <c r="B522" i="1"/>
  <c r="B484" i="1"/>
  <c r="B521" i="1"/>
  <c r="B509" i="1"/>
  <c r="B468" i="1"/>
  <c r="B595" i="1"/>
  <c r="B467" i="1"/>
  <c r="B466" i="1"/>
  <c r="B475" i="1"/>
  <c r="B464" i="1"/>
  <c r="B463" i="1"/>
  <c r="B483" i="1"/>
  <c r="B482" i="1"/>
  <c r="B495" i="1"/>
  <c r="B575" i="1"/>
  <c r="B494" i="1"/>
  <c r="B465" i="1"/>
  <c r="B462" i="1"/>
  <c r="B514" i="1"/>
  <c r="B493" i="1"/>
  <c r="B492" i="1"/>
  <c r="B491" i="1"/>
  <c r="B481" i="1"/>
  <c r="B480" i="1"/>
  <c r="B479" i="1"/>
  <c r="B478" i="1"/>
  <c r="B520" i="1"/>
  <c r="B515" i="1"/>
  <c r="B513" i="1"/>
  <c r="B512" i="1"/>
  <c r="B511" i="1"/>
  <c r="B477" i="1"/>
  <c r="B473" i="1"/>
  <c r="B574" i="1"/>
  <c r="B594" i="1"/>
  <c r="B519" i="1"/>
  <c r="B42" i="1"/>
  <c r="B41" i="1"/>
  <c r="B40" i="1"/>
  <c r="B39" i="1"/>
  <c r="B173" i="1"/>
  <c r="B233" i="1"/>
  <c r="B38" i="1"/>
  <c r="B43" i="1"/>
  <c r="B44" i="1"/>
  <c r="B243" i="1"/>
  <c r="B242" i="1"/>
  <c r="B518" i="1"/>
  <c r="B364" i="1"/>
  <c r="B37" i="1"/>
  <c r="B593" i="1"/>
  <c r="B460" i="1"/>
  <c r="B35" i="1"/>
  <c r="B34" i="1"/>
  <c r="B33" i="1"/>
  <c r="B459" i="1"/>
  <c r="B362" i="1"/>
  <c r="B365" i="1"/>
  <c r="B592" i="1"/>
  <c r="B36" i="1"/>
  <c r="B239" i="1"/>
  <c r="B238" i="1"/>
  <c r="B172" i="1"/>
  <c r="B171" i="1"/>
  <c r="B236" i="1"/>
  <c r="B235" i="1"/>
  <c r="B241" i="1"/>
  <c r="B240" i="1"/>
  <c r="B234" i="1"/>
  <c r="B170" i="1"/>
  <c r="B169" i="1"/>
  <c r="B363" i="1"/>
  <c r="B168" i="1"/>
  <c r="B591" i="1"/>
  <c r="B32" i="1"/>
  <c r="B458" i="1"/>
  <c r="B457" i="1"/>
  <c r="B167" i="1"/>
  <c r="B31" i="1"/>
  <c r="B30" i="1"/>
  <c r="B361" i="1"/>
  <c r="B29" i="1"/>
  <c r="B237" i="1"/>
  <c r="B166" i="1"/>
  <c r="B456" i="1"/>
  <c r="B28" i="1"/>
  <c r="B455" i="1"/>
  <c r="B27" i="1"/>
  <c r="B165" i="1"/>
  <c r="B26" i="1"/>
  <c r="B454" i="1"/>
  <c r="B288" i="1"/>
  <c r="B25" i="1"/>
  <c r="B24" i="1"/>
  <c r="B23" i="1"/>
  <c r="B22" i="1"/>
  <c r="B21" i="1"/>
  <c r="B20" i="1"/>
  <c r="B627" i="1"/>
  <c r="B164" i="1"/>
  <c r="B163" i="1"/>
  <c r="B18" i="1"/>
  <c r="B17" i="1"/>
  <c r="B19" i="1"/>
  <c r="B16" i="1"/>
  <c r="B657" i="1"/>
  <c r="B452" i="1"/>
  <c r="B245" i="1"/>
  <c r="B247" i="1"/>
  <c r="B656" i="1"/>
  <c r="B655" i="1"/>
  <c r="B654" i="1"/>
  <c r="B160" i="1"/>
  <c r="B246" i="1"/>
  <c r="B15" i="1"/>
  <c r="B451" i="1"/>
  <c r="B14" i="1"/>
  <c r="B13" i="1"/>
  <c r="B559" i="1"/>
  <c r="B560" i="1"/>
  <c r="B4" i="1"/>
  <c r="B161" i="1"/>
  <c r="B12" i="1"/>
  <c r="B244" i="1"/>
  <c r="B558" i="1"/>
  <c r="B573" i="1"/>
  <c r="B569" i="1"/>
  <c r="B11" i="1"/>
  <c r="B162" i="1"/>
  <c r="B327" i="1"/>
  <c r="B10" i="1"/>
  <c r="B450" i="1"/>
  <c r="B360" i="1"/>
  <c r="B9" i="1"/>
  <c r="B8" i="1"/>
  <c r="B7" i="1"/>
  <c r="B449" i="1"/>
  <c r="B6" i="1"/>
  <c r="B5" i="1"/>
  <c r="B448" i="1"/>
  <c r="B629" i="1"/>
  <c r="B531" i="1"/>
  <c r="B523" i="1"/>
  <c r="B510" i="1"/>
  <c r="B453" i="1"/>
  <c r="B329" i="1"/>
  <c r="B328" i="1"/>
  <c r="B266" i="1"/>
  <c r="B3" i="1"/>
  <c r="B2" i="1"/>
  <c r="B549" i="1"/>
  <c r="B555" i="1"/>
  <c r="B551" i="1"/>
  <c r="B554" i="1"/>
  <c r="B548" i="1"/>
  <c r="B547" i="1"/>
  <c r="B553" i="1"/>
  <c r="B550" i="1"/>
  <c r="B257" i="1"/>
  <c r="B545" i="1"/>
  <c r="B359" i="1"/>
  <c r="B544" i="1"/>
  <c r="B552" i="1"/>
  <c r="B580" i="1"/>
  <c r="B358" i="1"/>
  <c r="B543" i="1"/>
  <c r="B256" i="1"/>
  <c r="B414" i="1"/>
  <c r="B324" i="1"/>
  <c r="B323" i="1"/>
  <c r="B89" i="1"/>
  <c r="B626" i="1"/>
  <c r="B546" i="1"/>
  <c r="B265" i="1"/>
  <c r="B147" i="1"/>
  <c r="B146" i="1"/>
  <c r="B648" i="1"/>
  <c r="B647" i="1"/>
  <c r="B663" i="1"/>
  <c r="B646" i="1"/>
  <c r="B645" i="1"/>
  <c r="B643" i="1"/>
  <c r="B644" i="1"/>
  <c r="B642" i="1"/>
  <c r="B641" i="1"/>
  <c r="B640" i="1"/>
  <c r="B662" i="1"/>
  <c r="B652" i="1"/>
  <c r="B639" i="1"/>
  <c r="B638" i="1"/>
  <c r="B283" i="1"/>
  <c r="B284" i="1"/>
  <c r="B446" i="1"/>
  <c r="B148" i="1"/>
  <c r="B588" i="1"/>
  <c r="B586" i="1"/>
  <c r="B582" i="1"/>
  <c r="B585" i="1"/>
  <c r="B583" i="1"/>
  <c r="B584" i="1"/>
  <c r="B653" i="1"/>
  <c r="B651" i="1"/>
  <c r="B581" i="1"/>
  <c r="B95" i="1"/>
  <c r="B445" i="1"/>
  <c r="B650" i="1"/>
  <c r="B649" i="1"/>
  <c r="B149" i="1"/>
  <c r="B150" i="1"/>
  <c r="B96" i="1"/>
  <c r="B94" i="1"/>
  <c r="B151" i="1"/>
  <c r="B444" i="1"/>
  <c r="B102" i="1"/>
  <c r="B152" i="1"/>
  <c r="B153" i="1"/>
  <c r="B93" i="1"/>
  <c r="B618" i="1"/>
  <c r="B322" i="1"/>
  <c r="B282" i="1"/>
  <c r="B154" i="1"/>
  <c r="B92" i="1"/>
  <c r="B155" i="1"/>
  <c r="B617" i="1"/>
  <c r="B616" i="1"/>
  <c r="B567" i="1"/>
  <c r="B90" i="1"/>
  <c r="B619" i="1"/>
  <c r="B442" i="1"/>
  <c r="B230" i="1"/>
  <c r="B91" i="1"/>
  <c r="B320" i="1"/>
  <c r="B636" i="1"/>
  <c r="B542" i="1"/>
  <c r="B287" i="1"/>
  <c r="B280" i="1"/>
  <c r="B159" i="1"/>
  <c r="B279" i="1"/>
  <c r="B158" i="1"/>
  <c r="B157" i="1"/>
  <c r="B278" i="1"/>
  <c r="B314" i="1"/>
  <c r="B623" i="1"/>
  <c r="B447" i="1"/>
  <c r="B622" i="1"/>
  <c r="B277" i="1"/>
  <c r="B624" i="1"/>
  <c r="B276" i="1"/>
  <c r="B321" i="1"/>
  <c r="B156" i="1"/>
  <c r="B275" i="1"/>
  <c r="B274" i="1"/>
  <c r="B615" i="1"/>
  <c r="B273" i="1"/>
  <c r="B101" i="1"/>
  <c r="B100" i="1"/>
  <c r="B621" i="1"/>
  <c r="B614" i="1"/>
  <c r="B441" i="1"/>
  <c r="B99" i="1"/>
  <c r="B88" i="1"/>
  <c r="B620" i="1"/>
  <c r="B98" i="1"/>
  <c r="B97" i="1"/>
  <c r="B440" i="1"/>
  <c r="B568" i="1"/>
  <c r="B439" i="1"/>
  <c r="B388" i="1"/>
  <c r="B264" i="1"/>
  <c r="B625" i="1"/>
  <c r="B443" i="1"/>
  <c r="B438" i="1"/>
  <c r="B263" i="1"/>
  <c r="B87" i="1"/>
  <c r="B86" i="1"/>
  <c r="B539" i="1"/>
  <c r="B538" i="1"/>
  <c r="B668" i="1"/>
  <c r="B692" i="1"/>
  <c r="B684" i="1"/>
  <c r="B683" i="1"/>
  <c r="B667" i="1"/>
  <c r="B691" i="1"/>
  <c r="B681" i="1"/>
  <c r="B678" i="1"/>
  <c r="B675" i="1"/>
  <c r="B674" i="1"/>
  <c r="B673" i="1"/>
  <c r="B672" i="1"/>
  <c r="B680" i="1"/>
  <c r="B682" i="1"/>
  <c r="B676" i="1"/>
  <c r="B666" i="1"/>
  <c r="B671" i="1"/>
  <c r="B679" i="1"/>
  <c r="B688" i="1"/>
  <c r="B687" i="1"/>
  <c r="B686" i="1"/>
  <c r="B685" i="1"/>
  <c r="B677" i="1"/>
  <c r="B670" i="1"/>
  <c r="B669" i="1"/>
  <c r="B690" i="1"/>
  <c r="B689" i="1"/>
  <c r="B376" i="1"/>
  <c r="B375" i="1"/>
  <c r="B386" i="1"/>
  <c r="B381" i="1"/>
  <c r="B374" i="1"/>
  <c r="B385" i="1"/>
  <c r="B379" i="1"/>
  <c r="B384" i="1"/>
  <c r="B378" i="1"/>
  <c r="B611" i="1"/>
  <c r="B373" i="1"/>
  <c r="B380" i="1"/>
  <c r="B141" i="1"/>
  <c r="B436" i="1"/>
  <c r="B408" i="1"/>
  <c r="B406" i="1"/>
  <c r="B140" i="1"/>
  <c r="B224" i="1"/>
  <c r="B383" i="1"/>
  <c r="B139" i="1"/>
  <c r="B382" i="1"/>
  <c r="B223" i="1"/>
  <c r="B138" i="1"/>
  <c r="B222" i="1"/>
  <c r="B371" i="1"/>
  <c r="B137" i="1"/>
  <c r="B220" i="1"/>
  <c r="B369" i="1"/>
  <c r="B259" i="1"/>
  <c r="B136" i="1"/>
  <c r="B144" i="1"/>
  <c r="B613" i="1"/>
  <c r="B142" i="1"/>
  <c r="B612" i="1"/>
  <c r="B637" i="1"/>
  <c r="B143" i="1"/>
  <c r="B370" i="1"/>
  <c r="B610" i="1"/>
  <c r="B372" i="1"/>
  <c r="B260" i="1"/>
  <c r="B145" i="1"/>
  <c r="B135" i="1"/>
  <c r="A694" i="1"/>
  <c r="E693" i="1"/>
</calcChain>
</file>

<file path=xl/sharedStrings.xml><?xml version="1.0" encoding="utf-8"?>
<sst xmlns="http://schemas.openxmlformats.org/spreadsheetml/2006/main" count="8538" uniqueCount="2853">
  <si>
    <t>id1</t>
  </si>
  <si>
    <t>page</t>
  </si>
  <si>
    <t>apartado</t>
  </si>
  <si>
    <t>EPI_DGN_ANTIC</t>
  </si>
  <si>
    <t>check</t>
  </si>
  <si>
    <t>colorFondo</t>
  </si>
  <si>
    <t>colorTrama</t>
  </si>
  <si>
    <t>id2</t>
  </si>
  <si>
    <t>Code2</t>
  </si>
  <si>
    <t>checkear metamorfismos, colores trama y fondo</t>
  </si>
  <si>
    <t>E</t>
  </si>
  <si>
    <t xml:space="preserve">45 45 0 0
</t>
  </si>
  <si>
    <t>borrar</t>
  </si>
  <si>
    <t xml:space="preserve">27 30 0 0
</t>
  </si>
  <si>
    <t>bueno</t>
  </si>
  <si>
    <t>EBg</t>
  </si>
  <si>
    <t xml:space="preserve">30 40 0 0
</t>
  </si>
  <si>
    <t>mirar</t>
  </si>
  <si>
    <t>Ebb</t>
  </si>
  <si>
    <t>0 27 100 0</t>
  </si>
  <si>
    <t xml:space="preserve">56 51 0 0
</t>
  </si>
  <si>
    <t>EBb</t>
  </si>
  <si>
    <t xml:space="preserve">47 23 0 0
</t>
  </si>
  <si>
    <t>EBbh</t>
  </si>
  <si>
    <t>5 35 45 0</t>
  </si>
  <si>
    <t xml:space="preserve">20 20 0 0
</t>
  </si>
  <si>
    <t>EBbmp</t>
  </si>
  <si>
    <t>10 40 50 0</t>
  </si>
  <si>
    <t xml:space="preserve">11 15 0 0
</t>
  </si>
  <si>
    <t>EBbp</t>
  </si>
  <si>
    <t>0 30 40 0</t>
  </si>
  <si>
    <t>EBc3</t>
  </si>
  <si>
    <t>0 27 76 0</t>
  </si>
  <si>
    <t xml:space="preserve">25 0 75 0
</t>
  </si>
  <si>
    <t>EBcc</t>
  </si>
  <si>
    <t>20 80 70 0</t>
  </si>
  <si>
    <t xml:space="preserve">15 0 65 0
</t>
  </si>
  <si>
    <t>EBcm2</t>
  </si>
  <si>
    <t>0 15 65 5</t>
  </si>
  <si>
    <t xml:space="preserve">20 10 55 0
</t>
  </si>
  <si>
    <t>EBglc</t>
  </si>
  <si>
    <t>15 20 45 0</t>
  </si>
  <si>
    <t xml:space="preserve">100 0 79 27
</t>
  </si>
  <si>
    <t>EBgm1</t>
  </si>
  <si>
    <t>0 20 45 0</t>
  </si>
  <si>
    <t xml:space="preserve">100 0 91 6
</t>
  </si>
  <si>
    <t>EBlg</t>
  </si>
  <si>
    <t>5 20 55 0</t>
  </si>
  <si>
    <t xml:space="preserve">65 0 100 0
</t>
  </si>
  <si>
    <t>EBm2</t>
  </si>
  <si>
    <t>0 20 60 0</t>
  </si>
  <si>
    <t xml:space="preserve">76 0 100 23
</t>
  </si>
  <si>
    <t>EBp0</t>
  </si>
  <si>
    <t>5 45 45 0</t>
  </si>
  <si>
    <t xml:space="preserve">15 60 60 0
</t>
  </si>
  <si>
    <t>EBp1</t>
  </si>
  <si>
    <t>0 18 51 0</t>
  </si>
  <si>
    <t xml:space="preserve">76 0 100 11
</t>
  </si>
  <si>
    <t>EBp</t>
  </si>
  <si>
    <t xml:space="preserve">50 0 100 20
</t>
  </si>
  <si>
    <t>EBv1</t>
  </si>
  <si>
    <t>0 27 79 0</t>
  </si>
  <si>
    <t xml:space="preserve">50 5 80 0
</t>
  </si>
  <si>
    <t>EBv2</t>
  </si>
  <si>
    <t>0 11 47 0</t>
  </si>
  <si>
    <t xml:space="preserve">100 0 79 8
</t>
  </si>
  <si>
    <t>EBv3</t>
  </si>
  <si>
    <t>0 11 38 0</t>
  </si>
  <si>
    <t xml:space="preserve">35 15 75 0
</t>
  </si>
  <si>
    <t>EBv4</t>
  </si>
  <si>
    <t>0 23 56 0</t>
  </si>
  <si>
    <t xml:space="preserve">100 0 91 27
</t>
  </si>
  <si>
    <t>ECb</t>
  </si>
  <si>
    <t xml:space="preserve">65 25 60 0
</t>
  </si>
  <si>
    <t>ECbc</t>
  </si>
  <si>
    <t>5 30 45 0</t>
  </si>
  <si>
    <t xml:space="preserve">65 0 80 0
</t>
  </si>
  <si>
    <t>ECcc</t>
  </si>
  <si>
    <t>0 27 100 6</t>
  </si>
  <si>
    <t xml:space="preserve">40 85 40 0
</t>
  </si>
  <si>
    <t>ECct</t>
  </si>
  <si>
    <t>0 43 87 0</t>
  </si>
  <si>
    <t xml:space="preserve">65 0 90 20
</t>
  </si>
  <si>
    <t>ECdc</t>
  </si>
  <si>
    <t>0 30 94 0</t>
  </si>
  <si>
    <t xml:space="preserve">45 0 90 10
</t>
  </si>
  <si>
    <t>ECgc</t>
  </si>
  <si>
    <t>0 50 60 0</t>
  </si>
  <si>
    <t xml:space="preserve">15 0 100 0
</t>
  </si>
  <si>
    <t>true black CMYK</t>
  </si>
  <si>
    <t>75 68 67 90</t>
  </si>
  <si>
    <t>0 0 0 100</t>
  </si>
  <si>
    <t>ECgm</t>
  </si>
  <si>
    <t>0 35 50 0</t>
  </si>
  <si>
    <t xml:space="preserve">45 15 45 0
</t>
  </si>
  <si>
    <t>ECgmc</t>
  </si>
  <si>
    <t xml:space="preserve">80 0 95 0
</t>
  </si>
  <si>
    <t>ECla</t>
  </si>
  <si>
    <t>0 38 47 0</t>
  </si>
  <si>
    <t>ECma</t>
  </si>
  <si>
    <t>0 30 38 0</t>
  </si>
  <si>
    <t xml:space="preserve">10 0 40 0
</t>
  </si>
  <si>
    <t>ECmc</t>
  </si>
  <si>
    <t xml:space="preserve">30 0 15 0
</t>
  </si>
  <si>
    <t>ECt</t>
  </si>
  <si>
    <t xml:space="preserve">25 0 65 0
</t>
  </si>
  <si>
    <t>ECLgls</t>
  </si>
  <si>
    <t xml:space="preserve">0 27 60 0
</t>
  </si>
  <si>
    <t>EI</t>
  </si>
  <si>
    <t xml:space="preserve">0 20 45 0
</t>
  </si>
  <si>
    <t>EIga</t>
  </si>
  <si>
    <t>0 30 70 0</t>
  </si>
  <si>
    <t xml:space="preserve">0 27 100 0
</t>
  </si>
  <si>
    <t>EIgg</t>
  </si>
  <si>
    <t xml:space="preserve">5 35 45 0
</t>
  </si>
  <si>
    <t>EIm</t>
  </si>
  <si>
    <t>10 15 85 0</t>
  </si>
  <si>
    <t xml:space="preserve">5 20 55 0
</t>
  </si>
  <si>
    <t>EImc</t>
  </si>
  <si>
    <t>0 65 100 0</t>
  </si>
  <si>
    <t xml:space="preserve">10 40 50 0
</t>
  </si>
  <si>
    <t>EImg</t>
  </si>
  <si>
    <t xml:space="preserve">0 30 40 0
</t>
  </si>
  <si>
    <t>EICga</t>
  </si>
  <si>
    <t>0 30 85 0</t>
  </si>
  <si>
    <t xml:space="preserve">0 20 60 0
</t>
  </si>
  <si>
    <t>EICc</t>
  </si>
  <si>
    <t xml:space="preserve">0 27 76 0
</t>
  </si>
  <si>
    <t>K</t>
  </si>
  <si>
    <t xml:space="preserve">20 80 70 0
</t>
  </si>
  <si>
    <t xml:space="preserve">0 15 65 5
</t>
  </si>
  <si>
    <t>KCcb1</t>
  </si>
  <si>
    <t>45 0 45 0</t>
  </si>
  <si>
    <t xml:space="preserve">0 40 55 0
</t>
  </si>
  <si>
    <t>KCbr</t>
  </si>
  <si>
    <t>65 5 30 0</t>
  </si>
  <si>
    <t xml:space="preserve">15 20 45 0
</t>
  </si>
  <si>
    <t>KCM</t>
  </si>
  <si>
    <t xml:space="preserve">20 40 60 0
</t>
  </si>
  <si>
    <t>30 0 25 0</t>
  </si>
  <si>
    <t xml:space="preserve">10 20 40 0
</t>
  </si>
  <si>
    <t>KCMm1</t>
  </si>
  <si>
    <t>80 5 45 0</t>
  </si>
  <si>
    <t xml:space="preserve">5 45 45 0
</t>
  </si>
  <si>
    <t>KCS1</t>
  </si>
  <si>
    <t>91 0 60 0</t>
  </si>
  <si>
    <t xml:space="preserve">5 30 45 0
</t>
  </si>
  <si>
    <t>KC</t>
  </si>
  <si>
    <t xml:space="preserve">0 18 51 0
</t>
  </si>
  <si>
    <t>KCS2</t>
  </si>
  <si>
    <t>56 0 43 0</t>
  </si>
  <si>
    <t xml:space="preserve">0 20 40 0
</t>
  </si>
  <si>
    <t>KCS3</t>
  </si>
  <si>
    <t>60 0 51 0</t>
  </si>
  <si>
    <t xml:space="preserve">5 50 0 5
</t>
  </si>
  <si>
    <t>KCScc</t>
  </si>
  <si>
    <t>55 0 45 0</t>
  </si>
  <si>
    <t xml:space="preserve">0 27 79 0
</t>
  </si>
  <si>
    <t>KCTcf</t>
  </si>
  <si>
    <t>65 0 55 0</t>
  </si>
  <si>
    <t xml:space="preserve">0 11 47 0
</t>
  </si>
  <si>
    <t>KCScm</t>
  </si>
  <si>
    <t xml:space="preserve">0 11 38 0
</t>
  </si>
  <si>
    <t>KCS</t>
  </si>
  <si>
    <t xml:space="preserve">0 23 56 0
</t>
  </si>
  <si>
    <t>KM</t>
  </si>
  <si>
    <t xml:space="preserve">0 27 100 6
</t>
  </si>
  <si>
    <t>KMc2</t>
  </si>
  <si>
    <t xml:space="preserve">25 0 25 0
</t>
  </si>
  <si>
    <t xml:space="preserve">5 20 40 0
</t>
  </si>
  <si>
    <t>KMc3</t>
  </si>
  <si>
    <t xml:space="preserve">40 0 25 0
</t>
  </si>
  <si>
    <t xml:space="preserve">0 43 87 0
</t>
  </si>
  <si>
    <t>KMcm2</t>
  </si>
  <si>
    <t xml:space="preserve">0 30 94 0
</t>
  </si>
  <si>
    <t>KMcm3</t>
  </si>
  <si>
    <t xml:space="preserve">45 0 15 0
</t>
  </si>
  <si>
    <t xml:space="preserve">10 55 70 0
</t>
  </si>
  <si>
    <t>KMg4</t>
  </si>
  <si>
    <t xml:space="preserve">25 0 15 0
</t>
  </si>
  <si>
    <t xml:space="preserve">0 50 60 0
</t>
  </si>
  <si>
    <t>KMgc2</t>
  </si>
  <si>
    <t xml:space="preserve">25 10 25 0
</t>
  </si>
  <si>
    <t xml:space="preserve">0 35 50 0
</t>
  </si>
  <si>
    <t>KMlg</t>
  </si>
  <si>
    <t>0 60 35 0</t>
  </si>
  <si>
    <t>KMm2</t>
  </si>
  <si>
    <t>25 0 25 0</t>
  </si>
  <si>
    <t xml:space="preserve">0 40 80 0
</t>
  </si>
  <si>
    <t>KMm3</t>
  </si>
  <si>
    <t>40 0 25 0</t>
  </si>
  <si>
    <t xml:space="preserve">0 38 47 0
</t>
  </si>
  <si>
    <t>KMmg</t>
  </si>
  <si>
    <t>60 0 45 0</t>
  </si>
  <si>
    <t xml:space="preserve">0 25 35 0
</t>
  </si>
  <si>
    <t>KMq2</t>
  </si>
  <si>
    <t xml:space="preserve">0 35 40 0
</t>
  </si>
  <si>
    <t>KMq3</t>
  </si>
  <si>
    <t>15 0 15 0</t>
  </si>
  <si>
    <t xml:space="preserve">0 25 65 0
</t>
  </si>
  <si>
    <t>KMqc2</t>
  </si>
  <si>
    <t>30 0 20 10</t>
  </si>
  <si>
    <t xml:space="preserve">0 55 40 0
</t>
  </si>
  <si>
    <t>KP</t>
  </si>
  <si>
    <t xml:space="preserve">25 45 70 0
</t>
  </si>
  <si>
    <t>KS</t>
  </si>
  <si>
    <t>KT</t>
  </si>
  <si>
    <t xml:space="preserve">0 30 38 0
</t>
  </si>
  <si>
    <t>43 0 30 0</t>
  </si>
  <si>
    <t>KSgm</t>
  </si>
  <si>
    <t>15 10 40 0</t>
  </si>
  <si>
    <t xml:space="preserve">0 34 91 0
</t>
  </si>
  <si>
    <t>KSmb</t>
  </si>
  <si>
    <t xml:space="preserve">40 10 45 0
</t>
  </si>
  <si>
    <t xml:space="preserve">0 30 85 0
</t>
  </si>
  <si>
    <t>KSCd</t>
  </si>
  <si>
    <t>38 0 34 0</t>
  </si>
  <si>
    <t>87 0 51 0</t>
  </si>
  <si>
    <t xml:space="preserve">0 30 70 0
</t>
  </si>
  <si>
    <t>KTC</t>
  </si>
  <si>
    <t>60 0 34 0</t>
  </si>
  <si>
    <t>KTCce</t>
  </si>
  <si>
    <t>35 5 25 0</t>
  </si>
  <si>
    <t xml:space="preserve">10 15 85 0
</t>
  </si>
  <si>
    <t>KTCmg</t>
  </si>
  <si>
    <t>35 0 45 0</t>
  </si>
  <si>
    <t xml:space="preserve">0 65 100 0
</t>
  </si>
  <si>
    <t>KTCmr</t>
  </si>
  <si>
    <t>15 0 25 0</t>
  </si>
  <si>
    <t>C</t>
  </si>
  <si>
    <t xml:space="preserve">0 70 80 0
</t>
  </si>
  <si>
    <t xml:space="preserve">0 90 100 0
</t>
  </si>
  <si>
    <t>CAbca</t>
  </si>
  <si>
    <t>20 10 55 0</t>
  </si>
  <si>
    <t xml:space="preserve">5 5 80 0
</t>
  </si>
  <si>
    <t>D1Ecam</t>
  </si>
  <si>
    <t>15 60 60 0</t>
  </si>
  <si>
    <t xml:space="preserve">5 10 60 0
</t>
  </si>
  <si>
    <t>CAp1</t>
  </si>
  <si>
    <t>76 0 100 11</t>
  </si>
  <si>
    <t xml:space="preserve">0 100 15 0
</t>
  </si>
  <si>
    <t>CAp</t>
  </si>
  <si>
    <t xml:space="preserve">0 95 15 0
</t>
  </si>
  <si>
    <t>CApc</t>
  </si>
  <si>
    <t>50 0 100 20</t>
  </si>
  <si>
    <t xml:space="preserve">0 80 40 0
</t>
  </si>
  <si>
    <t>CApfb</t>
  </si>
  <si>
    <t>50 5 80 0</t>
  </si>
  <si>
    <t>CBB</t>
  </si>
  <si>
    <t>100 0 79 8</t>
  </si>
  <si>
    <t xml:space="preserve">0 50 100 0
</t>
  </si>
  <si>
    <t>CHB</t>
  </si>
  <si>
    <t>100 0 91 27</t>
  </si>
  <si>
    <t xml:space="preserve">0 80 70 0
</t>
  </si>
  <si>
    <t>CBeb</t>
  </si>
  <si>
    <t>35 15 75 0</t>
  </si>
  <si>
    <t>CAAm</t>
  </si>
  <si>
    <t>25 0 75 0</t>
  </si>
  <si>
    <t xml:space="preserve">0 75 60 0
</t>
  </si>
  <si>
    <t>CAAml</t>
  </si>
  <si>
    <t>15 0 65 0</t>
  </si>
  <si>
    <t>CAC</t>
  </si>
  <si>
    <t xml:space="preserve">0 85 50 0
</t>
  </si>
  <si>
    <t>CAC1</t>
  </si>
  <si>
    <t>100 0 91 6</t>
  </si>
  <si>
    <t xml:space="preserve">10 100 100 0
</t>
  </si>
  <si>
    <t>CAC2</t>
  </si>
  <si>
    <t>56 0 100 0</t>
  </si>
  <si>
    <t>Cb</t>
  </si>
  <si>
    <t xml:space="preserve">0 15 100 0
</t>
  </si>
  <si>
    <t>J</t>
  </si>
  <si>
    <t>JCcb</t>
  </si>
  <si>
    <t>50 0 40 0</t>
  </si>
  <si>
    <t>JMd</t>
  </si>
  <si>
    <t xml:space="preserve">60 70 0 0
</t>
  </si>
  <si>
    <t>JL</t>
  </si>
  <si>
    <t>JI1</t>
  </si>
  <si>
    <t>69 34 0 0</t>
  </si>
  <si>
    <t>Jl2</t>
  </si>
  <si>
    <t>90 25 0 0</t>
  </si>
  <si>
    <t xml:space="preserve">0 34 0 0
</t>
  </si>
  <si>
    <t>JLH</t>
  </si>
  <si>
    <t>72 27 0 0</t>
  </si>
  <si>
    <t>JLPT</t>
  </si>
  <si>
    <t>91 43 0 0</t>
  </si>
  <si>
    <t xml:space="preserve">0 45 0 0
</t>
  </si>
  <si>
    <t>JLS</t>
  </si>
  <si>
    <t>100 8 0 0</t>
  </si>
  <si>
    <t xml:space="preserve">11 0 79 6
</t>
  </si>
  <si>
    <t>JMc</t>
  </si>
  <si>
    <t>50 10 0 0</t>
  </si>
  <si>
    <t xml:space="preserve">0 70 100 0
</t>
  </si>
  <si>
    <t>G</t>
  </si>
  <si>
    <t xml:space="preserve">0 43 23 0
</t>
  </si>
  <si>
    <t>Ga</t>
  </si>
  <si>
    <t xml:space="preserve">0 60 38 0
</t>
  </si>
  <si>
    <t>Ggbi</t>
  </si>
  <si>
    <t>0 90 100 0</t>
  </si>
  <si>
    <t xml:space="preserve">0 20 100 5
</t>
  </si>
  <si>
    <t>Ggd</t>
  </si>
  <si>
    <t>0 100 15 0</t>
  </si>
  <si>
    <t>Ggdbi</t>
  </si>
  <si>
    <t>0 80 40 0</t>
  </si>
  <si>
    <t xml:space="preserve">5 20 45 0
</t>
  </si>
  <si>
    <t>Ggdf</t>
  </si>
  <si>
    <t xml:space="preserve">0 50 40 0
</t>
  </si>
  <si>
    <t>Ggl</t>
  </si>
  <si>
    <t>0 50 100 0</t>
  </si>
  <si>
    <t xml:space="preserve">10 65 10 0
</t>
  </si>
  <si>
    <t>Ggm</t>
  </si>
  <si>
    <t>0 80 70 0</t>
  </si>
  <si>
    <t xml:space="preserve">50 0 40 0
</t>
  </si>
  <si>
    <t>Ggmc</t>
  </si>
  <si>
    <t xml:space="preserve">69 34 0 0
</t>
  </si>
  <si>
    <t>Ggr</t>
  </si>
  <si>
    <t>0 75 60 0</t>
  </si>
  <si>
    <t xml:space="preserve">65 15 0 0
</t>
  </si>
  <si>
    <t>Ggsr</t>
  </si>
  <si>
    <t xml:space="preserve">90 25 0 0
</t>
  </si>
  <si>
    <t>Gp</t>
  </si>
  <si>
    <t xml:space="preserve">75 50 80 0
</t>
  </si>
  <si>
    <t>Glg</t>
  </si>
  <si>
    <t>0 15 100 0</t>
  </si>
  <si>
    <t xml:space="preserve">72 27 0 0 
</t>
  </si>
  <si>
    <t>Gmlg</t>
  </si>
  <si>
    <t xml:space="preserve">91 43 0 0
</t>
  </si>
  <si>
    <t>Gpe</t>
  </si>
  <si>
    <t>11 0 79 6</t>
  </si>
  <si>
    <t xml:space="preserve">100 8 0 0
</t>
  </si>
  <si>
    <t>Gpg</t>
  </si>
  <si>
    <t>0 70 100 0</t>
  </si>
  <si>
    <t xml:space="preserve">70 5 0 0
</t>
  </si>
  <si>
    <t>Gpgd</t>
  </si>
  <si>
    <t>0 43 23 0</t>
  </si>
  <si>
    <t xml:space="preserve">50 10 0 0
</t>
  </si>
  <si>
    <t>Gpgr</t>
  </si>
  <si>
    <t>0 60 38 0</t>
  </si>
  <si>
    <t>Gpr</t>
  </si>
  <si>
    <t>0 20 100 5</t>
  </si>
  <si>
    <t xml:space="preserve">91 0 60 0
</t>
  </si>
  <si>
    <t>L</t>
  </si>
  <si>
    <t xml:space="preserve">43 0 79 0
</t>
  </si>
  <si>
    <t>Gn</t>
  </si>
  <si>
    <t xml:space="preserve">65 5 30 0
</t>
  </si>
  <si>
    <t>Gnlg</t>
  </si>
  <si>
    <t>0 34 0 0</t>
  </si>
  <si>
    <t xml:space="preserve">45 0 45 0
</t>
  </si>
  <si>
    <t>Gnlp</t>
  </si>
  <si>
    <t>0 45 0 0</t>
  </si>
  <si>
    <t xml:space="preserve">30 0 25 0
</t>
  </si>
  <si>
    <t>Z</t>
  </si>
  <si>
    <t xml:space="preserve">20 0 15 0
</t>
  </si>
  <si>
    <t>ZO</t>
  </si>
  <si>
    <t xml:space="preserve">15 5 30 0
</t>
  </si>
  <si>
    <t>ZOc</t>
  </si>
  <si>
    <t xml:space="preserve">30 0 10 0
</t>
  </si>
  <si>
    <t>ZOcn</t>
  </si>
  <si>
    <t>47 23 0 0</t>
  </si>
  <si>
    <t xml:space="preserve">50 0 10 0
</t>
  </si>
  <si>
    <t>ZOdc</t>
  </si>
  <si>
    <t>20 20 0 0</t>
  </si>
  <si>
    <t xml:space="preserve">60 5 30 0
</t>
  </si>
  <si>
    <t>ZOgp</t>
  </si>
  <si>
    <t>11 15 0 0</t>
  </si>
  <si>
    <t xml:space="preserve">20 10 30 0
</t>
  </si>
  <si>
    <t>ZOgq</t>
  </si>
  <si>
    <t xml:space="preserve">20 20 0 0 </t>
  </si>
  <si>
    <t xml:space="preserve">40 5 30 0
</t>
  </si>
  <si>
    <t>Zdc</t>
  </si>
  <si>
    <t>27 30 0 0</t>
  </si>
  <si>
    <t xml:space="preserve">95 0 35 0
</t>
  </si>
  <si>
    <t>Zcb</t>
  </si>
  <si>
    <t xml:space="preserve">45 45 0 0 </t>
  </si>
  <si>
    <t xml:space="preserve">60 0 15 0
</t>
  </si>
  <si>
    <t>Zglc</t>
  </si>
  <si>
    <t>30 40 0 0</t>
  </si>
  <si>
    <t xml:space="preserve">80 0 75 0
</t>
  </si>
  <si>
    <t xml:space="preserve">15 0 60 0
</t>
  </si>
  <si>
    <t>D</t>
  </si>
  <si>
    <t xml:space="preserve">55 0 85 0
</t>
  </si>
  <si>
    <t xml:space="preserve">25 0 55 0
</t>
  </si>
  <si>
    <t>CK</t>
  </si>
  <si>
    <t xml:space="preserve">45 0 75 0
</t>
  </si>
  <si>
    <t>Cbx</t>
  </si>
  <si>
    <t>40 85 40 0</t>
  </si>
  <si>
    <t xml:space="preserve">25 0 30 0
</t>
  </si>
  <si>
    <t>CBVcl</t>
  </si>
  <si>
    <t>65 0 80 0</t>
  </si>
  <si>
    <t xml:space="preserve">56 0 43 0
</t>
  </si>
  <si>
    <t>CBA</t>
  </si>
  <si>
    <t>65 0 90 20</t>
  </si>
  <si>
    <t xml:space="preserve">60 0 51 0
</t>
  </si>
  <si>
    <t>CApmc</t>
  </si>
  <si>
    <t>45 0 90 10</t>
  </si>
  <si>
    <t xml:space="preserve">55 0 45 0
</t>
  </si>
  <si>
    <t>CApm</t>
  </si>
  <si>
    <t>15 0 100 0</t>
  </si>
  <si>
    <t xml:space="preserve">65 0 55 0
</t>
  </si>
  <si>
    <t>CApcam</t>
  </si>
  <si>
    <t>45 15 45 0</t>
  </si>
  <si>
    <t xml:space="preserve">45 0 35 0
</t>
  </si>
  <si>
    <t>CApA</t>
  </si>
  <si>
    <t>80 0 95 0</t>
  </si>
  <si>
    <t>CAcml</t>
  </si>
  <si>
    <t xml:space="preserve">0 69 51 0
</t>
  </si>
  <si>
    <t>CAmcl</t>
  </si>
  <si>
    <t>10 0 40 0</t>
  </si>
  <si>
    <t xml:space="preserve">0 50 25 0
</t>
  </si>
  <si>
    <t>CAmfl</t>
  </si>
  <si>
    <t>30 0 15 0</t>
  </si>
  <si>
    <t xml:space="preserve">60 0 45 0
</t>
  </si>
  <si>
    <t>CAml</t>
  </si>
  <si>
    <t>25 0 65 0</t>
  </si>
  <si>
    <t>EBlgc</t>
  </si>
  <si>
    <t>0 40 55 0</t>
  </si>
  <si>
    <t>EBct</t>
  </si>
  <si>
    <t>20 40 60 0</t>
  </si>
  <si>
    <t>EBcam</t>
  </si>
  <si>
    <t>10 20 40 0</t>
  </si>
  <si>
    <t>EBPc</t>
  </si>
  <si>
    <t>0 20 40 0</t>
  </si>
  <si>
    <t>EBPgx</t>
  </si>
  <si>
    <t>5 50 0 5</t>
  </si>
  <si>
    <t>ECcg</t>
  </si>
  <si>
    <t>5 20 40 0</t>
  </si>
  <si>
    <t xml:space="preserve">0 60 35 0
</t>
  </si>
  <si>
    <t>ECgac</t>
  </si>
  <si>
    <t>10 55 70 0</t>
  </si>
  <si>
    <t>ECL</t>
  </si>
  <si>
    <t>ECLbmp</t>
  </si>
  <si>
    <t>0 25 35 0</t>
  </si>
  <si>
    <t>ECLgb</t>
  </si>
  <si>
    <t>0 35 40 0</t>
  </si>
  <si>
    <t xml:space="preserve">15 0 15 0
</t>
  </si>
  <si>
    <t>EClgc</t>
  </si>
  <si>
    <t>0 25 65 0</t>
  </si>
  <si>
    <t xml:space="preserve">30 0 20 10
</t>
  </si>
  <si>
    <t>EClgcc</t>
  </si>
  <si>
    <t>0 55 40 0</t>
  </si>
  <si>
    <t xml:space="preserve">35 0 30 0
</t>
  </si>
  <si>
    <t>EClgce</t>
  </si>
  <si>
    <t>25 45 70 0</t>
  </si>
  <si>
    <t xml:space="preserve">50 0 35 0
</t>
  </si>
  <si>
    <t>EIgc</t>
  </si>
  <si>
    <t>0 70 80 0</t>
  </si>
  <si>
    <t xml:space="preserve">30 0 30 0
</t>
  </si>
  <si>
    <t>Gl</t>
  </si>
  <si>
    <t xml:space="preserve">60 0 55 0
</t>
  </si>
  <si>
    <t>Gap</t>
  </si>
  <si>
    <t>5 5 80 0</t>
  </si>
  <si>
    <t>Gapg</t>
  </si>
  <si>
    <t>5 10 60 0</t>
  </si>
  <si>
    <t xml:space="preserve">43 0 30 0
</t>
  </si>
  <si>
    <t>Ggd2</t>
  </si>
  <si>
    <t>0 95 15 0</t>
  </si>
  <si>
    <t xml:space="preserve">30 0 75 0
</t>
  </si>
  <si>
    <t>Ggr1</t>
  </si>
  <si>
    <t xml:space="preserve">25 10 40 0
</t>
  </si>
  <si>
    <t>Ggri</t>
  </si>
  <si>
    <t>0 85 50 0</t>
  </si>
  <si>
    <t xml:space="preserve">38 0 34 0
</t>
  </si>
  <si>
    <t>Ggrf</t>
  </si>
  <si>
    <t>10 100 100 0</t>
  </si>
  <si>
    <t xml:space="preserve">35 0 40 0
</t>
  </si>
  <si>
    <t>Glgg</t>
  </si>
  <si>
    <t xml:space="preserve">20 0 25 0
</t>
  </si>
  <si>
    <t>Glgm</t>
  </si>
  <si>
    <t xml:space="preserve">15 10 40 0
</t>
  </si>
  <si>
    <t>Gmgd</t>
  </si>
  <si>
    <t>60 70 0 0</t>
  </si>
  <si>
    <t xml:space="preserve">50 0 40 10
</t>
  </si>
  <si>
    <t>MRac Gnlg</t>
  </si>
  <si>
    <t>Gpgri</t>
  </si>
  <si>
    <t>Gplm</t>
  </si>
  <si>
    <t>5 20 45 0</t>
  </si>
  <si>
    <t xml:space="preserve">87 0 51 0
</t>
  </si>
  <si>
    <t>Gpmg</t>
  </si>
  <si>
    <t>0 50 40 0</t>
  </si>
  <si>
    <t xml:space="preserve">60 0 34 0
</t>
  </si>
  <si>
    <t>Gpto</t>
  </si>
  <si>
    <t>10 65 10 0</t>
  </si>
  <si>
    <t xml:space="preserve">35 5 25 0
</t>
  </si>
  <si>
    <t>JDd</t>
  </si>
  <si>
    <t xml:space="preserve">35 0 45 0
</t>
  </si>
  <si>
    <t>JLbd</t>
  </si>
  <si>
    <t>75 50 80 0</t>
  </si>
  <si>
    <t>0 0 0 0</t>
  </si>
  <si>
    <t xml:space="preserve">15 0 25 0
</t>
  </si>
  <si>
    <t>JM</t>
  </si>
  <si>
    <t xml:space="preserve">23 23 27 0
</t>
  </si>
  <si>
    <t>KCMms</t>
  </si>
  <si>
    <t>15 5 30 0</t>
  </si>
  <si>
    <t>KCms</t>
  </si>
  <si>
    <t>30 0 10 0</t>
  </si>
  <si>
    <t xml:space="preserve">0 30 0 6
</t>
  </si>
  <si>
    <t>KCm</t>
  </si>
  <si>
    <t xml:space="preserve">18 0 18 38
</t>
  </si>
  <si>
    <t>KCop1</t>
  </si>
  <si>
    <t>60 5 30 0</t>
  </si>
  <si>
    <t>KCop10</t>
  </si>
  <si>
    <t>20 10 30 0</t>
  </si>
  <si>
    <t>KCop11</t>
  </si>
  <si>
    <t>40 5 30 0</t>
  </si>
  <si>
    <t>KCop2</t>
  </si>
  <si>
    <t>95 0 35 0</t>
  </si>
  <si>
    <t>KCop3</t>
  </si>
  <si>
    <t>60 0 15 0</t>
  </si>
  <si>
    <t>KCop4</t>
  </si>
  <si>
    <t>80 0 75 0</t>
  </si>
  <si>
    <t xml:space="preserve">70 0 50 45
</t>
  </si>
  <si>
    <t>KCop6</t>
  </si>
  <si>
    <t>55 0 85 0</t>
  </si>
  <si>
    <t>KCop7</t>
  </si>
  <si>
    <t>25 0 55 0</t>
  </si>
  <si>
    <t xml:space="preserve">25 15 5 0
</t>
  </si>
  <si>
    <t>KCop8</t>
  </si>
  <si>
    <t>45 0 75 0</t>
  </si>
  <si>
    <t>KCop9</t>
  </si>
  <si>
    <t>25 0 30 0</t>
  </si>
  <si>
    <t>KCop5</t>
  </si>
  <si>
    <t>15 0 60 0</t>
  </si>
  <si>
    <t>KCSm</t>
  </si>
  <si>
    <t>45 0 35 0</t>
  </si>
  <si>
    <t>KPg</t>
  </si>
  <si>
    <t>0 69 51 0</t>
  </si>
  <si>
    <t>KPlcg</t>
  </si>
  <si>
    <t>0 50 25 0</t>
  </si>
  <si>
    <t>KMc</t>
  </si>
  <si>
    <t>KMcp</t>
  </si>
  <si>
    <t>35 0 30 0</t>
  </si>
  <si>
    <t>KMgt</t>
  </si>
  <si>
    <t>50 0 35 0</t>
  </si>
  <si>
    <t>KMmc</t>
  </si>
  <si>
    <t>30 0 30 0</t>
  </si>
  <si>
    <t xml:space="preserve">0 25 70 0
</t>
  </si>
  <si>
    <t>KMmlc</t>
  </si>
  <si>
    <t>60 0 55 0</t>
  </si>
  <si>
    <t xml:space="preserve">20 55 90 0
</t>
  </si>
  <si>
    <t>KSc</t>
  </si>
  <si>
    <t xml:space="preserve">0 15 45 0
</t>
  </si>
  <si>
    <t>KScc</t>
  </si>
  <si>
    <t>KSClgc</t>
  </si>
  <si>
    <t>35 0 40 0</t>
  </si>
  <si>
    <t xml:space="preserve">0 30 60 5
</t>
  </si>
  <si>
    <t>KSCm</t>
  </si>
  <si>
    <t>20 0 25 0</t>
  </si>
  <si>
    <t>KSM</t>
  </si>
  <si>
    <t>KSm</t>
  </si>
  <si>
    <t xml:space="preserve">0 85 5 0
</t>
  </si>
  <si>
    <t>ZObv</t>
  </si>
  <si>
    <t>23 23 27 0</t>
  </si>
  <si>
    <t>MRac ZOc</t>
  </si>
  <si>
    <t>56 51 0 0</t>
  </si>
  <si>
    <t>ZOcg</t>
  </si>
  <si>
    <t>0 30 0 6</t>
  </si>
  <si>
    <t>ZOcs</t>
  </si>
  <si>
    <t>18 0 18 38</t>
  </si>
  <si>
    <t>ZOgg</t>
  </si>
  <si>
    <t xml:space="preserve">0 5 45 0
</t>
  </si>
  <si>
    <t>ZOg</t>
  </si>
  <si>
    <t>MC ZOgp</t>
  </si>
  <si>
    <t xml:space="preserve">70 85 0 0
</t>
  </si>
  <si>
    <t>MRac ZOgp</t>
  </si>
  <si>
    <t xml:space="preserve">70 95 0 0
</t>
  </si>
  <si>
    <t>MRb ZOgp</t>
  </si>
  <si>
    <t xml:space="preserve">20 15 5 0
</t>
  </si>
  <si>
    <t>MRs ZOgp</t>
  </si>
  <si>
    <t xml:space="preserve">50 50 0 10
</t>
  </si>
  <si>
    <t>Klc</t>
  </si>
  <si>
    <t>70 0 50 45</t>
  </si>
  <si>
    <t xml:space="preserve">35 35 0 0
</t>
  </si>
  <si>
    <t>CAP</t>
  </si>
  <si>
    <t>JLgx</t>
  </si>
  <si>
    <t>25 15 5 0</t>
  </si>
  <si>
    <t>EIga(li)</t>
  </si>
  <si>
    <t>EClgc (c)</t>
  </si>
  <si>
    <t xml:space="preserve">40 20 60 10
</t>
  </si>
  <si>
    <t>EClgc (c3)</t>
  </si>
  <si>
    <t xml:space="preserve">0 25 65 0 </t>
  </si>
  <si>
    <t xml:space="preserve">20 50 70 0
</t>
  </si>
  <si>
    <t>EClgc (c4)</t>
  </si>
  <si>
    <t>ECgac (l)</t>
  </si>
  <si>
    <t xml:space="preserve">0 85 100 0
</t>
  </si>
  <si>
    <t>EClgce (c)</t>
  </si>
  <si>
    <t xml:space="preserve">0 30 30 0
</t>
  </si>
  <si>
    <t>EClgce (ca)</t>
  </si>
  <si>
    <t>EClgc (c1)</t>
  </si>
  <si>
    <t>EClgc (c2)</t>
  </si>
  <si>
    <t>EIc (c)</t>
  </si>
  <si>
    <t>0 25 70 0</t>
  </si>
  <si>
    <t xml:space="preserve">0 47 43 0
</t>
  </si>
  <si>
    <t>EIcai</t>
  </si>
  <si>
    <t>20 55 90 0</t>
  </si>
  <si>
    <t xml:space="preserve">55 0 75 0
</t>
  </si>
  <si>
    <t>EBcm</t>
  </si>
  <si>
    <t>5 25 55 0</t>
  </si>
  <si>
    <t xml:space="preserve">40 0 30 0
</t>
  </si>
  <si>
    <t>EBlm2c</t>
  </si>
  <si>
    <t>0 15 45 0</t>
  </si>
  <si>
    <t xml:space="preserve">75 0 60 0
</t>
  </si>
  <si>
    <t>EBlg (c)</t>
  </si>
  <si>
    <t xml:space="preserve">40 25 40 0
</t>
  </si>
  <si>
    <t>EBlm2 (t)</t>
  </si>
  <si>
    <t>0 30 60 5</t>
  </si>
  <si>
    <t xml:space="preserve">25 35 40 0
</t>
  </si>
  <si>
    <t>Gmgl</t>
  </si>
  <si>
    <t xml:space="preserve">40 30 50 0
</t>
  </si>
  <si>
    <t>Ggdh2</t>
  </si>
  <si>
    <t xml:space="preserve">30 15 45 0
</t>
  </si>
  <si>
    <t>Gpgdh</t>
  </si>
  <si>
    <t>0 85 5 0</t>
  </si>
  <si>
    <t xml:space="preserve">95 30 20 0
</t>
  </si>
  <si>
    <t>Gpgdf</t>
  </si>
  <si>
    <t xml:space="preserve">30 25 60 0
</t>
  </si>
  <si>
    <t>Gmgl2</t>
  </si>
  <si>
    <t xml:space="preserve">70 0 95 10
</t>
  </si>
  <si>
    <t>Gmgl3</t>
  </si>
  <si>
    <t>Ggdi</t>
  </si>
  <si>
    <t xml:space="preserve">35 5 40 0
</t>
  </si>
  <si>
    <t>Gfe</t>
  </si>
  <si>
    <t>0 5 45 0</t>
  </si>
  <si>
    <t>Dc</t>
  </si>
  <si>
    <t>Dd</t>
  </si>
  <si>
    <t>Dmghp</t>
  </si>
  <si>
    <t>70 95 0 0</t>
  </si>
  <si>
    <t xml:space="preserve">10 10 60 0
</t>
  </si>
  <si>
    <t>Gpgg</t>
  </si>
  <si>
    <t>20 15 5 0</t>
  </si>
  <si>
    <t>35 35 0 0</t>
  </si>
  <si>
    <t xml:space="preserve">0 70 5 0
</t>
  </si>
  <si>
    <t xml:space="preserve">87 100 0 0
</t>
  </si>
  <si>
    <t>MC ZO</t>
  </si>
  <si>
    <t xml:space="preserve">60 90 0 0
</t>
  </si>
  <si>
    <t>MC MR ZO</t>
  </si>
  <si>
    <t xml:space="preserve">0 100 100 0
</t>
  </si>
  <si>
    <t xml:space="preserve">73 95 0 0 
</t>
  </si>
  <si>
    <t>Ca</t>
  </si>
  <si>
    <t xml:space="preserve">0 55 80 0
</t>
  </si>
  <si>
    <t xml:space="preserve">50 10 60 0
</t>
  </si>
  <si>
    <t>Gd</t>
  </si>
  <si>
    <t xml:space="preserve">25 0 85 0
</t>
  </si>
  <si>
    <t>0 30 30 0</t>
  </si>
  <si>
    <t xml:space="preserve">25 15 45 0
</t>
  </si>
  <si>
    <t>MRac Gn</t>
  </si>
  <si>
    <t xml:space="preserve">25 0 50 0
</t>
  </si>
  <si>
    <t xml:space="preserve">10 0 25 0
</t>
  </si>
  <si>
    <t>0 47 43 0</t>
  </si>
  <si>
    <t>CAca</t>
  </si>
  <si>
    <t>55 0 75 0</t>
  </si>
  <si>
    <t xml:space="preserve">50 10 45 0
</t>
  </si>
  <si>
    <t>CAcm</t>
  </si>
  <si>
    <t>40 0 30 0</t>
  </si>
  <si>
    <t xml:space="preserve">30 20 45 0
</t>
  </si>
  <si>
    <t>CAcmc</t>
  </si>
  <si>
    <t>75 0 60 0</t>
  </si>
  <si>
    <t xml:space="preserve">15 15 30 0
</t>
  </si>
  <si>
    <t>CAg</t>
  </si>
  <si>
    <t xml:space="preserve">10 5 45 0
</t>
  </si>
  <si>
    <t>CAl</t>
  </si>
  <si>
    <t xml:space="preserve">15 20 50 0
</t>
  </si>
  <si>
    <t>CaMcg</t>
  </si>
  <si>
    <t>40 30 50 0</t>
  </si>
  <si>
    <t>CAmg</t>
  </si>
  <si>
    <t>30 15 45 0</t>
  </si>
  <si>
    <t xml:space="preserve">75 10 35 0
</t>
  </si>
  <si>
    <t>CaMli</t>
  </si>
  <si>
    <t>96 30 20 0</t>
  </si>
  <si>
    <t>CaM</t>
  </si>
  <si>
    <t>MC CaMpg</t>
  </si>
  <si>
    <t>30 25 60 0</t>
  </si>
  <si>
    <t xml:space="preserve">5 45 15 0
</t>
  </si>
  <si>
    <t>CApcm</t>
  </si>
  <si>
    <t>70 0 95 10</t>
  </si>
  <si>
    <t xml:space="preserve">0 60 15 0
</t>
  </si>
  <si>
    <t>CKbx</t>
  </si>
  <si>
    <t>CKACeca</t>
  </si>
  <si>
    <t>35 5 40 0</t>
  </si>
  <si>
    <t>MC CaMcg</t>
  </si>
  <si>
    <t xml:space="preserve">35 0 20 0
</t>
  </si>
  <si>
    <t>MC CaMli</t>
  </si>
  <si>
    <t>95 30 20 0</t>
  </si>
  <si>
    <t xml:space="preserve">55 5 60 0
</t>
  </si>
  <si>
    <t>CaMp</t>
  </si>
  <si>
    <t>10 10 60 0</t>
  </si>
  <si>
    <t xml:space="preserve">20 25 40 0
</t>
  </si>
  <si>
    <t>ECc</t>
  </si>
  <si>
    <t xml:space="preserve">40 55 60 0
</t>
  </si>
  <si>
    <t>Ggdbl2</t>
  </si>
  <si>
    <t>0 70 5 0</t>
  </si>
  <si>
    <t xml:space="preserve">25 40 60 0
</t>
  </si>
  <si>
    <t>Gg</t>
  </si>
  <si>
    <t xml:space="preserve">85 10 0 0
</t>
  </si>
  <si>
    <t>Gm</t>
  </si>
  <si>
    <t xml:space="preserve">50 15 0 0
</t>
  </si>
  <si>
    <t xml:space="preserve">0 10 50 0
</t>
  </si>
  <si>
    <t>Gq</t>
  </si>
  <si>
    <t xml:space="preserve">100 0 65 0
</t>
  </si>
  <si>
    <t>Gqdt</t>
  </si>
  <si>
    <t>87 100 0 0</t>
  </si>
  <si>
    <t>Gqm</t>
  </si>
  <si>
    <t>60 90 0 0</t>
  </si>
  <si>
    <t>Gr</t>
  </si>
  <si>
    <t>Gqd</t>
  </si>
  <si>
    <t>73 95 0 0</t>
  </si>
  <si>
    <t>0 100 100 0</t>
  </si>
  <si>
    <t>Gmgb1</t>
  </si>
  <si>
    <t>0 55 80 0</t>
  </si>
  <si>
    <t xml:space="preserve">0 0 79 0
</t>
  </si>
  <si>
    <t>Gmgb2</t>
  </si>
  <si>
    <t xml:space="preserve">10 35 35 0
</t>
  </si>
  <si>
    <t>KCeca</t>
  </si>
  <si>
    <t>50 10 60 0</t>
  </si>
  <si>
    <t xml:space="preserve">38 38 43 0
</t>
  </si>
  <si>
    <t>KCecm</t>
  </si>
  <si>
    <t>25 0 85 0</t>
  </si>
  <si>
    <t xml:space="preserve">0 0 100 0
</t>
  </si>
  <si>
    <t>KCem</t>
  </si>
  <si>
    <t>25 15 45 0</t>
  </si>
  <si>
    <t xml:space="preserve">100 20 100 0
</t>
  </si>
  <si>
    <t>KCom</t>
  </si>
  <si>
    <t>25 0 50 0</t>
  </si>
  <si>
    <t xml:space="preserve">100 60 0 0
</t>
  </si>
  <si>
    <t>KComc</t>
  </si>
  <si>
    <t>10 0 25 0</t>
  </si>
  <si>
    <t xml:space="preserve">0 35 100 0
</t>
  </si>
  <si>
    <t>KMm2 (g)</t>
  </si>
  <si>
    <t>KPlcg (g)</t>
  </si>
  <si>
    <t xml:space="preserve">0 20 100 0
</t>
  </si>
  <si>
    <t>KSCcl</t>
  </si>
  <si>
    <t>50 10 45 0</t>
  </si>
  <si>
    <t xml:space="preserve">0 60 50 0
</t>
  </si>
  <si>
    <t>KSCg</t>
  </si>
  <si>
    <t>30 20 45 0</t>
  </si>
  <si>
    <t xml:space="preserve">30 45 0 0
</t>
  </si>
  <si>
    <t>KSClg</t>
  </si>
  <si>
    <t>15 15 30 0</t>
  </si>
  <si>
    <t xml:space="preserve">70 65 0 0
</t>
  </si>
  <si>
    <t>KTCbrf</t>
  </si>
  <si>
    <t>10 5 45 0</t>
  </si>
  <si>
    <t xml:space="preserve">20 45 40 0
</t>
  </si>
  <si>
    <t>KTColo</t>
  </si>
  <si>
    <t>15 20 50 0</t>
  </si>
  <si>
    <t xml:space="preserve">20 40 40 0
</t>
  </si>
  <si>
    <t>MC Ca</t>
  </si>
  <si>
    <t>40 20 60 10</t>
  </si>
  <si>
    <t xml:space="preserve">5 30 70 0
</t>
  </si>
  <si>
    <t>CaMca</t>
  </si>
  <si>
    <t>75 10 35 0</t>
  </si>
  <si>
    <t xml:space="preserve">15 30 10 0
</t>
  </si>
  <si>
    <t>MC CaMca</t>
  </si>
  <si>
    <t xml:space="preserve">20 20 60 0
</t>
  </si>
  <si>
    <t>Ggdbm</t>
  </si>
  <si>
    <t>0 45 15 0</t>
  </si>
  <si>
    <t xml:space="preserve">10 20 10 0
</t>
  </si>
  <si>
    <t>Ggdfk</t>
  </si>
  <si>
    <t>0 60 15 0</t>
  </si>
  <si>
    <t xml:space="preserve">5 25 55 0
</t>
  </si>
  <si>
    <t>Gmgb3</t>
  </si>
  <si>
    <t>Gmgp</t>
  </si>
  <si>
    <t xml:space="preserve">80 5 45 0
</t>
  </si>
  <si>
    <t>CaMr</t>
  </si>
  <si>
    <t>35 0 20 0</t>
  </si>
  <si>
    <t xml:space="preserve">35 70 0 0
</t>
  </si>
  <si>
    <t>CAcmr</t>
  </si>
  <si>
    <t>55 5 60 0</t>
  </si>
  <si>
    <t xml:space="preserve">43 34 0 0
</t>
  </si>
  <si>
    <t>CAPe</t>
  </si>
  <si>
    <t>20 25 40 0</t>
  </si>
  <si>
    <t xml:space="preserve">10 40 10 0
</t>
  </si>
  <si>
    <t>D1El</t>
  </si>
  <si>
    <t>40 55 60 0</t>
  </si>
  <si>
    <t xml:space="preserve">25 30 0 0
</t>
  </si>
  <si>
    <t>D1Elca</t>
  </si>
  <si>
    <t>25 40 60 0</t>
  </si>
  <si>
    <t xml:space="preserve">43 0 34 38
</t>
  </si>
  <si>
    <t>JDBm</t>
  </si>
  <si>
    <t>85 10 0 0</t>
  </si>
  <si>
    <t>JMKd</t>
  </si>
  <si>
    <t>50 15 0 0</t>
  </si>
  <si>
    <t xml:space="preserve">56 56 0 0 
</t>
  </si>
  <si>
    <t>EBca1</t>
  </si>
  <si>
    <t>0 10 50 0</t>
  </si>
  <si>
    <t xml:space="preserve">76 23 0 8 
</t>
  </si>
  <si>
    <t xml:space="preserve">65 20 40 35
</t>
  </si>
  <si>
    <t>M</t>
  </si>
  <si>
    <t>MC</t>
  </si>
  <si>
    <t>100 0 65 0</t>
  </si>
  <si>
    <t>MR</t>
  </si>
  <si>
    <t>MRac</t>
  </si>
  <si>
    <t>MRb</t>
  </si>
  <si>
    <t xml:space="preserve">100 0 65 0-0 100 100 0
</t>
  </si>
  <si>
    <t>MRmg</t>
  </si>
  <si>
    <t>MRs</t>
  </si>
  <si>
    <t>MCG</t>
  </si>
  <si>
    <t>0 0 79 0</t>
  </si>
  <si>
    <t>Mz Tr</t>
  </si>
  <si>
    <t>Mz-Tr</t>
  </si>
  <si>
    <t>10 35 35 0</t>
  </si>
  <si>
    <t>F</t>
  </si>
  <si>
    <t>ff</t>
  </si>
  <si>
    <t>38 38 43 0</t>
  </si>
  <si>
    <t>fhm</t>
  </si>
  <si>
    <t>0 0 100 0</t>
  </si>
  <si>
    <t>H</t>
  </si>
  <si>
    <t>Mre</t>
  </si>
  <si>
    <t>100 20 100 0</t>
  </si>
  <si>
    <t>m</t>
  </si>
  <si>
    <t xml:space="preserve">60 35 0 0
</t>
  </si>
  <si>
    <t>Lli</t>
  </si>
  <si>
    <t>100 60 0 0</t>
  </si>
  <si>
    <t xml:space="preserve">70 45 0 0
</t>
  </si>
  <si>
    <t>Glgmb1</t>
  </si>
  <si>
    <t>0 35 100 0</t>
  </si>
  <si>
    <t xml:space="preserve">10 75 0 0
</t>
  </si>
  <si>
    <t>Gapp</t>
  </si>
  <si>
    <t xml:space="preserve">15 80 10 0
</t>
  </si>
  <si>
    <t>Glg1</t>
  </si>
  <si>
    <t>0 20 100 0</t>
  </si>
  <si>
    <t>Glga</t>
  </si>
  <si>
    <t>0 60 50 0</t>
  </si>
  <si>
    <t xml:space="preserve">15 65 10 0
</t>
  </si>
  <si>
    <t>Ddgb</t>
  </si>
  <si>
    <t>30 45 0 0</t>
  </si>
  <si>
    <t>Dgbto</t>
  </si>
  <si>
    <t>70 65 0 0</t>
  </si>
  <si>
    <t xml:space="preserve">10 5 80 0
</t>
  </si>
  <si>
    <t>EBc</t>
  </si>
  <si>
    <t xml:space="preserve">5 15 80 0
</t>
  </si>
  <si>
    <t>ECgl</t>
  </si>
  <si>
    <t>20 40 40 0</t>
  </si>
  <si>
    <t xml:space="preserve">0 0 45 0
</t>
  </si>
  <si>
    <t>ECLoa</t>
  </si>
  <si>
    <t>5 30 70 0</t>
  </si>
  <si>
    <t xml:space="preserve">55 35 45 0
</t>
  </si>
  <si>
    <t>ECLbr</t>
  </si>
  <si>
    <t>15 30 10 0</t>
  </si>
  <si>
    <t xml:space="preserve">60 40 45 0
</t>
  </si>
  <si>
    <t>EIbrca</t>
  </si>
  <si>
    <t>20 20 60 0</t>
  </si>
  <si>
    <t>ECLma</t>
  </si>
  <si>
    <t>10 20 10 0</t>
  </si>
  <si>
    <t>fq</t>
  </si>
  <si>
    <t xml:space="preserve">5 70 0 5
</t>
  </si>
  <si>
    <t>KCmc</t>
  </si>
  <si>
    <t>20 0 15 0</t>
  </si>
  <si>
    <t xml:space="preserve">0 18 43 0
</t>
  </si>
  <si>
    <t>min</t>
  </si>
  <si>
    <t>35 70 0 0</t>
  </si>
  <si>
    <t xml:space="preserve">0 18 56 0
</t>
  </si>
  <si>
    <t>ZOb</t>
  </si>
  <si>
    <t>Zc</t>
  </si>
  <si>
    <t xml:space="preserve">0 43 72 0
</t>
  </si>
  <si>
    <t xml:space="preserve">0 15 50 0
</t>
  </si>
  <si>
    <t>ZOpn</t>
  </si>
  <si>
    <t>43 34 0 0</t>
  </si>
  <si>
    <t xml:space="preserve">0 45 90 0
</t>
  </si>
  <si>
    <t>ZOtr</t>
  </si>
  <si>
    <t xml:space="preserve">10 40 10 0 </t>
  </si>
  <si>
    <t xml:space="preserve">0 35 5 0
</t>
  </si>
  <si>
    <t>ZOva</t>
  </si>
  <si>
    <t>25 30 0 0</t>
  </si>
  <si>
    <t xml:space="preserve">0 50 85 15
</t>
  </si>
  <si>
    <t>ZOvb</t>
  </si>
  <si>
    <t>43 0 34 38</t>
  </si>
  <si>
    <t xml:space="preserve">0 35 45 0
</t>
  </si>
  <si>
    <t>MC ZOpn</t>
  </si>
  <si>
    <t xml:space="preserve">10 40 100 0
</t>
  </si>
  <si>
    <t>ZOqr</t>
  </si>
  <si>
    <t>56 56 0 0</t>
  </si>
  <si>
    <t xml:space="preserve">0 20 55 5
</t>
  </si>
  <si>
    <t>ZOsb</t>
  </si>
  <si>
    <t>76 23 0 8</t>
  </si>
  <si>
    <t xml:space="preserve">5 30 50 0
</t>
  </si>
  <si>
    <t>ZOp</t>
  </si>
  <si>
    <t xml:space="preserve">0 91 76 0
</t>
  </si>
  <si>
    <t>ZOv</t>
  </si>
  <si>
    <t xml:space="preserve">0 30 69 0
</t>
  </si>
  <si>
    <t>ZOd</t>
  </si>
  <si>
    <t xml:space="preserve">0 23 45 0
</t>
  </si>
  <si>
    <t xml:space="preserve">0 18 47 0
</t>
  </si>
  <si>
    <t>ZOs</t>
  </si>
  <si>
    <t>ZOt</t>
  </si>
  <si>
    <t xml:space="preserve">0 25 40 0
</t>
  </si>
  <si>
    <t>65 20 40 35</t>
  </si>
  <si>
    <t xml:space="preserve">0 38 76 0
</t>
  </si>
  <si>
    <t>MC MR ZOgq</t>
  </si>
  <si>
    <t xml:space="preserve">0 20 80 0
</t>
  </si>
  <si>
    <t xml:space="preserve">0 60 56 0
</t>
  </si>
  <si>
    <t>MC MR Gn</t>
  </si>
  <si>
    <t xml:space="preserve">5 50 70 0
</t>
  </si>
  <si>
    <t xml:space="preserve">5 25 75 0
</t>
  </si>
  <si>
    <t>MR Gn</t>
  </si>
  <si>
    <t xml:space="preserve">10 20 30 0
</t>
  </si>
  <si>
    <t>MC MR Gnlg</t>
  </si>
  <si>
    <t>MR Gnlg</t>
  </si>
  <si>
    <t>MC MR</t>
  </si>
  <si>
    <t xml:space="preserve">0 20 50 0
</t>
  </si>
  <si>
    <t>100 0 65 0-0 100 100 0</t>
  </si>
  <si>
    <t xml:space="preserve">0 25 60 0
</t>
  </si>
  <si>
    <t>MC MRac</t>
  </si>
  <si>
    <t xml:space="preserve">10 5 30 0
</t>
  </si>
  <si>
    <t>MC MRb</t>
  </si>
  <si>
    <t xml:space="preserve">10 30 80 0
</t>
  </si>
  <si>
    <t>MC MRs</t>
  </si>
  <si>
    <t xml:space="preserve">0 50 90 0
</t>
  </si>
  <si>
    <t>MRac ZO</t>
  </si>
  <si>
    <t>MC MR ZOc</t>
  </si>
  <si>
    <t xml:space="preserve">5 10 75 0
</t>
  </si>
  <si>
    <t>MRb ZO</t>
  </si>
  <si>
    <t xml:space="preserve">0 23 38 0
</t>
  </si>
  <si>
    <t>MRs ZO</t>
  </si>
  <si>
    <t xml:space="preserve">0 15 94 0
</t>
  </si>
  <si>
    <t>MR ZO</t>
  </si>
  <si>
    <t xml:space="preserve">5 20 60 0
</t>
  </si>
  <si>
    <t>MC MRac ZO</t>
  </si>
  <si>
    <t xml:space="preserve">15 20 60 0
</t>
  </si>
  <si>
    <t xml:space="preserve">0 35 55 0
</t>
  </si>
  <si>
    <t xml:space="preserve">5 15 60 0
</t>
  </si>
  <si>
    <t xml:space="preserve">5 55 60 0
</t>
  </si>
  <si>
    <t>MR ZOc</t>
  </si>
  <si>
    <t xml:space="preserve">5 40 60 0
</t>
  </si>
  <si>
    <t>MC ZOgq</t>
  </si>
  <si>
    <t>MR ZOgq</t>
  </si>
  <si>
    <t xml:space="preserve">0 40 100 0
</t>
  </si>
  <si>
    <t>MC MRZOvb</t>
  </si>
  <si>
    <t xml:space="preserve">10 35 40 0
</t>
  </si>
  <si>
    <t>MRZOvb</t>
  </si>
  <si>
    <t xml:space="preserve">10 25 25 0
</t>
  </si>
  <si>
    <t xml:space="preserve">25 25 25 0
</t>
  </si>
  <si>
    <t>0 85 100 0</t>
  </si>
  <si>
    <t xml:space="preserve">35 15 15 0
</t>
  </si>
  <si>
    <t>Gb</t>
  </si>
  <si>
    <t xml:space="preserve">10 45 30 0
</t>
  </si>
  <si>
    <t>60 35 0 0</t>
  </si>
  <si>
    <t xml:space="preserve">30 10 30 0
</t>
  </si>
  <si>
    <t>Gbh</t>
  </si>
  <si>
    <t xml:space="preserve">70 45 0 0 </t>
  </si>
  <si>
    <t>GdDd</t>
  </si>
  <si>
    <t>10 75 0 0</t>
  </si>
  <si>
    <t xml:space="preserve">0 0 20 10
</t>
  </si>
  <si>
    <t xml:space="preserve">55 0 0 0
</t>
  </si>
  <si>
    <t>Gt</t>
  </si>
  <si>
    <t>Gto3</t>
  </si>
  <si>
    <t>15 80 10 0</t>
  </si>
  <si>
    <t xml:space="preserve">40 70 20 0
</t>
  </si>
  <si>
    <t>Gtoi</t>
  </si>
  <si>
    <t>15 65 10 0</t>
  </si>
  <si>
    <t xml:space="preserve">10 55 45 0
</t>
  </si>
  <si>
    <t xml:space="preserve">50 90 15 0
</t>
  </si>
  <si>
    <t>Gto2</t>
  </si>
  <si>
    <t xml:space="preserve">40 80 10 0
</t>
  </si>
  <si>
    <t>Gf</t>
  </si>
  <si>
    <t>Glm1</t>
  </si>
  <si>
    <t>10 5 80 0</t>
  </si>
  <si>
    <t>Glmg2</t>
  </si>
  <si>
    <t>5 15 80 0</t>
  </si>
  <si>
    <t>Gplf</t>
  </si>
  <si>
    <t>0 0 45 0</t>
  </si>
  <si>
    <t>Hb</t>
  </si>
  <si>
    <t xml:space="preserve">15 30 45 0
</t>
  </si>
  <si>
    <t>55 35 45 0</t>
  </si>
  <si>
    <t xml:space="preserve">0 20 25 0
</t>
  </si>
  <si>
    <t>Hbo</t>
  </si>
  <si>
    <t>60 40 45 0</t>
  </si>
  <si>
    <t xml:space="preserve">0 65 15 0
</t>
  </si>
  <si>
    <t xml:space="preserve">0 70 45 0
</t>
  </si>
  <si>
    <t xml:space="preserve">35 60 5 0
</t>
  </si>
  <si>
    <t>MC MRs ZO</t>
  </si>
  <si>
    <t>CA</t>
  </si>
  <si>
    <t xml:space="preserve">20 100 10 0
</t>
  </si>
  <si>
    <t>CAA</t>
  </si>
  <si>
    <t xml:space="preserve">43 0 100 23
</t>
  </si>
  <si>
    <t>100 0 79 27</t>
  </si>
  <si>
    <t xml:space="preserve">76 0 91 0
</t>
  </si>
  <si>
    <t>76 0 100 23</t>
  </si>
  <si>
    <t xml:space="preserve">0 30 35 0
</t>
  </si>
  <si>
    <t xml:space="preserve">0 10 15 10
</t>
  </si>
  <si>
    <t>CB</t>
  </si>
  <si>
    <t>CH</t>
  </si>
  <si>
    <t>65 25 60 0</t>
  </si>
  <si>
    <t xml:space="preserve">0 30 25 0
</t>
  </si>
  <si>
    <t>Eb</t>
  </si>
  <si>
    <t xml:space="preserve">15 20 30 0
</t>
  </si>
  <si>
    <t>0 27 60 0</t>
  </si>
  <si>
    <t xml:space="preserve">10 10 80 0
</t>
  </si>
  <si>
    <t>20 45 40 0</t>
  </si>
  <si>
    <t xml:space="preserve">0 55 50 0
</t>
  </si>
  <si>
    <t>EBl</t>
  </si>
  <si>
    <t xml:space="preserve">12 25 55 0
</t>
  </si>
  <si>
    <t>EBm</t>
  </si>
  <si>
    <t xml:space="preserve">0 50 45 0
</t>
  </si>
  <si>
    <t xml:space="preserve">65 90 0 0
</t>
  </si>
  <si>
    <t xml:space="preserve">75 15 100 0
</t>
  </si>
  <si>
    <t>ECd</t>
  </si>
  <si>
    <t xml:space="preserve">45 15 50 0
</t>
  </si>
  <si>
    <t>ECg</t>
  </si>
  <si>
    <t xml:space="preserve">30 5 50 0
</t>
  </si>
  <si>
    <t>ECl</t>
  </si>
  <si>
    <t xml:space="preserve">40 20 95 0
</t>
  </si>
  <si>
    <t>0 40 80 0</t>
  </si>
  <si>
    <t xml:space="preserve">80 15 100 0
</t>
  </si>
  <si>
    <t>ECm</t>
  </si>
  <si>
    <t xml:space="preserve">80 30 5 0
</t>
  </si>
  <si>
    <t>0 34 91 0</t>
  </si>
  <si>
    <t xml:space="preserve">40 0 100 0
</t>
  </si>
  <si>
    <t>EP</t>
  </si>
  <si>
    <t xml:space="preserve">25 0 35 0
</t>
  </si>
  <si>
    <t>ELcb</t>
  </si>
  <si>
    <t>0 18 56 0</t>
  </si>
  <si>
    <t xml:space="preserve">85 25 25 0
</t>
  </si>
  <si>
    <t>ELcp1</t>
  </si>
  <si>
    <t>0 18 43 0</t>
  </si>
  <si>
    <t>ELcp2</t>
  </si>
  <si>
    <t>0 43 72 0</t>
  </si>
  <si>
    <t>ELcgb</t>
  </si>
  <si>
    <t>ELgbe</t>
  </si>
  <si>
    <t>0 91 76 0</t>
  </si>
  <si>
    <t xml:space="preserve">0 30 79 0
</t>
  </si>
  <si>
    <t>ELgcb</t>
  </si>
  <si>
    <t>0 30 69 0</t>
  </si>
  <si>
    <t>ELgci</t>
  </si>
  <si>
    <t>0 23 45 0</t>
  </si>
  <si>
    <t xml:space="preserve">0 15 60 0
</t>
  </si>
  <si>
    <t>ELma</t>
  </si>
  <si>
    <t>0 18 47 0</t>
  </si>
  <si>
    <t>ELmg</t>
  </si>
  <si>
    <t>ELss</t>
  </si>
  <si>
    <t>0 25 40 0</t>
  </si>
  <si>
    <t>ELx</t>
  </si>
  <si>
    <t>ELBbr</t>
  </si>
  <si>
    <t>EPcm</t>
  </si>
  <si>
    <t>5 30 50 0</t>
  </si>
  <si>
    <t>ELg</t>
  </si>
  <si>
    <t>EPgx</t>
  </si>
  <si>
    <t>5 70 0 5</t>
  </si>
  <si>
    <t xml:space="preserve">40 10 40 0
</t>
  </si>
  <si>
    <t>ELB</t>
  </si>
  <si>
    <t>ELbc</t>
  </si>
  <si>
    <t>0 15 50 0</t>
  </si>
  <si>
    <t xml:space="preserve">40 20 50 0
</t>
  </si>
  <si>
    <t>ELc1</t>
  </si>
  <si>
    <t>0 45 90 0</t>
  </si>
  <si>
    <t xml:space="preserve">20 5 55 0
</t>
  </si>
  <si>
    <t>ELc2</t>
  </si>
  <si>
    <t>0 35 5 0</t>
  </si>
  <si>
    <t xml:space="preserve">40 15 55 0
</t>
  </si>
  <si>
    <t>ELc3</t>
  </si>
  <si>
    <t>0 50 85 15</t>
  </si>
  <si>
    <t xml:space="preserve">5 65 55 0
</t>
  </si>
  <si>
    <t>ELc4</t>
  </si>
  <si>
    <t>0 35 45 0</t>
  </si>
  <si>
    <t xml:space="preserve">25 25 70 0
</t>
  </si>
  <si>
    <t>ELcl</t>
  </si>
  <si>
    <t>10 40 100 0</t>
  </si>
  <si>
    <t xml:space="preserve">70 5 35 0
</t>
  </si>
  <si>
    <t>ELcna</t>
  </si>
  <si>
    <t>0 20 55 5</t>
  </si>
  <si>
    <t>ELlc</t>
  </si>
  <si>
    <t>0 20 80 0</t>
  </si>
  <si>
    <t xml:space="preserve">35 0 35 0
</t>
  </si>
  <si>
    <t>ELog</t>
  </si>
  <si>
    <t>0 60 56 0</t>
  </si>
  <si>
    <t xml:space="preserve">50 10 30 0
</t>
  </si>
  <si>
    <t>EPbp</t>
  </si>
  <si>
    <t>5 50 70 0</t>
  </si>
  <si>
    <t xml:space="preserve">45 5 35 0
</t>
  </si>
  <si>
    <t>EPbr</t>
  </si>
  <si>
    <t>5 25 75 0</t>
  </si>
  <si>
    <t xml:space="preserve">10 45 25 0
</t>
  </si>
  <si>
    <t>EPcbr</t>
  </si>
  <si>
    <t>10 20 30 0</t>
  </si>
  <si>
    <t>EPga</t>
  </si>
  <si>
    <t>EPgcl</t>
  </si>
  <si>
    <t xml:space="preserve">15 0 0 20
</t>
  </si>
  <si>
    <t>ELcab</t>
  </si>
  <si>
    <t>0 20 50 0</t>
  </si>
  <si>
    <t xml:space="preserve">0 25 0 10
</t>
  </si>
  <si>
    <t>ELcab1</t>
  </si>
  <si>
    <t xml:space="preserve">35 0 25 0
</t>
  </si>
  <si>
    <t>ELcab2</t>
  </si>
  <si>
    <t>0 25 60 0</t>
  </si>
  <si>
    <t>ELcgc</t>
  </si>
  <si>
    <t>10 30 80 0</t>
  </si>
  <si>
    <t xml:space="preserve">85 10 55 0
</t>
  </si>
  <si>
    <t>ELcgl</t>
  </si>
  <si>
    <t>0 50 90 0</t>
  </si>
  <si>
    <t xml:space="preserve">10 50 60 0
</t>
  </si>
  <si>
    <t>EOcgg</t>
  </si>
  <si>
    <t xml:space="preserve">50 0 80 0
</t>
  </si>
  <si>
    <t>EPagc</t>
  </si>
  <si>
    <t>5 10 75 0</t>
  </si>
  <si>
    <t xml:space="preserve">20 0 80 0
</t>
  </si>
  <si>
    <t>ELtc</t>
  </si>
  <si>
    <t>0 23 38 0</t>
  </si>
  <si>
    <t>EO</t>
  </si>
  <si>
    <t xml:space="preserve">5 0 45 0
</t>
  </si>
  <si>
    <t>0 15 94 0</t>
  </si>
  <si>
    <t xml:space="preserve">0 30 45 0
</t>
  </si>
  <si>
    <t>EOlg</t>
  </si>
  <si>
    <t>5 20 60 0</t>
  </si>
  <si>
    <t xml:space="preserve">0 20 30 0
</t>
  </si>
  <si>
    <t>EPlca</t>
  </si>
  <si>
    <t>15 20 60 0</t>
  </si>
  <si>
    <t xml:space="preserve">0 47 100 0
</t>
  </si>
  <si>
    <t>EPO</t>
  </si>
  <si>
    <t xml:space="preserve">15 30 60 0
</t>
  </si>
  <si>
    <t>Es-Oi</t>
  </si>
  <si>
    <t>0 35 55 0</t>
  </si>
  <si>
    <t xml:space="preserve">15 10 60 0
</t>
  </si>
  <si>
    <t>EPlvg</t>
  </si>
  <si>
    <t>5 15 60 0</t>
  </si>
  <si>
    <t xml:space="preserve">20 30 95 0
</t>
  </si>
  <si>
    <t>EPcgg</t>
  </si>
  <si>
    <t>5 55 60 0</t>
  </si>
  <si>
    <t xml:space="preserve">40 0 40 0
</t>
  </si>
  <si>
    <t>EPlg (c)</t>
  </si>
  <si>
    <t>5 40 60 0</t>
  </si>
  <si>
    <t xml:space="preserve">0 65 40 0
</t>
  </si>
  <si>
    <t>EPlgc</t>
  </si>
  <si>
    <t>ELgr</t>
  </si>
  <si>
    <t>0 40 100 0</t>
  </si>
  <si>
    <t>ELBc2</t>
  </si>
  <si>
    <t>10 35 40 0</t>
  </si>
  <si>
    <t>ELBgl2</t>
  </si>
  <si>
    <t>10 25 25 0</t>
  </si>
  <si>
    <t>ELBlg</t>
  </si>
  <si>
    <t>25 25 25 0</t>
  </si>
  <si>
    <t>ELcaj</t>
  </si>
  <si>
    <t>35 15 15 0</t>
  </si>
  <si>
    <t>ELbrj</t>
  </si>
  <si>
    <t>10 45 30 0</t>
  </si>
  <si>
    <t>ELmj</t>
  </si>
  <si>
    <t>30 10 30 0</t>
  </si>
  <si>
    <t>ELtc (c)</t>
  </si>
  <si>
    <t>EIC</t>
  </si>
  <si>
    <t>ELc</t>
  </si>
  <si>
    <t>ELl</t>
  </si>
  <si>
    <t>ELm</t>
  </si>
  <si>
    <t>ELo</t>
  </si>
  <si>
    <t>ELp</t>
  </si>
  <si>
    <t>ELs</t>
  </si>
  <si>
    <t>ELt</t>
  </si>
  <si>
    <t>0 38 76 0</t>
  </si>
  <si>
    <t>EPa</t>
  </si>
  <si>
    <t>EPb</t>
  </si>
  <si>
    <t>EPc</t>
  </si>
  <si>
    <t>EPg</t>
  </si>
  <si>
    <t>EPl</t>
  </si>
  <si>
    <t>EPm</t>
  </si>
  <si>
    <t>ES</t>
  </si>
  <si>
    <t>A</t>
  </si>
  <si>
    <t>ah</t>
  </si>
  <si>
    <t>0 0 20 10</t>
  </si>
  <si>
    <t>JL3</t>
  </si>
  <si>
    <t>55 0 0 0</t>
  </si>
  <si>
    <t>CaMpg</t>
  </si>
  <si>
    <t>70 85 0 0</t>
  </si>
  <si>
    <t>Dg</t>
  </si>
  <si>
    <t>Dm</t>
  </si>
  <si>
    <t>20 50 70 0</t>
  </si>
  <si>
    <t>Dpqd</t>
  </si>
  <si>
    <t>40 70 20 0</t>
  </si>
  <si>
    <t>Dpqdh</t>
  </si>
  <si>
    <t>Dqdh</t>
  </si>
  <si>
    <t>Dp</t>
  </si>
  <si>
    <t>Dq</t>
  </si>
  <si>
    <t>Decap</t>
  </si>
  <si>
    <t>10 55 45 0</t>
  </si>
  <si>
    <t>Dpmd</t>
  </si>
  <si>
    <t>50 90 15 0</t>
  </si>
  <si>
    <t>Dpqmd</t>
  </si>
  <si>
    <t>40 80 10 0</t>
  </si>
  <si>
    <t>Dqd</t>
  </si>
  <si>
    <t>MC CaMp</t>
  </si>
  <si>
    <t>DC</t>
  </si>
  <si>
    <t>MC Decap</t>
  </si>
  <si>
    <t>EBcl</t>
  </si>
  <si>
    <t>EBgcg</t>
  </si>
  <si>
    <t>15 30 45 0</t>
  </si>
  <si>
    <t>EBgca</t>
  </si>
  <si>
    <t>0 20 25 0</t>
  </si>
  <si>
    <t>Ggdb2</t>
  </si>
  <si>
    <t>0 65 15 0</t>
  </si>
  <si>
    <t>Ggdmg</t>
  </si>
  <si>
    <t>0 70 45 0</t>
  </si>
  <si>
    <t>Ggdto</t>
  </si>
  <si>
    <t>35 60 5 0</t>
  </si>
  <si>
    <t>Gmgfk</t>
  </si>
  <si>
    <t>Gtol</t>
  </si>
  <si>
    <t>Gtom</t>
  </si>
  <si>
    <t>20 100 10 0</t>
  </si>
  <si>
    <t>CAp2</t>
  </si>
  <si>
    <t>43 0 100 23</t>
  </si>
  <si>
    <t>76 0 91 0</t>
  </si>
  <si>
    <t>EBcg2</t>
  </si>
  <si>
    <t>0 30 35 0</t>
  </si>
  <si>
    <t>Gl3</t>
  </si>
  <si>
    <t>0 10 15 10</t>
  </si>
  <si>
    <t>KCop3 (m)</t>
  </si>
  <si>
    <t>KSmb (ca)</t>
  </si>
  <si>
    <t>EBcgg</t>
  </si>
  <si>
    <t>0 30 25 0</t>
  </si>
  <si>
    <t>ELb3 (m)</t>
  </si>
  <si>
    <t>ELcggm</t>
  </si>
  <si>
    <t>15 20 30 0</t>
  </si>
  <si>
    <t>ELmgt</t>
  </si>
  <si>
    <t>10 10 80 0</t>
  </si>
  <si>
    <t>EPgxbl</t>
  </si>
  <si>
    <t>0 55 50 0</t>
  </si>
  <si>
    <t>12 25 55 0</t>
  </si>
  <si>
    <t>EPlggx</t>
  </si>
  <si>
    <t>0 50 45 0</t>
  </si>
  <si>
    <t>Ddh</t>
  </si>
  <si>
    <t>65 90 0 0</t>
  </si>
  <si>
    <t>CI</t>
  </si>
  <si>
    <t>CIBcab</t>
  </si>
  <si>
    <t>75 15 100 0</t>
  </si>
  <si>
    <t>CIApcamc</t>
  </si>
  <si>
    <t>45 15 50 0</t>
  </si>
  <si>
    <t>CIApcab</t>
  </si>
  <si>
    <t>30 5 50 0</t>
  </si>
  <si>
    <t>CIBca</t>
  </si>
  <si>
    <t>40 20 95 0</t>
  </si>
  <si>
    <t>CId</t>
  </si>
  <si>
    <t>80 15 100 0</t>
  </si>
  <si>
    <t>JMABjm</t>
  </si>
  <si>
    <t>80 30 5 0</t>
  </si>
  <si>
    <t>CIVHca</t>
  </si>
  <si>
    <t>40 0 100 0</t>
  </si>
  <si>
    <t>JCKBeca</t>
  </si>
  <si>
    <t>25 0 35 0</t>
  </si>
  <si>
    <t>JSKd</t>
  </si>
  <si>
    <t>85 25 25 0</t>
  </si>
  <si>
    <t>ECla (ca)</t>
  </si>
  <si>
    <t>ECLgls (c)</t>
  </si>
  <si>
    <t>ECt (ca)</t>
  </si>
  <si>
    <t>ELb2 (og)</t>
  </si>
  <si>
    <t>0 30 79 0</t>
  </si>
  <si>
    <t>ELgcb (c)</t>
  </si>
  <si>
    <t>ELp (ca)</t>
  </si>
  <si>
    <t>0 15 60 0</t>
  </si>
  <si>
    <t>KCM (c)</t>
  </si>
  <si>
    <t>KCM (ca)</t>
  </si>
  <si>
    <t>KMlg (ca)</t>
  </si>
  <si>
    <t>KMlg (g)</t>
  </si>
  <si>
    <t>KSCd (ca)</t>
  </si>
  <si>
    <t>KSgm (ca)</t>
  </si>
  <si>
    <t>KSmb (g)</t>
  </si>
  <si>
    <t>KSmc (ca)</t>
  </si>
  <si>
    <t>40 10 40 0</t>
  </si>
  <si>
    <t>JC</t>
  </si>
  <si>
    <t>JD</t>
  </si>
  <si>
    <t>65 15 0 0</t>
  </si>
  <si>
    <t>70 5 0 0</t>
  </si>
  <si>
    <t>JS</t>
  </si>
  <si>
    <t>50 50 0 10</t>
  </si>
  <si>
    <t>ZOq</t>
  </si>
  <si>
    <t>Zd</t>
  </si>
  <si>
    <t>Zg</t>
  </si>
  <si>
    <t>Cac</t>
  </si>
  <si>
    <t>Cacgg</t>
  </si>
  <si>
    <t>40 20 50 0</t>
  </si>
  <si>
    <t>CaP3rb</t>
  </si>
  <si>
    <t>20 5 55 0</t>
  </si>
  <si>
    <t>CaP3rlg</t>
  </si>
  <si>
    <t>40 15 55 0</t>
  </si>
  <si>
    <t>CaPelag</t>
  </si>
  <si>
    <t>5 65 55 0</t>
  </si>
  <si>
    <t>CaP</t>
  </si>
  <si>
    <t>CAb</t>
  </si>
  <si>
    <t>CAc</t>
  </si>
  <si>
    <t>25 35 40 0</t>
  </si>
  <si>
    <t>CAm</t>
  </si>
  <si>
    <t>40 25 40 0</t>
  </si>
  <si>
    <t>65 0 100 0</t>
  </si>
  <si>
    <t>D1</t>
  </si>
  <si>
    <t>EBv</t>
  </si>
  <si>
    <t>es</t>
  </si>
  <si>
    <t>25 25 70 0</t>
  </si>
  <si>
    <t>e</t>
  </si>
  <si>
    <t>fh</t>
  </si>
  <si>
    <t>43 0 79 0</t>
  </si>
  <si>
    <t>KCo</t>
  </si>
  <si>
    <t>KCT</t>
  </si>
  <si>
    <t>Kl</t>
  </si>
  <si>
    <t>CaMpgca</t>
  </si>
  <si>
    <t>70 5 35 0</t>
  </si>
  <si>
    <t>Zcb (d)</t>
  </si>
  <si>
    <t>45 45 0 0</t>
  </si>
  <si>
    <t>CS</t>
  </si>
  <si>
    <t>CSCcb2</t>
  </si>
  <si>
    <t>35 0 35 0</t>
  </si>
  <si>
    <t>CSCMcm1</t>
  </si>
  <si>
    <t>CSCMgc1</t>
  </si>
  <si>
    <t>CSMag</t>
  </si>
  <si>
    <t>CSMag (g)</t>
  </si>
  <si>
    <t>CSMag (c)</t>
  </si>
  <si>
    <t>CSMcg</t>
  </si>
  <si>
    <t>CSMllg</t>
  </si>
  <si>
    <t>CSSCga</t>
  </si>
  <si>
    <t>35 0 25 0</t>
  </si>
  <si>
    <t>CSSmc</t>
  </si>
  <si>
    <t>cf</t>
  </si>
  <si>
    <t>85 10 55 0</t>
  </si>
  <si>
    <t>CIAlg</t>
  </si>
  <si>
    <t>10 50 60 0</t>
  </si>
  <si>
    <t>CSCecad</t>
  </si>
  <si>
    <t>5 0 80 0</t>
  </si>
  <si>
    <t>CIAmcb</t>
  </si>
  <si>
    <t>20 80 0 0</t>
  </si>
  <si>
    <t>EBlm1</t>
  </si>
  <si>
    <t>EBlm1a</t>
  </si>
  <si>
    <t>5 0 45 0</t>
  </si>
  <si>
    <t>EBlm1b</t>
  </si>
  <si>
    <t>0 30 45 0</t>
  </si>
  <si>
    <t>0 20 30 0</t>
  </si>
  <si>
    <t>ELy</t>
  </si>
  <si>
    <t>0 47 100 0</t>
  </si>
  <si>
    <t>EPcl</t>
  </si>
  <si>
    <t>15 30 60 0</t>
  </si>
  <si>
    <t>15 10 60 0</t>
  </si>
  <si>
    <t>20 30 95 0</t>
  </si>
  <si>
    <t>CSCMcb</t>
  </si>
  <si>
    <t>40 0 40 0</t>
  </si>
  <si>
    <t>CSPPag</t>
  </si>
  <si>
    <t>0 65 40 0</t>
  </si>
  <si>
    <t>MC Gnlg</t>
  </si>
  <si>
    <t>Ggdb1</t>
  </si>
  <si>
    <t>2/27</t>
  </si>
  <si>
    <t>5/27</t>
  </si>
  <si>
    <t>9/27</t>
  </si>
  <si>
    <t>11/27</t>
  </si>
  <si>
    <t>12/27</t>
  </si>
  <si>
    <t>19/27</t>
  </si>
  <si>
    <t>23/27</t>
  </si>
  <si>
    <t>24/27</t>
  </si>
  <si>
    <t>25/27</t>
  </si>
  <si>
    <t>26/27</t>
  </si>
  <si>
    <t>20/27</t>
  </si>
  <si>
    <t>13/27</t>
  </si>
  <si>
    <t>27/27</t>
  </si>
  <si>
    <t>18/27</t>
  </si>
  <si>
    <t>22/27</t>
  </si>
  <si>
    <t>3/27</t>
  </si>
  <si>
    <t>21/27</t>
  </si>
  <si>
    <t>6/27</t>
  </si>
  <si>
    <t>7/27</t>
  </si>
  <si>
    <t>14/27</t>
  </si>
  <si>
    <t>15/27</t>
  </si>
  <si>
    <t>16/27</t>
  </si>
  <si>
    <t>17/27</t>
  </si>
  <si>
    <t>1/27</t>
  </si>
  <si>
    <t>10/27</t>
  </si>
  <si>
    <t>4/27</t>
  </si>
  <si>
    <t xml:space="preserve">8/27            </t>
  </si>
  <si>
    <t>X</t>
  </si>
  <si>
    <t>Qtls</t>
  </si>
  <si>
    <t xml:space="preserve">5 15 15 0
</t>
  </si>
  <si>
    <t>Q</t>
  </si>
  <si>
    <t xml:space="preserve">10 10 65 0
</t>
  </si>
  <si>
    <t xml:space="preserve">56 11 0 43
</t>
  </si>
  <si>
    <t>Qa</t>
  </si>
  <si>
    <t xml:space="preserve">100 51 0 30
</t>
  </si>
  <si>
    <t>Qtb</t>
  </si>
  <si>
    <t xml:space="preserve">0 6 56 0
</t>
  </si>
  <si>
    <t>Qs</t>
  </si>
  <si>
    <t>Qp</t>
  </si>
  <si>
    <t>Ql</t>
  </si>
  <si>
    <t xml:space="preserve">6 0 91 0
</t>
  </si>
  <si>
    <t>Qsa</t>
  </si>
  <si>
    <t>8 0 34 0</t>
  </si>
  <si>
    <t>Qlla</t>
  </si>
  <si>
    <t xml:space="preserve">0 18 83 0
</t>
  </si>
  <si>
    <t>Qpa</t>
  </si>
  <si>
    <t>0 0 15 0</t>
  </si>
  <si>
    <t xml:space="preserve">0 15 65 0
</t>
  </si>
  <si>
    <t>Qpr</t>
  </si>
  <si>
    <t>0 11 18 0</t>
  </si>
  <si>
    <t xml:space="preserve">0 10 100 0
</t>
  </si>
  <si>
    <t>Qv</t>
  </si>
  <si>
    <t xml:space="preserve">0 10 40 0
</t>
  </si>
  <si>
    <t>Qv0’</t>
  </si>
  <si>
    <t>0 10 10 0</t>
  </si>
  <si>
    <t xml:space="preserve">0 5 50 0
</t>
  </si>
  <si>
    <t>Qv1a</t>
  </si>
  <si>
    <t>0 5 15 5</t>
  </si>
  <si>
    <t xml:space="preserve">0 6 43 0
</t>
  </si>
  <si>
    <t>Qv1g</t>
  </si>
  <si>
    <t>0 6 15 6</t>
  </si>
  <si>
    <t xml:space="preserve">5 10 55 0
</t>
  </si>
  <si>
    <t>Qv1s</t>
  </si>
  <si>
    <t xml:space="preserve">0 6 51 0
</t>
  </si>
  <si>
    <t>Qv2a</t>
  </si>
  <si>
    <t>0 11 11 6</t>
  </si>
  <si>
    <t>Qv2g</t>
  </si>
  <si>
    <t xml:space="preserve">5 15 40 0
</t>
  </si>
  <si>
    <t>Qv2m</t>
  </si>
  <si>
    <t>Qv2s</t>
  </si>
  <si>
    <t>Qv3m</t>
  </si>
  <si>
    <t>8 18 18 0</t>
  </si>
  <si>
    <t xml:space="preserve">0 0 75 0
</t>
  </si>
  <si>
    <t>Qv3o</t>
  </si>
  <si>
    <t xml:space="preserve">0 8 69 0
</t>
  </si>
  <si>
    <t>Qv3s</t>
  </si>
  <si>
    <t xml:space="preserve">6 0 43 0
</t>
  </si>
  <si>
    <t>Qva</t>
  </si>
  <si>
    <t xml:space="preserve">0 10 70 0
</t>
  </si>
  <si>
    <t>Qvg</t>
  </si>
  <si>
    <t>0 10 20 15</t>
  </si>
  <si>
    <t>Qvi</t>
  </si>
  <si>
    <t>0 15 20 10</t>
  </si>
  <si>
    <t xml:space="preserve">0 0 51 0
</t>
  </si>
  <si>
    <t>Qvp</t>
  </si>
  <si>
    <t>0 30 35 5</t>
  </si>
  <si>
    <t xml:space="preserve">6 0 76 0
</t>
  </si>
  <si>
    <t>Qc</t>
  </si>
  <si>
    <t xml:space="preserve">6 0 51 0
</t>
  </si>
  <si>
    <t>Qd</t>
  </si>
  <si>
    <t>Qe</t>
  </si>
  <si>
    <t>Qcs</t>
  </si>
  <si>
    <t>0 10 20 0</t>
  </si>
  <si>
    <t>Qc2</t>
  </si>
  <si>
    <t xml:space="preserve">5 10 70 0
</t>
  </si>
  <si>
    <t>Qdt</t>
  </si>
  <si>
    <t xml:space="preserve">0 0 69 0
</t>
  </si>
  <si>
    <t>Qepc</t>
  </si>
  <si>
    <t>5 15 20 0</t>
  </si>
  <si>
    <t>Qac2</t>
  </si>
  <si>
    <t>0 0 8 30</t>
  </si>
  <si>
    <t>Qac5</t>
  </si>
  <si>
    <t>0 10 0 30</t>
  </si>
  <si>
    <t xml:space="preserve">0 20 90 0
</t>
  </si>
  <si>
    <t>Qacb</t>
  </si>
  <si>
    <t>15 11 23 0</t>
  </si>
  <si>
    <t xml:space="preserve">5 15 95
</t>
  </si>
  <si>
    <t>Qtr</t>
  </si>
  <si>
    <t xml:space="preserve">5 20 75 0
</t>
  </si>
  <si>
    <t>Qcd1</t>
  </si>
  <si>
    <t>0 6 15 23</t>
  </si>
  <si>
    <t>Qcdvp</t>
  </si>
  <si>
    <t>0 8 11 30</t>
  </si>
  <si>
    <t xml:space="preserve">15 30 100 10
</t>
  </si>
  <si>
    <t>Qcdv</t>
  </si>
  <si>
    <t>Qcdva</t>
  </si>
  <si>
    <t xml:space="preserve">5 20 100 0
</t>
  </si>
  <si>
    <t>Qcdb</t>
  </si>
  <si>
    <t>6 0 8 18</t>
  </si>
  <si>
    <t>Qcc4</t>
  </si>
  <si>
    <t>15 25 25 0</t>
  </si>
  <si>
    <t xml:space="preserve">15 20 80 0
</t>
  </si>
  <si>
    <t>Qclo</t>
  </si>
  <si>
    <t>27 0 0 6</t>
  </si>
  <si>
    <t>Qb</t>
  </si>
  <si>
    <t>Qbn</t>
  </si>
  <si>
    <t>72 15 0 56</t>
  </si>
  <si>
    <t xml:space="preserve">5 20 80 0
</t>
  </si>
  <si>
    <t>Qbsc</t>
  </si>
  <si>
    <t>60 0 10 40</t>
  </si>
  <si>
    <t>Qbtc</t>
  </si>
  <si>
    <t>47 34 0 27</t>
  </si>
  <si>
    <t xml:space="preserve">10 20 50 0
</t>
  </si>
  <si>
    <t>Qbtn</t>
  </si>
  <si>
    <t>72 56 0 38</t>
  </si>
  <si>
    <t>Qde</t>
  </si>
  <si>
    <t xml:space="preserve">5 30 80 0
</t>
  </si>
  <si>
    <t>Qdem</t>
  </si>
  <si>
    <t>0 10 20 5</t>
  </si>
  <si>
    <t>Qdla</t>
  </si>
  <si>
    <t>0 11 30 0</t>
  </si>
  <si>
    <t>Qel</t>
  </si>
  <si>
    <t>0 6 6 18</t>
  </si>
  <si>
    <t>Qes</t>
  </si>
  <si>
    <t>15 15 15 0</t>
  </si>
  <si>
    <t xml:space="preserve">0 8 79 0
</t>
  </si>
  <si>
    <t>Qm</t>
  </si>
  <si>
    <t>Qllp</t>
  </si>
  <si>
    <t>20 10 0 0</t>
  </si>
  <si>
    <t xml:space="preserve">5 50 75 0
</t>
  </si>
  <si>
    <t>Qlld</t>
  </si>
  <si>
    <t>6 8 8 0</t>
  </si>
  <si>
    <t xml:space="preserve">15 40 95 0
</t>
  </si>
  <si>
    <t xml:space="preserve">20 40 95 0
</t>
  </si>
  <si>
    <t>Qpd</t>
  </si>
  <si>
    <t>20 0 0 10</t>
  </si>
  <si>
    <t xml:space="preserve">27 51 0 0
</t>
  </si>
  <si>
    <t>Qpe</t>
  </si>
  <si>
    <t>15 0 0 5</t>
  </si>
  <si>
    <t xml:space="preserve">8 11 6 0
</t>
  </si>
  <si>
    <t>Qpef</t>
  </si>
  <si>
    <t>Qps1</t>
  </si>
  <si>
    <t>0 0 15 6</t>
  </si>
  <si>
    <t xml:space="preserve">25 35 20 0
</t>
  </si>
  <si>
    <t>Qta</t>
  </si>
  <si>
    <t>Qtf3</t>
  </si>
  <si>
    <t>25 10 20 0</t>
  </si>
  <si>
    <t xml:space="preserve">18 11 0 0
</t>
  </si>
  <si>
    <t>Qtf4</t>
  </si>
  <si>
    <t>30 20 20 0</t>
  </si>
  <si>
    <t>Qtl</t>
  </si>
  <si>
    <t xml:space="preserve">0 60 100 0
</t>
  </si>
  <si>
    <t>Qtle</t>
  </si>
  <si>
    <t>18 6 0 0</t>
  </si>
  <si>
    <t xml:space="preserve">0 50 75 0
</t>
  </si>
  <si>
    <t>Qtlp</t>
  </si>
  <si>
    <t>25 10 0 5</t>
  </si>
  <si>
    <t>Qtr1</t>
  </si>
  <si>
    <t>10 0 0 10</t>
  </si>
  <si>
    <t>Qtr2</t>
  </si>
  <si>
    <t>10 0 0 20</t>
  </si>
  <si>
    <t xml:space="preserve">0 30 83 0
</t>
  </si>
  <si>
    <t>Qtr3</t>
  </si>
  <si>
    <t>20 0 0 20</t>
  </si>
  <si>
    <t xml:space="preserve">0 8 43 0
</t>
  </si>
  <si>
    <t>Qtss</t>
  </si>
  <si>
    <t>15 8 6 0</t>
  </si>
  <si>
    <t xml:space="preserve">0 51 100 0
</t>
  </si>
  <si>
    <t>Qtsl</t>
  </si>
  <si>
    <t>30 6 0 0</t>
  </si>
  <si>
    <t>Qtv</t>
  </si>
  <si>
    <t xml:space="preserve">0 47 76 0
</t>
  </si>
  <si>
    <t>Qtv3</t>
  </si>
  <si>
    <t>25 0 0 0</t>
  </si>
  <si>
    <t xml:space="preserve">0 40 45 0
</t>
  </si>
  <si>
    <t>Qtvb</t>
  </si>
  <si>
    <t>6 0 6 11</t>
  </si>
  <si>
    <t xml:space="preserve">0 30 20 0
</t>
  </si>
  <si>
    <t>Qtve</t>
  </si>
  <si>
    <t>40 0 0 0</t>
  </si>
  <si>
    <t xml:space="preserve">0 15 0 10
</t>
  </si>
  <si>
    <t>Qtvp</t>
  </si>
  <si>
    <t xml:space="preserve">100 60 0 35
</t>
  </si>
  <si>
    <t>Qv4p</t>
  </si>
  <si>
    <t>27 0 23 0</t>
  </si>
  <si>
    <t xml:space="preserve">5 15 0 0
</t>
  </si>
  <si>
    <t>Qvbc</t>
  </si>
  <si>
    <t>72 79 0 0</t>
  </si>
  <si>
    <t xml:space="preserve">0 0 8 30
</t>
  </si>
  <si>
    <t>Qvc</t>
  </si>
  <si>
    <t>38 43 0 0</t>
  </si>
  <si>
    <t xml:space="preserve">0 10 0 30
</t>
  </si>
  <si>
    <t>Qvgl</t>
  </si>
  <si>
    <t xml:space="preserve">15 11 23 0
</t>
  </si>
  <si>
    <t>Qvm</t>
  </si>
  <si>
    <t>56 60 0 0</t>
  </si>
  <si>
    <t xml:space="preserve">72 15 0 56
</t>
  </si>
  <si>
    <t>Qvb</t>
  </si>
  <si>
    <t>43 76 0 0</t>
  </si>
  <si>
    <t xml:space="preserve">60 0 10 40
</t>
  </si>
  <si>
    <t>Qvbl</t>
  </si>
  <si>
    <t xml:space="preserve">47 34 0 27
</t>
  </si>
  <si>
    <t>N</t>
  </si>
  <si>
    <t xml:space="preserve">72 56 0 38
</t>
  </si>
  <si>
    <t xml:space="preserve">0 10 20 15
</t>
  </si>
  <si>
    <t>NM1</t>
  </si>
  <si>
    <t xml:space="preserve">15 25 25 0
</t>
  </si>
  <si>
    <t>NMbm</t>
  </si>
  <si>
    <t xml:space="preserve">0 6 15 23
</t>
  </si>
  <si>
    <t>Nbc</t>
  </si>
  <si>
    <t>56 11 0 43</t>
  </si>
  <si>
    <t xml:space="preserve">6 0 8 18
</t>
  </si>
  <si>
    <t>Nbn</t>
  </si>
  <si>
    <t>100 51 0 30</t>
  </si>
  <si>
    <t xml:space="preserve">0 8 11 30
</t>
  </si>
  <si>
    <t>NM</t>
  </si>
  <si>
    <t xml:space="preserve">27 0 0 6
</t>
  </si>
  <si>
    <t>Nim</t>
  </si>
  <si>
    <t>0 6 56 0</t>
  </si>
  <si>
    <t>NMb</t>
  </si>
  <si>
    <t>NMbt</t>
  </si>
  <si>
    <t>0 18 83 0</t>
  </si>
  <si>
    <t xml:space="preserve">0 10 20 0
</t>
  </si>
  <si>
    <t>NMbvv</t>
  </si>
  <si>
    <t>0 15 65 0</t>
  </si>
  <si>
    <t>NM2</t>
  </si>
  <si>
    <t xml:space="preserve">0 10 20 5
</t>
  </si>
  <si>
    <t>NMcc</t>
  </si>
  <si>
    <t>0 10 100 0</t>
  </si>
  <si>
    <t xml:space="preserve">0 11 30 0
</t>
  </si>
  <si>
    <t>NMcg</t>
  </si>
  <si>
    <t>0 10 40 0</t>
  </si>
  <si>
    <t>NMco</t>
  </si>
  <si>
    <t>0 5 50 0</t>
  </si>
  <si>
    <t xml:space="preserve">0 6 6 18
</t>
  </si>
  <si>
    <t>NMgm</t>
  </si>
  <si>
    <t>5 10 55 0</t>
  </si>
  <si>
    <t xml:space="preserve">5 15 20 0
</t>
  </si>
  <si>
    <t>NMgo</t>
  </si>
  <si>
    <t>0 6 51 0</t>
  </si>
  <si>
    <t xml:space="preserve">15 15 15 0
</t>
  </si>
  <si>
    <t>NMlc</t>
  </si>
  <si>
    <t>NMm</t>
  </si>
  <si>
    <t xml:space="preserve">6 8 8 0
</t>
  </si>
  <si>
    <t>NMlt</t>
  </si>
  <si>
    <t xml:space="preserve">8 0 34 0
</t>
  </si>
  <si>
    <t>NMlm</t>
  </si>
  <si>
    <t>NMF</t>
  </si>
  <si>
    <t xml:space="preserve">20 10 0 0
</t>
  </si>
  <si>
    <t>NMLgl</t>
  </si>
  <si>
    <t>5 15 40 0</t>
  </si>
  <si>
    <t xml:space="preserve">0 0 15 0
</t>
  </si>
  <si>
    <t>NP</t>
  </si>
  <si>
    <t xml:space="preserve">20 0 0 10
</t>
  </si>
  <si>
    <t>NPac</t>
  </si>
  <si>
    <t>6 0 43 0</t>
  </si>
  <si>
    <t xml:space="preserve">15 0 0 5
</t>
  </si>
  <si>
    <t>NPgc</t>
  </si>
  <si>
    <t xml:space="preserve">0 11 18 0
</t>
  </si>
  <si>
    <t>NPm</t>
  </si>
  <si>
    <t xml:space="preserve">0 0 15 6
</t>
  </si>
  <si>
    <t>NPL</t>
  </si>
  <si>
    <t>NPAa</t>
  </si>
  <si>
    <t>0 8 69 0</t>
  </si>
  <si>
    <t xml:space="preserve">23 15 6 0
</t>
  </si>
  <si>
    <t>NPAg</t>
  </si>
  <si>
    <t xml:space="preserve">0 0 34 8
</t>
  </si>
  <si>
    <t>NPFa</t>
  </si>
  <si>
    <t>0 0 51 0</t>
  </si>
  <si>
    <t xml:space="preserve">25 10 20 0
</t>
  </si>
  <si>
    <t>NPFc</t>
  </si>
  <si>
    <t>6 0 76 0</t>
  </si>
  <si>
    <t xml:space="preserve">30 20 20 0
</t>
  </si>
  <si>
    <t>NPFs</t>
  </si>
  <si>
    <t>6 0 51 0</t>
  </si>
  <si>
    <t xml:space="preserve">27 6 0 0 
</t>
  </si>
  <si>
    <t>NPLg</t>
  </si>
  <si>
    <t xml:space="preserve">18 6 0 0
</t>
  </si>
  <si>
    <t>NPFm</t>
  </si>
  <si>
    <t xml:space="preserve">25 10 0 5
</t>
  </si>
  <si>
    <t>NPLm</t>
  </si>
  <si>
    <t xml:space="preserve">0 10 10 0
</t>
  </si>
  <si>
    <t>NPMg</t>
  </si>
  <si>
    <t xml:space="preserve">10 0 0 10
</t>
  </si>
  <si>
    <t>O</t>
  </si>
  <si>
    <t xml:space="preserve">10 0 0 20
</t>
  </si>
  <si>
    <t xml:space="preserve">20 0 0 20
</t>
  </si>
  <si>
    <t>OM</t>
  </si>
  <si>
    <t xml:space="preserve">30 6 0 0
</t>
  </si>
  <si>
    <t>Ocb</t>
  </si>
  <si>
    <t>0 20 90 0</t>
  </si>
  <si>
    <t xml:space="preserve">15 8 6 0
</t>
  </si>
  <si>
    <t>Och</t>
  </si>
  <si>
    <t>5 20 75 0</t>
  </si>
  <si>
    <t xml:space="preserve">38 8 0 0 
</t>
  </si>
  <si>
    <t>Oglc</t>
  </si>
  <si>
    <t xml:space="preserve">25 0 0 0 
</t>
  </si>
  <si>
    <t>Olc</t>
  </si>
  <si>
    <t xml:space="preserve">6 0 6 11
</t>
  </si>
  <si>
    <t>Olga</t>
  </si>
  <si>
    <t xml:space="preserve">40 0 0 0
</t>
  </si>
  <si>
    <t>P</t>
  </si>
  <si>
    <t xml:space="preserve">0 11 11 6
</t>
  </si>
  <si>
    <t>Pcg</t>
  </si>
  <si>
    <t>18 11 0 0</t>
  </si>
  <si>
    <t xml:space="preserve">0 5 15 5
</t>
  </si>
  <si>
    <t>Pdg</t>
  </si>
  <si>
    <t xml:space="preserve">0 6 15 6
</t>
  </si>
  <si>
    <t>PI</t>
  </si>
  <si>
    <t>PEB</t>
  </si>
  <si>
    <t>Plgg</t>
  </si>
  <si>
    <t>0 30 20 0</t>
  </si>
  <si>
    <t>PIlg</t>
  </si>
  <si>
    <t>0 40 45 0</t>
  </si>
  <si>
    <t>PEl</t>
  </si>
  <si>
    <t>PEp</t>
  </si>
  <si>
    <t>0 47 76 0</t>
  </si>
  <si>
    <t xml:space="preserve">8 18 18 0
</t>
  </si>
  <si>
    <t>PEIco</t>
  </si>
  <si>
    <t>0 60 100 0</t>
  </si>
  <si>
    <t>PEIm</t>
  </si>
  <si>
    <t>PEILp</t>
  </si>
  <si>
    <t>0 51 100 0</t>
  </si>
  <si>
    <t xml:space="preserve">27 0 23 0
</t>
  </si>
  <si>
    <t>PEICc</t>
  </si>
  <si>
    <t>0 30 83 0</t>
  </si>
  <si>
    <t xml:space="preserve">43 76 0 0
</t>
  </si>
  <si>
    <t>PEICs</t>
  </si>
  <si>
    <t>0 8 43 0</t>
  </si>
  <si>
    <t xml:space="preserve">72 79 0 0 
</t>
  </si>
  <si>
    <t>PEICb</t>
  </si>
  <si>
    <t xml:space="preserve">38 43 0 0 
</t>
  </si>
  <si>
    <t>T</t>
  </si>
  <si>
    <t>Tb</t>
  </si>
  <si>
    <t>Tcb</t>
  </si>
  <si>
    <t>15 75 40 0</t>
  </si>
  <si>
    <t xml:space="preserve">0 15 20 10 
</t>
  </si>
  <si>
    <t>Tgb</t>
  </si>
  <si>
    <t xml:space="preserve">56 60 0 0  
</t>
  </si>
  <si>
    <t>Tk</t>
  </si>
  <si>
    <t xml:space="preserve">0 30 35 5 
</t>
  </si>
  <si>
    <t>Tm1</t>
  </si>
  <si>
    <t>0 30 0 0</t>
  </si>
  <si>
    <t xml:space="preserve">25 45 45 0
</t>
  </si>
  <si>
    <t>Tm2</t>
  </si>
  <si>
    <t>5 50 15 0</t>
  </si>
  <si>
    <t xml:space="preserve">30 43 47 0
</t>
  </si>
  <si>
    <t>Tm3</t>
  </si>
  <si>
    <t xml:space="preserve">35 20 45 0
</t>
  </si>
  <si>
    <t>Tmk</t>
  </si>
  <si>
    <t>5 45 0 0</t>
  </si>
  <si>
    <t xml:space="preserve">0 100 35 10
</t>
  </si>
  <si>
    <t>Prls</t>
  </si>
  <si>
    <t>100 60 0 35</t>
  </si>
  <si>
    <t xml:space="preserve">15 75 40 0
</t>
  </si>
  <si>
    <t>Pr</t>
  </si>
  <si>
    <t xml:space="preserve">0 60 0 0
</t>
  </si>
  <si>
    <t>S</t>
  </si>
  <si>
    <t xml:space="preserve">0 30 0 0 
</t>
  </si>
  <si>
    <t>Sv</t>
  </si>
  <si>
    <t xml:space="preserve">5 50 15 0
</t>
  </si>
  <si>
    <t>SD</t>
  </si>
  <si>
    <t>Sva</t>
  </si>
  <si>
    <t>35 20 45 0</t>
  </si>
  <si>
    <t xml:space="preserve">5 45 0 0
</t>
  </si>
  <si>
    <t>SDcl</t>
  </si>
  <si>
    <t>25 45 45 0</t>
  </si>
  <si>
    <t>SDcr</t>
  </si>
  <si>
    <t>30 43 47 0</t>
  </si>
  <si>
    <t xml:space="preserve">51 11 0 43
</t>
  </si>
  <si>
    <t>Pz</t>
  </si>
  <si>
    <t xml:space="preserve">30 25 55 0
</t>
  </si>
  <si>
    <t>5 15 0 0</t>
  </si>
  <si>
    <t xml:space="preserve">20 35 5 0
</t>
  </si>
  <si>
    <t>Or</t>
  </si>
  <si>
    <t xml:space="preserve">20 20 5 0
</t>
  </si>
  <si>
    <t>Orcg</t>
  </si>
  <si>
    <t>27 51 0 0</t>
  </si>
  <si>
    <t xml:space="preserve">0 20 0 0
</t>
  </si>
  <si>
    <t>Ord</t>
  </si>
  <si>
    <t xml:space="preserve">0 40 10 0
</t>
  </si>
  <si>
    <t>Ordv</t>
  </si>
  <si>
    <t>25 35 20 0</t>
  </si>
  <si>
    <t xml:space="preserve">60 40 30 0
</t>
  </si>
  <si>
    <t>Pm</t>
  </si>
  <si>
    <t xml:space="preserve">10 15 15 0
</t>
  </si>
  <si>
    <t>NMcr</t>
  </si>
  <si>
    <t>10 10 65 0</t>
  </si>
  <si>
    <t xml:space="preserve">0 10 15 0
</t>
  </si>
  <si>
    <t>NMsa</t>
  </si>
  <si>
    <t>0 10 70 0</t>
  </si>
  <si>
    <t xml:space="preserve">0 15 25 0
</t>
  </si>
  <si>
    <t>NPgs</t>
  </si>
  <si>
    <t>5 10 70 0</t>
  </si>
  <si>
    <t xml:space="preserve">15 27 30 0 
</t>
  </si>
  <si>
    <t>Oalg</t>
  </si>
  <si>
    <t>Obrg</t>
  </si>
  <si>
    <t>5 15 95 0</t>
  </si>
  <si>
    <t xml:space="preserve">5 40 0 0
</t>
  </si>
  <si>
    <t>Obro</t>
  </si>
  <si>
    <t xml:space="preserve">5 25 0 0
</t>
  </si>
  <si>
    <t>Obrx</t>
  </si>
  <si>
    <t xml:space="preserve">5 40 100 0
</t>
  </si>
  <si>
    <t>OCas</t>
  </si>
  <si>
    <t>15 30 100 10</t>
  </si>
  <si>
    <t>Og</t>
  </si>
  <si>
    <t>Ocbr</t>
  </si>
  <si>
    <t>5 20 100 0</t>
  </si>
  <si>
    <t>Occg</t>
  </si>
  <si>
    <t>OCcg</t>
  </si>
  <si>
    <t>15 20 80 0</t>
  </si>
  <si>
    <t xml:space="preserve">0 70 0 10
</t>
  </si>
  <si>
    <t>Ocgg</t>
  </si>
  <si>
    <t>Ocgl</t>
  </si>
  <si>
    <t xml:space="preserve">91 43 0 0 
</t>
  </si>
  <si>
    <t>Ocgq</t>
  </si>
  <si>
    <t>5 20 80 0</t>
  </si>
  <si>
    <t xml:space="preserve">56 11 0 43 
</t>
  </si>
  <si>
    <t>Ocm</t>
  </si>
  <si>
    <t>10 20 50 0</t>
  </si>
  <si>
    <t xml:space="preserve">100 18 0 65 
</t>
  </si>
  <si>
    <t>OCmg</t>
  </si>
  <si>
    <t xml:space="preserve">0 6 51 0 
</t>
  </si>
  <si>
    <t>Ocp</t>
  </si>
  <si>
    <t>5 30 80 0</t>
  </si>
  <si>
    <t xml:space="preserve">0 6 6 15 
</t>
  </si>
  <si>
    <t>Olg</t>
  </si>
  <si>
    <t xml:space="preserve">0 0 51 0 
</t>
  </si>
  <si>
    <t>Olgx</t>
  </si>
  <si>
    <t>5 50 75 0</t>
  </si>
  <si>
    <t xml:space="preserve">0 10 20 0 
</t>
  </si>
  <si>
    <t>Oll</t>
  </si>
  <si>
    <t>15 40 95 0</t>
  </si>
  <si>
    <t>ORcg</t>
  </si>
  <si>
    <t>20 40 95 0</t>
  </si>
  <si>
    <t xml:space="preserve">18 0 15 0 
</t>
  </si>
  <si>
    <t>8 11 6 0</t>
  </si>
  <si>
    <t xml:space="preserve">0 0 6 18 
</t>
  </si>
  <si>
    <t>MC Ord</t>
  </si>
  <si>
    <t xml:space="preserve">0 0 0 34 
</t>
  </si>
  <si>
    <t>MC Ordv</t>
  </si>
  <si>
    <t xml:space="preserve">0 0 0 11 
</t>
  </si>
  <si>
    <t>PEIc1</t>
  </si>
  <si>
    <t>0 50 75 0</t>
  </si>
  <si>
    <t xml:space="preserve">0 6 8 18 
</t>
  </si>
  <si>
    <t>PEIc2</t>
  </si>
  <si>
    <t xml:space="preserve">11 15 15 0 
</t>
  </si>
  <si>
    <t>Pmg</t>
  </si>
  <si>
    <t>0 15 0 10</t>
  </si>
  <si>
    <t xml:space="preserve">0 0 30 0 
</t>
  </si>
  <si>
    <t>NB</t>
  </si>
  <si>
    <t xml:space="preserve">0 0 0 23 
</t>
  </si>
  <si>
    <t>SDCagp</t>
  </si>
  <si>
    <t>30 25 55 0</t>
  </si>
  <si>
    <t xml:space="preserve">0 0 72 0 
</t>
  </si>
  <si>
    <t>TSNlk</t>
  </si>
  <si>
    <t>20 35 5 0</t>
  </si>
  <si>
    <t xml:space="preserve">0 11 47 0 
</t>
  </si>
  <si>
    <t>TSCNmdk</t>
  </si>
  <si>
    <t>20 20 5 0</t>
  </si>
  <si>
    <t xml:space="preserve">0 11 11 6 
</t>
  </si>
  <si>
    <t>TSNgxk</t>
  </si>
  <si>
    <t>0 20 0 0</t>
  </si>
  <si>
    <t xml:space="preserve">11 15 15 0
</t>
  </si>
  <si>
    <t>Tm</t>
  </si>
  <si>
    <t>Qbsn</t>
  </si>
  <si>
    <t>60 40 30 0</t>
  </si>
  <si>
    <t>Qc1</t>
  </si>
  <si>
    <t>Qdel</t>
  </si>
  <si>
    <t>10 15 15 0</t>
  </si>
  <si>
    <t xml:space="preserve">60 100 0 25
</t>
  </si>
  <si>
    <t>Ql3</t>
  </si>
  <si>
    <t>0 10 15 0</t>
  </si>
  <si>
    <t xml:space="preserve">76 23 0 8
</t>
  </si>
  <si>
    <t>Qtc</t>
  </si>
  <si>
    <t>Qvt</t>
  </si>
  <si>
    <t>15 27 30 0</t>
  </si>
  <si>
    <t>Ocggx</t>
  </si>
  <si>
    <t>TLCcd</t>
  </si>
  <si>
    <t>5 40 0 0</t>
  </si>
  <si>
    <t>TMLcd</t>
  </si>
  <si>
    <t>5 25 0 0</t>
  </si>
  <si>
    <t>Ocgt</t>
  </si>
  <si>
    <t>5 40 100 0</t>
  </si>
  <si>
    <t xml:space="preserve">70 100 0 0
</t>
  </si>
  <si>
    <t>MRac Ordv</t>
  </si>
  <si>
    <t xml:space="preserve">0 0 40 0
</t>
  </si>
  <si>
    <t>MRb Ordv</t>
  </si>
  <si>
    <t>MRs Ordv</t>
  </si>
  <si>
    <t xml:space="preserve">15 0 45 0
</t>
  </si>
  <si>
    <t xml:space="preserve">0 16 100 0
</t>
  </si>
  <si>
    <t>Ae</t>
  </si>
  <si>
    <t xml:space="preserve">0 15 15 0 
</t>
  </si>
  <si>
    <t>Arsu</t>
  </si>
  <si>
    <t>At</t>
  </si>
  <si>
    <t>Ar</t>
  </si>
  <si>
    <t>Arf</t>
  </si>
  <si>
    <t xml:space="preserve">0 10 15 20 
</t>
  </si>
  <si>
    <t xml:space="preserve">10 60 60 0
</t>
  </si>
  <si>
    <t xml:space="preserve">0 38 51 0
</t>
  </si>
  <si>
    <t xml:space="preserve">0 60 94 0
</t>
  </si>
  <si>
    <t xml:space="preserve">0 0 20 0
</t>
  </si>
  <si>
    <t xml:space="preserve">60 0 0 30
</t>
  </si>
  <si>
    <t>Aoh</t>
  </si>
  <si>
    <t xml:space="preserve">70 80 0 0
</t>
  </si>
  <si>
    <t xml:space="preserve">30 70 100 0
</t>
  </si>
  <si>
    <t xml:space="preserve">50 10 40 0
</t>
  </si>
  <si>
    <t>Qap</t>
  </si>
  <si>
    <t>Qcdp</t>
  </si>
  <si>
    <t>Qac</t>
  </si>
  <si>
    <t>Qdm</t>
  </si>
  <si>
    <t xml:space="preserve">0 10 35 0
</t>
  </si>
  <si>
    <t>Qga</t>
  </si>
  <si>
    <t>Qgd</t>
  </si>
  <si>
    <t>Qgs</t>
  </si>
  <si>
    <t xml:space="preserve">70 40 0 0
</t>
  </si>
  <si>
    <t>Qgt</t>
  </si>
  <si>
    <t>Qma</t>
  </si>
  <si>
    <t>Qpss</t>
  </si>
  <si>
    <t>Qpu</t>
  </si>
  <si>
    <t xml:space="preserve">5 50 40 0
</t>
  </si>
  <si>
    <t>Qst</t>
  </si>
  <si>
    <t xml:space="preserve">15 50 55 0
</t>
  </si>
  <si>
    <t>Qt0</t>
  </si>
  <si>
    <t xml:space="preserve">0 55 20 0
</t>
  </si>
  <si>
    <t>Qv2o</t>
  </si>
  <si>
    <t xml:space="preserve">5 75 40 0
</t>
  </si>
  <si>
    <t>JT</t>
  </si>
  <si>
    <t xml:space="preserve">20 15 15 0
</t>
  </si>
  <si>
    <t>NB1</t>
  </si>
  <si>
    <t xml:space="preserve">0 5 20 0
</t>
  </si>
  <si>
    <t>NB2</t>
  </si>
  <si>
    <t xml:space="preserve">0 0 0 6
</t>
  </si>
  <si>
    <t>NP7</t>
  </si>
  <si>
    <t xml:space="preserve">0 55 10 0
</t>
  </si>
  <si>
    <t>Qmd</t>
  </si>
  <si>
    <t>Gpqd</t>
  </si>
  <si>
    <t>Gmd</t>
  </si>
  <si>
    <t>Ggdh</t>
  </si>
  <si>
    <t xml:space="preserve">0 5 95 0
</t>
  </si>
  <si>
    <t xml:space="preserve">10 20 80 0
</t>
  </si>
  <si>
    <t xml:space="preserve">5 25 30 0
</t>
  </si>
  <si>
    <t xml:space="preserve">10 20 95 0
</t>
  </si>
  <si>
    <t xml:space="preserve">20 5 45 0
</t>
  </si>
  <si>
    <t xml:space="preserve">25 0 45 0
</t>
  </si>
  <si>
    <t xml:space="preserve">15 20 10 0
</t>
  </si>
  <si>
    <t xml:space="preserve">5 35 55 0 
</t>
  </si>
  <si>
    <t xml:space="preserve">75 50 80
</t>
  </si>
  <si>
    <t xml:space="preserve">15 5 50 0
</t>
  </si>
  <si>
    <t>NMg</t>
  </si>
  <si>
    <t xml:space="preserve">0 0 85 0
</t>
  </si>
  <si>
    <t>NMgba</t>
  </si>
  <si>
    <t xml:space="preserve">15 45 0 0
</t>
  </si>
  <si>
    <t>Sm</t>
  </si>
  <si>
    <t xml:space="preserve">10 15 0 0
</t>
  </si>
  <si>
    <t>Smm</t>
  </si>
  <si>
    <t>15 0 45 0</t>
  </si>
  <si>
    <t xml:space="preserve">10 0 100 0
</t>
  </si>
  <si>
    <t xml:space="preserve">15 30 5 0
</t>
  </si>
  <si>
    <t xml:space="preserve">0 10 5 0
</t>
  </si>
  <si>
    <t>0 15 15 0</t>
  </si>
  <si>
    <t>MRb Or</t>
  </si>
  <si>
    <t xml:space="preserve">20 0 40 0
</t>
  </si>
  <si>
    <t>MRac Or</t>
  </si>
  <si>
    <t xml:space="preserve">11 18 8 0
</t>
  </si>
  <si>
    <t>MRs Or</t>
  </si>
  <si>
    <t>MC Or</t>
  </si>
  <si>
    <t>0 10 15 20</t>
  </si>
  <si>
    <t xml:space="preserve">25 45 30 0
</t>
  </si>
  <si>
    <t xml:space="preserve">30 30 10 0
</t>
  </si>
  <si>
    <t xml:space="preserve">35 20 30 0
</t>
  </si>
  <si>
    <t>Pa</t>
  </si>
  <si>
    <t xml:space="preserve">0 35 80 0
</t>
  </si>
  <si>
    <t>10 60 60 0</t>
  </si>
  <si>
    <t xml:space="preserve">40 30 20 0
</t>
  </si>
  <si>
    <t>PE</t>
  </si>
  <si>
    <t>0 60 94 0</t>
  </si>
  <si>
    <t>60 0 0 30</t>
  </si>
  <si>
    <t>30 70 100 0</t>
  </si>
  <si>
    <t>SDCa (ca)</t>
  </si>
  <si>
    <t xml:space="preserve">0 10 15 30 
</t>
  </si>
  <si>
    <t xml:space="preserve">40 30 20 0 
</t>
  </si>
  <si>
    <t>Oc</t>
  </si>
  <si>
    <t>23 15 6 0</t>
  </si>
  <si>
    <t>0 0 34 8</t>
  </si>
  <si>
    <t>0 15 25 0</t>
  </si>
  <si>
    <t>Qtf</t>
  </si>
  <si>
    <t>27 6 0 0</t>
  </si>
  <si>
    <t xml:space="preserve">35 40 25 0
</t>
  </si>
  <si>
    <t>Qts</t>
  </si>
  <si>
    <t xml:space="preserve">30 20 25 0
</t>
  </si>
  <si>
    <t>38 8 0 0</t>
  </si>
  <si>
    <t>Qtt</t>
  </si>
  <si>
    <t>MC SDcl</t>
  </si>
  <si>
    <t xml:space="preserve">34 0 0 38
</t>
  </si>
  <si>
    <t>MC Sva</t>
  </si>
  <si>
    <t>Qep</t>
  </si>
  <si>
    <t xml:space="preserve">15 0 20 0
</t>
  </si>
  <si>
    <t>Qpd0’-1</t>
  </si>
  <si>
    <t>0 10 35 0</t>
  </si>
  <si>
    <t xml:space="preserve">10 25 20 0
</t>
  </si>
  <si>
    <t>Qpd2</t>
  </si>
  <si>
    <t>PIlg (c)</t>
  </si>
  <si>
    <t>Sl</t>
  </si>
  <si>
    <t xml:space="preserve">25 55 20 0
</t>
  </si>
  <si>
    <t>Sli</t>
  </si>
  <si>
    <t>70 40 0 0</t>
  </si>
  <si>
    <t>MC Sli</t>
  </si>
  <si>
    <t>MC S</t>
  </si>
  <si>
    <t>70 80 0 0</t>
  </si>
  <si>
    <t>MC SD</t>
  </si>
  <si>
    <t>Pe</t>
  </si>
  <si>
    <t>PeClg</t>
  </si>
  <si>
    <t>15 50 55 0</t>
  </si>
  <si>
    <t>PeT</t>
  </si>
  <si>
    <t>0 55 20 0</t>
  </si>
  <si>
    <t>PeTg</t>
  </si>
  <si>
    <t>5 75 40 0</t>
  </si>
  <si>
    <t xml:space="preserve">20 40 0 10
</t>
  </si>
  <si>
    <t>Qes3</t>
  </si>
  <si>
    <t>20 15 15 0</t>
  </si>
  <si>
    <t xml:space="preserve">40 0 15 5
</t>
  </si>
  <si>
    <t>Qgb</t>
  </si>
  <si>
    <t>Qea</t>
  </si>
  <si>
    <t>Tkl</t>
  </si>
  <si>
    <t>0 55 10 0</t>
  </si>
  <si>
    <t xml:space="preserve">0 10 10 15
</t>
  </si>
  <si>
    <t>Pag (c)</t>
  </si>
  <si>
    <t xml:space="preserve">0 50 45 0 </t>
  </si>
  <si>
    <t xml:space="preserve">0 6 8 18
</t>
  </si>
  <si>
    <t>MRac Ord</t>
  </si>
  <si>
    <t>MRb Ord</t>
  </si>
  <si>
    <t xml:space="preserve">25 10 5 0
</t>
  </si>
  <si>
    <t>MRb Ordv (c)</t>
  </si>
  <si>
    <t xml:space="preserve">0 0 0 18
</t>
  </si>
  <si>
    <t>Qv2-3</t>
  </si>
  <si>
    <t xml:space="preserve">10 10 25 0
</t>
  </si>
  <si>
    <t>MR Or</t>
  </si>
  <si>
    <t>MC MRb Ordv</t>
  </si>
  <si>
    <t xml:space="preserve">0 8 23 0
</t>
  </si>
  <si>
    <t>OR</t>
  </si>
  <si>
    <t xml:space="preserve">20 10 10 0
</t>
  </si>
  <si>
    <t>NMag</t>
  </si>
  <si>
    <t>0 5 95 0</t>
  </si>
  <si>
    <t xml:space="preserve">15 25 10 0
</t>
  </si>
  <si>
    <t>Ol</t>
  </si>
  <si>
    <t xml:space="preserve">15 30 20 0
</t>
  </si>
  <si>
    <t>Ol (c)</t>
  </si>
  <si>
    <t>10 20 80 0</t>
  </si>
  <si>
    <t xml:space="preserve">20 20 20 0 
</t>
  </si>
  <si>
    <t xml:space="preserve">20 20 30 0 
</t>
  </si>
  <si>
    <t>Oa</t>
  </si>
  <si>
    <t xml:space="preserve">5 5 5 0 
</t>
  </si>
  <si>
    <t>Ob</t>
  </si>
  <si>
    <t>OC</t>
  </si>
  <si>
    <t xml:space="preserve">0 0 10 0
</t>
  </si>
  <si>
    <t>50 10 40 0</t>
  </si>
  <si>
    <t>OR1cg</t>
  </si>
  <si>
    <t>5 25 30 0</t>
  </si>
  <si>
    <t xml:space="preserve">5 0 30 0
</t>
  </si>
  <si>
    <t>ORgac</t>
  </si>
  <si>
    <t>10 20 95 0</t>
  </si>
  <si>
    <t xml:space="preserve">10 0 20 0
</t>
  </si>
  <si>
    <t>0 8 79 0</t>
  </si>
  <si>
    <t xml:space="preserve">20 0 35 0
</t>
  </si>
  <si>
    <t>Orc</t>
  </si>
  <si>
    <t xml:space="preserve">30 0 60 0
</t>
  </si>
  <si>
    <t xml:space="preserve">35 0 70 0
</t>
  </si>
  <si>
    <t>0 38 51 0</t>
  </si>
  <si>
    <t xml:space="preserve">0 12 20 0
</t>
  </si>
  <si>
    <t>Pc</t>
  </si>
  <si>
    <t>Pd</t>
  </si>
  <si>
    <t>5 50 40 0</t>
  </si>
  <si>
    <t xml:space="preserve">20 10 5 0
</t>
  </si>
  <si>
    <t>Qf</t>
  </si>
  <si>
    <t>Sd</t>
  </si>
  <si>
    <t>20 5 45 0</t>
  </si>
  <si>
    <t>Smqm</t>
  </si>
  <si>
    <t>25 0 45 0</t>
  </si>
  <si>
    <t>Qfg</t>
  </si>
  <si>
    <t>15 20 10 0</t>
  </si>
  <si>
    <t xml:space="preserve">11 0 0 18
</t>
  </si>
  <si>
    <t>0 100 35 10</t>
  </si>
  <si>
    <t>Tc</t>
  </si>
  <si>
    <t>Tg</t>
  </si>
  <si>
    <t xml:space="preserve">5 0 10 0
</t>
  </si>
  <si>
    <t>0 60 0 0</t>
  </si>
  <si>
    <t xml:space="preserve">10 5 5 0
</t>
  </si>
  <si>
    <t>Tl</t>
  </si>
  <si>
    <t xml:space="preserve">10 10 10 0
</t>
  </si>
  <si>
    <t>TL</t>
  </si>
  <si>
    <t>0 40 10 0</t>
  </si>
  <si>
    <t>To</t>
  </si>
  <si>
    <t>Tr</t>
  </si>
  <si>
    <t>Tok</t>
  </si>
  <si>
    <t>5 35 55 0</t>
  </si>
  <si>
    <t>TM</t>
  </si>
  <si>
    <t xml:space="preserve">25 20 5 0
</t>
  </si>
  <si>
    <t xml:space="preserve">0 10 55 0
</t>
  </si>
  <si>
    <t>OR2gx</t>
  </si>
  <si>
    <t xml:space="preserve">10 30 35 0
</t>
  </si>
  <si>
    <t>OR3ca</t>
  </si>
  <si>
    <t>15 5 50 0</t>
  </si>
  <si>
    <t xml:space="preserve">5 35 25 0
</t>
  </si>
  <si>
    <t>OR3gl</t>
  </si>
  <si>
    <t>0 0 85 0</t>
  </si>
  <si>
    <t xml:space="preserve">20 10 35 0
</t>
  </si>
  <si>
    <t>OR3gx</t>
  </si>
  <si>
    <t>15 45 0 0</t>
  </si>
  <si>
    <t xml:space="preserve">10 30 45 0
</t>
  </si>
  <si>
    <t>OR3lgx</t>
  </si>
  <si>
    <t>10 15 0 0</t>
  </si>
  <si>
    <t xml:space="preserve">10 15 45 0
</t>
  </si>
  <si>
    <t>ORcggb</t>
  </si>
  <si>
    <t>10 0 100 0</t>
  </si>
  <si>
    <t xml:space="preserve">25 15 15 0
</t>
  </si>
  <si>
    <t>ORgx</t>
  </si>
  <si>
    <t>15 30 5 0</t>
  </si>
  <si>
    <t>EBlm2b</t>
  </si>
  <si>
    <t>EBlm2a</t>
  </si>
  <si>
    <t>OR1s</t>
  </si>
  <si>
    <t>20 0 40 0</t>
  </si>
  <si>
    <t>Org</t>
  </si>
  <si>
    <t>Orgq</t>
  </si>
  <si>
    <t>11 18 8 0</t>
  </si>
  <si>
    <t xml:space="preserve">47 65 0 0
</t>
  </si>
  <si>
    <t>Orlc</t>
  </si>
  <si>
    <t>25 45 30 0</t>
  </si>
  <si>
    <t>Orln</t>
  </si>
  <si>
    <t>30 30 10 0</t>
  </si>
  <si>
    <t xml:space="preserve">10 5 40 0
</t>
  </si>
  <si>
    <t>Ort</t>
  </si>
  <si>
    <t xml:space="preserve">0 30 80 0
</t>
  </si>
  <si>
    <t>Orva</t>
  </si>
  <si>
    <t xml:space="preserve">0 10 65 0
</t>
  </si>
  <si>
    <t>Orvi</t>
  </si>
  <si>
    <t>35 20 30 0</t>
  </si>
  <si>
    <t>Orrd</t>
  </si>
  <si>
    <t>0 35 80 0</t>
  </si>
  <si>
    <t xml:space="preserve">0 5 80 0
</t>
  </si>
  <si>
    <t>OrSlnc</t>
  </si>
  <si>
    <t>40 30 20 0</t>
  </si>
  <si>
    <t xml:space="preserve">5 0 95 0
</t>
  </si>
  <si>
    <t>Orv</t>
  </si>
  <si>
    <t>MRac Orva</t>
  </si>
  <si>
    <t>MRb Orva</t>
  </si>
  <si>
    <t xml:space="preserve">0 20 95 0
</t>
  </si>
  <si>
    <t>Orgn</t>
  </si>
  <si>
    <t xml:space="preserve">0 0 30 0
</t>
  </si>
  <si>
    <t>MC Orgn</t>
  </si>
  <si>
    <t>Orl</t>
  </si>
  <si>
    <t xml:space="preserve">0 5 35 0
</t>
  </si>
  <si>
    <t>OrS</t>
  </si>
  <si>
    <t xml:space="preserve">0 20 85 0
</t>
  </si>
  <si>
    <t>MRac Orv</t>
  </si>
  <si>
    <t>0 10 15 30</t>
  </si>
  <si>
    <t xml:space="preserve">5 10 95 0
</t>
  </si>
  <si>
    <t>MRb Orv</t>
  </si>
  <si>
    <t xml:space="preserve">0 5 60 0
</t>
  </si>
  <si>
    <t xml:space="preserve">0 20 65 0
</t>
  </si>
  <si>
    <t xml:space="preserve">0 10 30 0
</t>
  </si>
  <si>
    <t>MC Orlc</t>
  </si>
  <si>
    <t xml:space="preserve">0 0 50 0
</t>
  </si>
  <si>
    <t>MR Orgq</t>
  </si>
  <si>
    <t xml:space="preserve">20 10 20 0
</t>
  </si>
  <si>
    <t>MC MRb Orv</t>
  </si>
  <si>
    <t xml:space="preserve">10 20 15 0
</t>
  </si>
  <si>
    <t>MC Orln</t>
  </si>
  <si>
    <t xml:space="preserve">20 20 10 0
</t>
  </si>
  <si>
    <t>0 16 100 0</t>
  </si>
  <si>
    <t xml:space="preserve">12 8 0 0
</t>
  </si>
  <si>
    <t>Orr</t>
  </si>
  <si>
    <t>OR3ca1</t>
  </si>
  <si>
    <t>35 40 25 0</t>
  </si>
  <si>
    <t xml:space="preserve">0 6 6 11
</t>
  </si>
  <si>
    <t>OR3ca3</t>
  </si>
  <si>
    <t>30 20 25 0</t>
  </si>
  <si>
    <t xml:space="preserve">60 30 0 0
</t>
  </si>
  <si>
    <t>Gpmd</t>
  </si>
  <si>
    <t xml:space="preserve">45 25 0 0
</t>
  </si>
  <si>
    <t>Nb</t>
  </si>
  <si>
    <t xml:space="preserve">30 25 0 0
</t>
  </si>
  <si>
    <t>EL-og</t>
  </si>
  <si>
    <t>Nt</t>
  </si>
  <si>
    <t>ORmgx</t>
  </si>
  <si>
    <t>Orp</t>
  </si>
  <si>
    <t xml:space="preserve">0 6 6 0
</t>
  </si>
  <si>
    <t>Orpca</t>
  </si>
  <si>
    <t>15 0 20 0</t>
  </si>
  <si>
    <t xml:space="preserve">25 5 10 0
</t>
  </si>
  <si>
    <t>Orpg</t>
  </si>
  <si>
    <t>10 25 20 0</t>
  </si>
  <si>
    <t>MC Orpca</t>
  </si>
  <si>
    <t>MC Orpg</t>
  </si>
  <si>
    <t xml:space="preserve">10 5 10 0
</t>
  </si>
  <si>
    <t>Orpn</t>
  </si>
  <si>
    <t>25 55 20 0</t>
  </si>
  <si>
    <t xml:space="preserve">5 5 5 0
</t>
  </si>
  <si>
    <t>MC Orpn</t>
  </si>
  <si>
    <t xml:space="preserve">5 5 15 0
</t>
  </si>
  <si>
    <t xml:space="preserve">15 10 15 0
</t>
  </si>
  <si>
    <t>PEIm (m)</t>
  </si>
  <si>
    <t>Pmb</t>
  </si>
  <si>
    <t xml:space="preserve">0 15 5 0
</t>
  </si>
  <si>
    <t>Tbb</t>
  </si>
  <si>
    <t xml:space="preserve">30 25 20 0
</t>
  </si>
  <si>
    <t>Tm2 (gx)</t>
  </si>
  <si>
    <t xml:space="preserve">0 0 0 34
</t>
  </si>
  <si>
    <t xml:space="preserve">5 5 0 0
</t>
  </si>
  <si>
    <t xml:space="preserve">15 10 5 0
</t>
  </si>
  <si>
    <t xml:space="preserve">10 15 5 0
</t>
  </si>
  <si>
    <t xml:space="preserve">5 10 10 0
</t>
  </si>
  <si>
    <t xml:space="preserve">20 20 20 0
</t>
  </si>
  <si>
    <t xml:space="preserve">25 25 30 0
</t>
  </si>
  <si>
    <t xml:space="preserve">35 25 35 0
</t>
  </si>
  <si>
    <t>QHc</t>
  </si>
  <si>
    <t xml:space="preserve">30 30 40 0
</t>
  </si>
  <si>
    <t>QHe</t>
  </si>
  <si>
    <t xml:space="preserve">35 35 40 0
</t>
  </si>
  <si>
    <t>QHg</t>
  </si>
  <si>
    <t xml:space="preserve">40 40 40 0
</t>
  </si>
  <si>
    <t>QHt</t>
  </si>
  <si>
    <t xml:space="preserve">5 10 15 0
</t>
  </si>
  <si>
    <t>Qac3</t>
  </si>
  <si>
    <t xml:space="preserve">0 15 15 0
</t>
  </si>
  <si>
    <t xml:space="preserve">20 0 0 0
</t>
  </si>
  <si>
    <t>Qcd0</t>
  </si>
  <si>
    <t xml:space="preserve">0 0 35 0
</t>
  </si>
  <si>
    <t>Qeg</t>
  </si>
  <si>
    <t xml:space="preserve">5 10 20 0
</t>
  </si>
  <si>
    <t>Qec</t>
  </si>
  <si>
    <t xml:space="preserve">0 0 0 15
</t>
  </si>
  <si>
    <t>Qepg</t>
  </si>
  <si>
    <t xml:space="preserve">0 6 6 27
</t>
  </si>
  <si>
    <t>Qg3</t>
  </si>
  <si>
    <t xml:space="preserve">0 5 15 0
</t>
  </si>
  <si>
    <t>Qg4</t>
  </si>
  <si>
    <t xml:space="preserve">20 0 0 5
</t>
  </si>
  <si>
    <t>Qg5</t>
  </si>
  <si>
    <t>Qg1</t>
  </si>
  <si>
    <t xml:space="preserve">0 11 6 0
</t>
  </si>
  <si>
    <t>Qg2</t>
  </si>
  <si>
    <t>Qg</t>
  </si>
  <si>
    <t>Qllf</t>
  </si>
  <si>
    <t>Qt0’</t>
  </si>
  <si>
    <t>Qt1</t>
  </si>
  <si>
    <t>Qt2</t>
  </si>
  <si>
    <t>Qt3</t>
  </si>
  <si>
    <t>Qt4</t>
  </si>
  <si>
    <t>Qt5</t>
  </si>
  <si>
    <t>Qt</t>
  </si>
  <si>
    <t xml:space="preserve">10 20 25 0
</t>
  </si>
  <si>
    <t>Qtg</t>
  </si>
  <si>
    <t>QHcd0</t>
  </si>
  <si>
    <t>20 10 5 0</t>
  </si>
  <si>
    <t xml:space="preserve">15 27 30 0
</t>
  </si>
  <si>
    <t>QHec</t>
  </si>
  <si>
    <t>10 10 25 0</t>
  </si>
  <si>
    <t xml:space="preserve">10 15 10 0
</t>
  </si>
  <si>
    <t>QHeg</t>
  </si>
  <si>
    <t>0 0 0 18</t>
  </si>
  <si>
    <t>QHg1</t>
  </si>
  <si>
    <t>5 0 30 0</t>
  </si>
  <si>
    <t xml:space="preserve">0 5 10 0
</t>
  </si>
  <si>
    <t>QHt0</t>
  </si>
  <si>
    <t>0 0 10 0</t>
  </si>
  <si>
    <t>QHt0’</t>
  </si>
  <si>
    <t>0 0 20 0</t>
  </si>
  <si>
    <t xml:space="preserve">0
</t>
  </si>
  <si>
    <t>QHt1</t>
  </si>
  <si>
    <t>QHtr</t>
  </si>
  <si>
    <t>11 0 0 18</t>
  </si>
  <si>
    <t xml:space="preserve">11 0 100 11
</t>
  </si>
  <si>
    <t>QHts</t>
  </si>
  <si>
    <t xml:space="preserve">8 0 60 0
</t>
  </si>
  <si>
    <t>QPa</t>
  </si>
  <si>
    <t xml:space="preserve">0 6 69 0
</t>
  </si>
  <si>
    <t>QPg</t>
  </si>
  <si>
    <t>QPl</t>
  </si>
  <si>
    <t xml:space="preserve">0 8 65 0
</t>
  </si>
  <si>
    <t>QPt</t>
  </si>
  <si>
    <t>QPac3</t>
  </si>
  <si>
    <t>0 6 8 18</t>
  </si>
  <si>
    <t>QPv</t>
  </si>
  <si>
    <t xml:space="preserve">0 5 70 5
</t>
  </si>
  <si>
    <t>QPg2</t>
  </si>
  <si>
    <t>5 0 10 0</t>
  </si>
  <si>
    <t>QPg3</t>
  </si>
  <si>
    <t>10 5 5 0</t>
  </si>
  <si>
    <t xml:space="preserve">55 55 0 0
</t>
  </si>
  <si>
    <t>QPg4</t>
  </si>
  <si>
    <t>10 10 10 0</t>
  </si>
  <si>
    <t xml:space="preserve">55 40 0 0
</t>
  </si>
  <si>
    <t>QPg5</t>
  </si>
  <si>
    <t>QPlb3</t>
  </si>
  <si>
    <t>QPt2</t>
  </si>
  <si>
    <t>QPt3</t>
  </si>
  <si>
    <t>QPt4</t>
  </si>
  <si>
    <t>QPt5</t>
  </si>
  <si>
    <t>QPv4</t>
  </si>
  <si>
    <t xml:space="preserve">15 5 0 0
</t>
  </si>
  <si>
    <t>QHcd1</t>
  </si>
  <si>
    <t>25 20 5 0</t>
  </si>
  <si>
    <t>NMch</t>
  </si>
  <si>
    <t>0 10 55 0</t>
  </si>
  <si>
    <t>OR1lgc</t>
  </si>
  <si>
    <t>10 30 35 0</t>
  </si>
  <si>
    <t>OR1lu</t>
  </si>
  <si>
    <t>5 35 25 0</t>
  </si>
  <si>
    <t>OR1mlg</t>
  </si>
  <si>
    <t>20 10 35 0</t>
  </si>
  <si>
    <t>OR2l</t>
  </si>
  <si>
    <t>10 30 45 0</t>
  </si>
  <si>
    <t>OR2mca</t>
  </si>
  <si>
    <t>10 15 45 0</t>
  </si>
  <si>
    <t xml:space="preserve">10 20 0 0
</t>
  </si>
  <si>
    <t>QPHe</t>
  </si>
  <si>
    <t xml:space="preserve">0 10 45 0
</t>
  </si>
  <si>
    <t>QPHeg</t>
  </si>
  <si>
    <t>25 15 15 0</t>
  </si>
  <si>
    <t>QPllf</t>
  </si>
  <si>
    <t>QPv5</t>
  </si>
  <si>
    <t>Qte</t>
  </si>
  <si>
    <t xml:space="preserve">27 8 0 0
</t>
  </si>
  <si>
    <t>QPte</t>
  </si>
  <si>
    <t xml:space="preserve">18 0 0 6
</t>
  </si>
  <si>
    <t>Ggd / f</t>
  </si>
  <si>
    <t>Si</t>
  </si>
  <si>
    <t>Sipn</t>
  </si>
  <si>
    <t>47 65 0 0</t>
  </si>
  <si>
    <t>MC Sipn</t>
  </si>
  <si>
    <t>NMBcam</t>
  </si>
  <si>
    <t>10 5 40 0</t>
  </si>
  <si>
    <t xml:space="preserve">30 0 6 0
</t>
  </si>
  <si>
    <t>NMBcg</t>
  </si>
  <si>
    <t>0 30 80 0</t>
  </si>
  <si>
    <t xml:space="preserve">27 6 0 0
</t>
  </si>
  <si>
    <t>NMBcgl</t>
  </si>
  <si>
    <t>0 10 65 0</t>
  </si>
  <si>
    <t xml:space="preserve">27 11 0 0
</t>
  </si>
  <si>
    <t>NMBgx</t>
  </si>
  <si>
    <t xml:space="preserve">34 0 0 0
</t>
  </si>
  <si>
    <t>NMBl</t>
  </si>
  <si>
    <t>0 5 80 0</t>
  </si>
  <si>
    <t xml:space="preserve">30 0 0 15
</t>
  </si>
  <si>
    <t>NMBca</t>
  </si>
  <si>
    <t>5 0 95 0</t>
  </si>
  <si>
    <t xml:space="preserve">11 0 6 6
</t>
  </si>
  <si>
    <t>NMBlg</t>
  </si>
  <si>
    <t xml:space="preserve">0 20 10 0
</t>
  </si>
  <si>
    <t>NMLca</t>
  </si>
  <si>
    <t>0 20 95 0</t>
  </si>
  <si>
    <t xml:space="preserve">5 5 10 0
</t>
  </si>
  <si>
    <t>NMLcg</t>
  </si>
  <si>
    <t>0 0 30 0</t>
  </si>
  <si>
    <t xml:space="preserve">0 15 30 6
</t>
  </si>
  <si>
    <t>NMlh</t>
  </si>
  <si>
    <t>NMLm</t>
  </si>
  <si>
    <t>0 5 35 0</t>
  </si>
  <si>
    <t>NMLlg</t>
  </si>
  <si>
    <t xml:space="preserve">5 30 40 0 
</t>
  </si>
  <si>
    <t>NMSbr</t>
  </si>
  <si>
    <t>0 20 85 0</t>
  </si>
  <si>
    <t>NMSca</t>
  </si>
  <si>
    <t>5 10 95 0</t>
  </si>
  <si>
    <t>NMScg</t>
  </si>
  <si>
    <t xml:space="preserve">30 0 11 18
</t>
  </si>
  <si>
    <t>NMSg</t>
  </si>
  <si>
    <t>0 5 60 0</t>
  </si>
  <si>
    <t>NMSgb</t>
  </si>
  <si>
    <t>0 20 65 0</t>
  </si>
  <si>
    <t xml:space="preserve">0 23 76 0
</t>
  </si>
  <si>
    <t>NMSlh</t>
  </si>
  <si>
    <t xml:space="preserve">0 25 75 0
</t>
  </si>
  <si>
    <t>NMSm</t>
  </si>
  <si>
    <t>0 10 30 0</t>
  </si>
  <si>
    <t xml:space="preserve">0 8 27 0
</t>
  </si>
  <si>
    <t>0 0 50 0</t>
  </si>
  <si>
    <t>Orcap</t>
  </si>
  <si>
    <t>20 10 20 0</t>
  </si>
  <si>
    <t xml:space="preserve">10 15 40 0
</t>
  </si>
  <si>
    <t>Orpq</t>
  </si>
  <si>
    <t>10 20 15 0</t>
  </si>
  <si>
    <t xml:space="preserve">5 20 20 0
</t>
  </si>
  <si>
    <t>Orq</t>
  </si>
  <si>
    <t>20 20 10 0</t>
  </si>
  <si>
    <t xml:space="preserve">5 15 30 0
</t>
  </si>
  <si>
    <t>QP</t>
  </si>
  <si>
    <t xml:space="preserve">20 15 45 0
</t>
  </si>
  <si>
    <t>12 8 0 0</t>
  </si>
  <si>
    <t xml:space="preserve">0 15 30 0
</t>
  </si>
  <si>
    <t>Q2</t>
  </si>
  <si>
    <t xml:space="preserve">0 35 30 0
</t>
  </si>
  <si>
    <t>Qac1</t>
  </si>
  <si>
    <t>Sido</t>
  </si>
  <si>
    <t>60 30 0 0</t>
  </si>
  <si>
    <t>Sipca</t>
  </si>
  <si>
    <t>45 25 0 0</t>
  </si>
  <si>
    <t xml:space="preserve">0 5 25 0
</t>
  </si>
  <si>
    <t>Sipg</t>
  </si>
  <si>
    <t>30 25 0 0</t>
  </si>
  <si>
    <t xml:space="preserve">20 40 50 0
</t>
  </si>
  <si>
    <t>Sipg (g)</t>
  </si>
  <si>
    <t xml:space="preserve">0 34 51 0
</t>
  </si>
  <si>
    <t>Spn</t>
  </si>
  <si>
    <t xml:space="preserve">0 25 43 0
</t>
  </si>
  <si>
    <t>Sp</t>
  </si>
  <si>
    <t>MC Spn</t>
  </si>
  <si>
    <t>QHa</t>
  </si>
  <si>
    <t>QHac1</t>
  </si>
  <si>
    <t>0 6 6 0</t>
  </si>
  <si>
    <t>QHca</t>
  </si>
  <si>
    <t>25 5 10 0</t>
  </si>
  <si>
    <t xml:space="preserve">0 15 40 0
</t>
  </si>
  <si>
    <t>QPHa</t>
  </si>
  <si>
    <t xml:space="preserve">0 20 15 0
</t>
  </si>
  <si>
    <t>QPHc</t>
  </si>
  <si>
    <t>QPHf</t>
  </si>
  <si>
    <t>QPHg</t>
  </si>
  <si>
    <t>QPHac</t>
  </si>
  <si>
    <t>0 10 10 15</t>
  </si>
  <si>
    <t>QPHfv</t>
  </si>
  <si>
    <t>10 5 10 0</t>
  </si>
  <si>
    <t xml:space="preserve">35 35 55 0
</t>
  </si>
  <si>
    <t>5 5 5 0</t>
  </si>
  <si>
    <t xml:space="preserve">10 35 65 0
</t>
  </si>
  <si>
    <t xml:space="preserve">5 23 65 0
</t>
  </si>
  <si>
    <t>QHcl0’</t>
  </si>
  <si>
    <t>5 5 15 0</t>
  </si>
  <si>
    <t>QHcl1</t>
  </si>
  <si>
    <t>15 10 15 0</t>
  </si>
  <si>
    <t xml:space="preserve">15 30 25 0
</t>
  </si>
  <si>
    <t>QHm</t>
  </si>
  <si>
    <t>QHm0’</t>
  </si>
  <si>
    <t xml:space="preserve">0 79 34 0
</t>
  </si>
  <si>
    <t>QHtg</t>
  </si>
  <si>
    <t>0 15 5 0</t>
  </si>
  <si>
    <t>QPac4</t>
  </si>
  <si>
    <t>30 25 20 0</t>
  </si>
  <si>
    <t>Qac4</t>
  </si>
  <si>
    <t>QPcd2</t>
  </si>
  <si>
    <t>5 5 0 0</t>
  </si>
  <si>
    <t xml:space="preserve">0 72 15 0
</t>
  </si>
  <si>
    <t>QPf</t>
  </si>
  <si>
    <t xml:space="preserve">15 20 55 0
</t>
  </si>
  <si>
    <t>QPfv3</t>
  </si>
  <si>
    <t>15 10 5 0</t>
  </si>
  <si>
    <t>QPfv4</t>
  </si>
  <si>
    <t>10 15 5 0</t>
  </si>
  <si>
    <t>5 10 10 0</t>
  </si>
  <si>
    <t>QPg6</t>
  </si>
  <si>
    <t>20 20 20 0</t>
  </si>
  <si>
    <t>QPg7</t>
  </si>
  <si>
    <t>25 25 30 0</t>
  </si>
  <si>
    <t>QPg8</t>
  </si>
  <si>
    <t>35 25 35 0</t>
  </si>
  <si>
    <t xml:space="preserve">5 75 45 0
</t>
  </si>
  <si>
    <t>QPg9</t>
  </si>
  <si>
    <t>30 30 40 0</t>
  </si>
  <si>
    <t>QPg10</t>
  </si>
  <si>
    <t>35 35 40 0</t>
  </si>
  <si>
    <t xml:space="preserve">15 28 43 0
</t>
  </si>
  <si>
    <t>QPg11</t>
  </si>
  <si>
    <t>40 40 40 0</t>
  </si>
  <si>
    <t>QPHcd</t>
  </si>
  <si>
    <t>5 10 15 0</t>
  </si>
  <si>
    <t>QPHt</t>
  </si>
  <si>
    <t>0 12 20 0</t>
  </si>
  <si>
    <t xml:space="preserve">5 15 95 0
</t>
  </si>
  <si>
    <t>QPHtg</t>
  </si>
  <si>
    <t>0 8 23 0</t>
  </si>
  <si>
    <t xml:space="preserve">15 20 95 0
</t>
  </si>
  <si>
    <t>QPHtls</t>
  </si>
  <si>
    <t>QPHl</t>
  </si>
  <si>
    <t>QPHlb</t>
  </si>
  <si>
    <t>20 0 0 0</t>
  </si>
  <si>
    <t xml:space="preserve">10 8 20 0
</t>
  </si>
  <si>
    <t>QPHls</t>
  </si>
  <si>
    <t>0 0 35 0</t>
  </si>
  <si>
    <t xml:space="preserve">15 5 5 0
</t>
  </si>
  <si>
    <t>QPHv</t>
  </si>
  <si>
    <t>QPHval</t>
  </si>
  <si>
    <t>5 10 20 0</t>
  </si>
  <si>
    <t xml:space="preserve">30 10 0 10
</t>
  </si>
  <si>
    <t>Qca</t>
  </si>
  <si>
    <t>Qcd</t>
  </si>
  <si>
    <t xml:space="preserve">0 30 47 0
</t>
  </si>
  <si>
    <t>Qcd2</t>
  </si>
  <si>
    <t xml:space="preserve">5 10 45 0
</t>
  </si>
  <si>
    <t>Qes1</t>
  </si>
  <si>
    <t xml:space="preserve">10 15 95 0
</t>
  </si>
  <si>
    <t>Qlb</t>
  </si>
  <si>
    <t xml:space="preserve">5 10 65 0
</t>
  </si>
  <si>
    <t>QHv</t>
  </si>
  <si>
    <t xml:space="preserve">5 25 60 0
</t>
  </si>
  <si>
    <t>QHv1</t>
  </si>
  <si>
    <t xml:space="preserve">5 0 70 0
</t>
  </si>
  <si>
    <t>QPHdo</t>
  </si>
  <si>
    <t>0 11 6 0</t>
  </si>
  <si>
    <t>QPHd</t>
  </si>
  <si>
    <t xml:space="preserve">0 0 60 0
</t>
  </si>
  <si>
    <t>QPt8</t>
  </si>
  <si>
    <t>QPt9</t>
  </si>
  <si>
    <t xml:space="preserve">0 0 25 0
</t>
  </si>
  <si>
    <t>QPt6</t>
  </si>
  <si>
    <t xml:space="preserve">5 0 60 0
</t>
  </si>
  <si>
    <t>QPt7</t>
  </si>
  <si>
    <t xml:space="preserve">0 10 60 0
</t>
  </si>
  <si>
    <t>QPv2</t>
  </si>
  <si>
    <t>QPv3</t>
  </si>
  <si>
    <t xml:space="preserve">15 40 40 0
</t>
  </si>
  <si>
    <t>QPv6</t>
  </si>
  <si>
    <t>QPv7</t>
  </si>
  <si>
    <t xml:space="preserve">10 40 0 0
</t>
  </si>
  <si>
    <t>QPv8</t>
  </si>
  <si>
    <t>35 5 35 0</t>
  </si>
  <si>
    <t xml:space="preserve">15 55 0 0
</t>
  </si>
  <si>
    <t>QPv9</t>
  </si>
  <si>
    <t>QPv10</t>
  </si>
  <si>
    <t>QPvg</t>
  </si>
  <si>
    <t>10 20 25 0</t>
  </si>
  <si>
    <t>Qval</t>
  </si>
  <si>
    <t xml:space="preserve">5 5 45 0
</t>
  </si>
  <si>
    <t>CBac</t>
  </si>
  <si>
    <t xml:space="preserve">0 10 80 0
</t>
  </si>
  <si>
    <t>QPvt</t>
  </si>
  <si>
    <t xml:space="preserve">10 5 60 0
</t>
  </si>
  <si>
    <t>QPfv</t>
  </si>
  <si>
    <t>10 15 10 0</t>
  </si>
  <si>
    <t xml:space="preserve">0 15 30 10
</t>
  </si>
  <si>
    <t>QHf</t>
  </si>
  <si>
    <t xml:space="preserve">0 6 18 0
</t>
  </si>
  <si>
    <t>QHfd</t>
  </si>
  <si>
    <t>QHt0r</t>
  </si>
  <si>
    <t>0 5 10 0</t>
  </si>
  <si>
    <t xml:space="preserve">10 5 15 0
</t>
  </si>
  <si>
    <t>NMgo (l)</t>
  </si>
  <si>
    <t xml:space="preserve">15 20 15 0
</t>
  </si>
  <si>
    <t>NPM</t>
  </si>
  <si>
    <t>0 0 69 0</t>
  </si>
  <si>
    <t>NPA</t>
  </si>
  <si>
    <t>NPF</t>
  </si>
  <si>
    <t>NPg</t>
  </si>
  <si>
    <t>6 0 91 0</t>
  </si>
  <si>
    <t>NMa</t>
  </si>
  <si>
    <t>51 11 0 43</t>
  </si>
  <si>
    <t>NPsm</t>
  </si>
  <si>
    <t>0 6 69 0</t>
  </si>
  <si>
    <t>NPP</t>
  </si>
  <si>
    <t>NPPa</t>
  </si>
  <si>
    <t xml:space="preserve">18 6 0 0 
</t>
  </si>
  <si>
    <t>NPRa</t>
  </si>
  <si>
    <t>11 0 100 11</t>
  </si>
  <si>
    <t xml:space="preserve">20 40 0 0 
</t>
  </si>
  <si>
    <t>NPSs</t>
  </si>
  <si>
    <t>NPPg</t>
  </si>
  <si>
    <t xml:space="preserve">5 25 35 0
</t>
  </si>
  <si>
    <t>NPRg</t>
  </si>
  <si>
    <t>8 0 60 0</t>
  </si>
  <si>
    <t xml:space="preserve">0 45 40 5
</t>
  </si>
  <si>
    <t>NPRs</t>
  </si>
  <si>
    <t xml:space="preserve">0 40 5 0
</t>
  </si>
  <si>
    <t>NPVg</t>
  </si>
  <si>
    <t>0 8 65 0</t>
  </si>
  <si>
    <t>NPVs</t>
  </si>
  <si>
    <t xml:space="preserve">0 15 80 0
</t>
  </si>
  <si>
    <t>NPsa</t>
  </si>
  <si>
    <t>0 5 70 5</t>
  </si>
  <si>
    <t>NPsao</t>
  </si>
  <si>
    <t>NPR</t>
  </si>
  <si>
    <t>NPS</t>
  </si>
  <si>
    <t>NPV</t>
  </si>
  <si>
    <t>Ni</t>
  </si>
  <si>
    <t xml:space="preserve">20 0 20 0
</t>
  </si>
  <si>
    <t>NMc</t>
  </si>
  <si>
    <t>0 6 43 0</t>
  </si>
  <si>
    <t>0 0 40 0</t>
  </si>
  <si>
    <t xml:space="preserve">5 15 50 0
</t>
  </si>
  <si>
    <t>NML</t>
  </si>
  <si>
    <t>0 0 75 0</t>
  </si>
  <si>
    <t xml:space="preserve">0 40 85 0
</t>
  </si>
  <si>
    <t>NMS</t>
  </si>
  <si>
    <t xml:space="preserve">0 10 25 0
</t>
  </si>
  <si>
    <t>NT</t>
  </si>
  <si>
    <t xml:space="preserve">5 20 50 0
</t>
  </si>
  <si>
    <t>Nvp</t>
  </si>
  <si>
    <t>55 55 0 0</t>
  </si>
  <si>
    <t>Nvcl</t>
  </si>
  <si>
    <t>55 40 0 0</t>
  </si>
  <si>
    <t xml:space="preserve">10 30 100 0
</t>
  </si>
  <si>
    <t>34 0 0 38</t>
  </si>
  <si>
    <t xml:space="preserve">5 45 50 0
</t>
  </si>
  <si>
    <t>Nv</t>
  </si>
  <si>
    <t>NQP</t>
  </si>
  <si>
    <t xml:space="preserve">10 25 35 0
</t>
  </si>
  <si>
    <t xml:space="preserve">10 5 65 0
</t>
  </si>
  <si>
    <t>Dcap</t>
  </si>
  <si>
    <t xml:space="preserve">10 15 80 0
</t>
  </si>
  <si>
    <t>MC Dcap</t>
  </si>
  <si>
    <t xml:space="preserve">0 35 95 0
</t>
  </si>
  <si>
    <t xml:space="preserve">20 20 80 0
</t>
  </si>
  <si>
    <t>NPFa (c)</t>
  </si>
  <si>
    <t xml:space="preserve">10 10 15 0
</t>
  </si>
  <si>
    <t>NPFs (c)</t>
  </si>
  <si>
    <t xml:space="preserve">5 10 30 0
</t>
  </si>
  <si>
    <t>NQPPm</t>
  </si>
  <si>
    <t>15 5 0 0</t>
  </si>
  <si>
    <t>Ord (c)</t>
  </si>
  <si>
    <t>Ordv (c)</t>
  </si>
  <si>
    <t>Pag (gx)</t>
  </si>
  <si>
    <t>PIlg (ca)</t>
  </si>
  <si>
    <t>PIlg (g)</t>
  </si>
  <si>
    <t>PIlg (gx)</t>
  </si>
  <si>
    <t>QHp</t>
  </si>
  <si>
    <t>QHpf</t>
  </si>
  <si>
    <t>10 20 0 0</t>
  </si>
  <si>
    <t>QHpd0’</t>
  </si>
  <si>
    <t>0 10 45 0</t>
  </si>
  <si>
    <t>QHpg</t>
  </si>
  <si>
    <t>QHps</t>
  </si>
  <si>
    <t>QPbc</t>
  </si>
  <si>
    <t>QPb</t>
  </si>
  <si>
    <t>QPcli</t>
  </si>
  <si>
    <t>27 8 0 0</t>
  </si>
  <si>
    <t>QPclu</t>
  </si>
  <si>
    <t>18 0 0 6</t>
  </si>
  <si>
    <t>QPc</t>
  </si>
  <si>
    <t>QPls</t>
  </si>
  <si>
    <t>QPtr</t>
  </si>
  <si>
    <t>QP2</t>
  </si>
  <si>
    <t>QPtas</t>
  </si>
  <si>
    <t>30 0 6 0</t>
  </si>
  <si>
    <t>QPHtcm</t>
  </si>
  <si>
    <t>QPtl3</t>
  </si>
  <si>
    <t>27 11 0 0</t>
  </si>
  <si>
    <t>QPtlm</t>
  </si>
  <si>
    <t>34 0 0 0</t>
  </si>
  <si>
    <t>QPHtvc</t>
  </si>
  <si>
    <t>30 0 0 15</t>
  </si>
  <si>
    <t>QPHtvs</t>
  </si>
  <si>
    <t>11 0 6 6</t>
  </si>
  <si>
    <t>QPHdt</t>
  </si>
  <si>
    <t>0 20 10 0</t>
  </si>
  <si>
    <t>QHfv</t>
  </si>
  <si>
    <t>5 5 10 0</t>
  </si>
  <si>
    <t>QPva</t>
  </si>
  <si>
    <t>0 15 30 6</t>
  </si>
  <si>
    <t>QPvcl</t>
  </si>
  <si>
    <t>QPval</t>
  </si>
  <si>
    <t>QPvsm</t>
  </si>
  <si>
    <t>5 30 40 0</t>
  </si>
  <si>
    <t>QPvml</t>
  </si>
  <si>
    <t>QPfc</t>
  </si>
  <si>
    <t>QPmg</t>
  </si>
  <si>
    <t>30 0 11 18</t>
  </si>
  <si>
    <t>QPm</t>
  </si>
  <si>
    <t>SDCa</t>
  </si>
  <si>
    <t>PEBc1</t>
  </si>
  <si>
    <t>0 23 76 0</t>
  </si>
  <si>
    <t>PEBc1g</t>
  </si>
  <si>
    <t>0 25 75 0</t>
  </si>
  <si>
    <t>PEBc2</t>
  </si>
  <si>
    <t>0 8 27 0</t>
  </si>
  <si>
    <t>PEBc2a</t>
  </si>
  <si>
    <t>PEBc2b</t>
  </si>
  <si>
    <t>10 15 40 0</t>
  </si>
  <si>
    <t>PEBc2c</t>
  </si>
  <si>
    <t>5 20 20 0</t>
  </si>
  <si>
    <t>PEBcg2</t>
  </si>
  <si>
    <t>5 15 30 0</t>
  </si>
  <si>
    <t>PEBcgl</t>
  </si>
  <si>
    <t>20 15 45 0</t>
  </si>
  <si>
    <t>PEBgm2</t>
  </si>
  <si>
    <t>0 15 30 0</t>
  </si>
  <si>
    <t>PEBlg2</t>
  </si>
  <si>
    <t>0 35 30 0</t>
  </si>
  <si>
    <t>PEBlm2</t>
  </si>
  <si>
    <t>PEBm1</t>
  </si>
  <si>
    <t>PEBm0</t>
  </si>
  <si>
    <t>0 5 25 0</t>
  </si>
  <si>
    <t>PEBm3</t>
  </si>
  <si>
    <t>20 40 50 0</t>
  </si>
  <si>
    <t>PEBp2</t>
  </si>
  <si>
    <t>0 34 51 0</t>
  </si>
  <si>
    <t>PEBp3</t>
  </si>
  <si>
    <t>PEBPcg</t>
  </si>
  <si>
    <t>0 25 43 0</t>
  </si>
  <si>
    <t>PEIccs</t>
  </si>
  <si>
    <t>PEImss</t>
  </si>
  <si>
    <t>PEIv</t>
  </si>
  <si>
    <t>PEL</t>
  </si>
  <si>
    <t xml:space="preserve"> </t>
  </si>
  <si>
    <t>PELb3</t>
  </si>
  <si>
    <t>PELb4</t>
  </si>
  <si>
    <t>0 15 40 0</t>
  </si>
  <si>
    <t>PELb5</t>
  </si>
  <si>
    <t>0 20 15 0</t>
  </si>
  <si>
    <t>PELb5 (ca)</t>
  </si>
  <si>
    <t>PELb1</t>
  </si>
  <si>
    <t>PELb1 (g)</t>
  </si>
  <si>
    <t>PELb2</t>
  </si>
  <si>
    <t>PEI</t>
  </si>
  <si>
    <t>PELBc1</t>
  </si>
  <si>
    <t>35 35 55 0</t>
  </si>
  <si>
    <t>PELB</t>
  </si>
  <si>
    <t>PELcg1</t>
  </si>
  <si>
    <t>10 35 65 0</t>
  </si>
  <si>
    <t>PELcg2</t>
  </si>
  <si>
    <t>5 23 65 0</t>
  </si>
  <si>
    <t>PELcg2 (ca)</t>
  </si>
  <si>
    <t>PELcg3</t>
  </si>
  <si>
    <t>15 30 25 0</t>
  </si>
  <si>
    <t>PELg</t>
  </si>
  <si>
    <t>PELgb</t>
  </si>
  <si>
    <t>0 79 34 0</t>
  </si>
  <si>
    <t>PELgcs</t>
  </si>
  <si>
    <t>PELgcs (ca)</t>
  </si>
  <si>
    <t>PELgs</t>
  </si>
  <si>
    <t>PELgv</t>
  </si>
  <si>
    <t>0 72 15 0</t>
  </si>
  <si>
    <t>PELmgl</t>
  </si>
  <si>
    <t>15 20 55 0</t>
  </si>
  <si>
    <t>PELmgl (ca)</t>
  </si>
  <si>
    <t>PELmv</t>
  </si>
  <si>
    <t>PELmv (c)</t>
  </si>
  <si>
    <t>PELp</t>
  </si>
  <si>
    <t>PEPag</t>
  </si>
  <si>
    <t>PEP</t>
  </si>
  <si>
    <t>PEPbbca</t>
  </si>
  <si>
    <t>5 75 45 0</t>
  </si>
  <si>
    <t>PEPc</t>
  </si>
  <si>
    <t>PEPc2</t>
  </si>
  <si>
    <t>15 28 43 0</t>
  </si>
  <si>
    <t>PEPcg</t>
  </si>
  <si>
    <t>PEPgac</t>
  </si>
  <si>
    <t>PEPlg</t>
  </si>
  <si>
    <t>POR</t>
  </si>
  <si>
    <t>PP</t>
  </si>
  <si>
    <t>POR1cg</t>
  </si>
  <si>
    <t>POR1cga</t>
  </si>
  <si>
    <t>15 20 95 0</t>
  </si>
  <si>
    <t>POR1lag</t>
  </si>
  <si>
    <t>PPag</t>
  </si>
  <si>
    <t>PPag (ca)</t>
  </si>
  <si>
    <t>QPHea</t>
  </si>
  <si>
    <t>10 8 20 0</t>
  </si>
  <si>
    <t>QPlb</t>
  </si>
  <si>
    <t>15 5 5 0</t>
  </si>
  <si>
    <t>QPHtmc</t>
  </si>
  <si>
    <t>PPD</t>
  </si>
  <si>
    <t>PPDcg</t>
  </si>
  <si>
    <t>30 10 0 10</t>
  </si>
  <si>
    <t>PPm</t>
  </si>
  <si>
    <t>PPTm</t>
  </si>
  <si>
    <t>0 30 47 0</t>
  </si>
  <si>
    <t>NMLc</t>
  </si>
  <si>
    <t>5 10 45 0</t>
  </si>
  <si>
    <t>NMSTca</t>
  </si>
  <si>
    <t>10 15 95 0</t>
  </si>
  <si>
    <t>NMSTg</t>
  </si>
  <si>
    <t>5 10 65 0</t>
  </si>
  <si>
    <t>NMSTgb</t>
  </si>
  <si>
    <t>5 25 60 0</t>
  </si>
  <si>
    <t>NPc</t>
  </si>
  <si>
    <t>NPcg</t>
  </si>
  <si>
    <t>5 0 70 0</t>
  </si>
  <si>
    <t>NPcgl</t>
  </si>
  <si>
    <t>NPl</t>
  </si>
  <si>
    <t>0 0 60 0</t>
  </si>
  <si>
    <t>QHpa1</t>
  </si>
  <si>
    <t>QPp</t>
  </si>
  <si>
    <t>QPpa3</t>
  </si>
  <si>
    <t>0 0 25 0</t>
  </si>
  <si>
    <t>NMSTlg</t>
  </si>
  <si>
    <t>5 0 60 0</t>
  </si>
  <si>
    <t>NMSTmg</t>
  </si>
  <si>
    <t>0 10 60 0</t>
  </si>
  <si>
    <t>NPclg</t>
  </si>
  <si>
    <t>Tlb</t>
  </si>
  <si>
    <t>15 40 40 0</t>
  </si>
  <si>
    <t>Tkl (gx)</t>
  </si>
  <si>
    <t>Tkd</t>
  </si>
  <si>
    <t>10 40 0 0</t>
  </si>
  <si>
    <t>Tkld</t>
  </si>
  <si>
    <t>15 55 0 0</t>
  </si>
  <si>
    <t>Tkld (gx)</t>
  </si>
  <si>
    <t>Tklg</t>
  </si>
  <si>
    <t>Tklg (gx)</t>
  </si>
  <si>
    <t>NPlc</t>
  </si>
  <si>
    <t>NMSTmgca</t>
  </si>
  <si>
    <t>5 5 45 0</t>
  </si>
  <si>
    <t>NMSTlcg</t>
  </si>
  <si>
    <t>0 10 80 0</t>
  </si>
  <si>
    <t>NMSTlc</t>
  </si>
  <si>
    <t>10 5 60 0</t>
  </si>
  <si>
    <t>QHd</t>
  </si>
  <si>
    <t>QHdd</t>
  </si>
  <si>
    <t>0 15 30 10</t>
  </si>
  <si>
    <t>QHdl</t>
  </si>
  <si>
    <t>0 6 18 0</t>
  </si>
  <si>
    <t>11 15 15 0</t>
  </si>
  <si>
    <t>QHmd</t>
  </si>
  <si>
    <t>10 5 15 0</t>
  </si>
  <si>
    <t>QPcl2</t>
  </si>
  <si>
    <t>15 20 15 0</t>
  </si>
  <si>
    <t>PEBlm1</t>
  </si>
  <si>
    <t>PEBlm1a</t>
  </si>
  <si>
    <t>PEBlm1b</t>
  </si>
  <si>
    <t>PEPcl</t>
  </si>
  <si>
    <t>PEPg</t>
  </si>
  <si>
    <t>PEPm</t>
  </si>
  <si>
    <t>PEBm</t>
  </si>
  <si>
    <t>PEPbb</t>
  </si>
  <si>
    <t>PEIm (c)</t>
  </si>
  <si>
    <t>QPtam</t>
  </si>
  <si>
    <t>TSRc</t>
  </si>
  <si>
    <t>20 40 0 0</t>
  </si>
  <si>
    <t>TS</t>
  </si>
  <si>
    <t>PEIca</t>
  </si>
  <si>
    <t>5 25 35 0</t>
  </si>
  <si>
    <t>PEPgxb</t>
  </si>
  <si>
    <t>0 45 40 5</t>
  </si>
  <si>
    <t>PEPgxl</t>
  </si>
  <si>
    <t>0 40 5 0</t>
  </si>
  <si>
    <t>PEPmgx</t>
  </si>
  <si>
    <t>POC</t>
  </si>
  <si>
    <t>POCbrc</t>
  </si>
  <si>
    <t>0 15 80 0</t>
  </si>
  <si>
    <t>POCcc</t>
  </si>
  <si>
    <t>POCg</t>
  </si>
  <si>
    <t>POCgc</t>
  </si>
  <si>
    <t>POCglr</t>
  </si>
  <si>
    <t>POR2glv</t>
  </si>
  <si>
    <t>POClgc</t>
  </si>
  <si>
    <t>POR1gl</t>
  </si>
  <si>
    <t>20 0 20 0</t>
  </si>
  <si>
    <t>POR1l</t>
  </si>
  <si>
    <t>POR1lg</t>
  </si>
  <si>
    <t>POR2gm</t>
  </si>
  <si>
    <t>5 15 50 0</t>
  </si>
  <si>
    <t>POR2gxl</t>
  </si>
  <si>
    <t>POR3g</t>
  </si>
  <si>
    <t>0 40 85 0</t>
  </si>
  <si>
    <t>POR3glv</t>
  </si>
  <si>
    <t>0 10 25 0</t>
  </si>
  <si>
    <t>POR3l</t>
  </si>
  <si>
    <t>5 20 50 0</t>
  </si>
  <si>
    <t>POR2agx</t>
  </si>
  <si>
    <t>POR2cgg</t>
  </si>
  <si>
    <t>10 30 100 0</t>
  </si>
  <si>
    <t>PEIcam</t>
  </si>
  <si>
    <t>POR3gtl</t>
  </si>
  <si>
    <t>5 45 50 0</t>
  </si>
  <si>
    <t>POR2agx (gx)</t>
  </si>
  <si>
    <t>POR1gtl</t>
  </si>
  <si>
    <t>POR1cgl</t>
  </si>
  <si>
    <t>10 25 35 0</t>
  </si>
  <si>
    <t>POClm</t>
  </si>
  <si>
    <t>10 5 65 0</t>
  </si>
  <si>
    <t>POCgxl</t>
  </si>
  <si>
    <t>PEPgll</t>
  </si>
  <si>
    <t>0 35 95 0</t>
  </si>
  <si>
    <t>PEPgl</t>
  </si>
  <si>
    <t>20 20 80 0</t>
  </si>
  <si>
    <t>QHfv1</t>
  </si>
  <si>
    <t>10 10 15 0</t>
  </si>
  <si>
    <t>NMSTm</t>
  </si>
  <si>
    <t>5 10 30 0</t>
  </si>
  <si>
    <t>29/31</t>
  </si>
  <si>
    <t>1/31</t>
  </si>
  <si>
    <t>6/31</t>
  </si>
  <si>
    <t>10/31</t>
  </si>
  <si>
    <t>14/31</t>
  </si>
  <si>
    <t>24/31</t>
  </si>
  <si>
    <t>26/31</t>
  </si>
  <si>
    <t>30/31</t>
  </si>
  <si>
    <t>2/31</t>
  </si>
  <si>
    <t>7/31</t>
  </si>
  <si>
    <t>20/31</t>
  </si>
  <si>
    <t>21/31</t>
  </si>
  <si>
    <t>8/31</t>
  </si>
  <si>
    <t>11/31</t>
  </si>
  <si>
    <t>25/31</t>
  </si>
  <si>
    <t>27/31</t>
  </si>
  <si>
    <t>28/31</t>
  </si>
  <si>
    <t>9/31</t>
  </si>
  <si>
    <t>22/31</t>
  </si>
  <si>
    <t>23/31</t>
  </si>
  <si>
    <t>15/31</t>
  </si>
  <si>
    <t>16/31</t>
  </si>
  <si>
    <t>17/31</t>
  </si>
  <si>
    <t>18/31</t>
  </si>
  <si>
    <t>19/31</t>
  </si>
  <si>
    <t>31/31</t>
  </si>
  <si>
    <t>3/31</t>
  </si>
  <si>
    <t>4/31</t>
  </si>
  <si>
    <t>5/31</t>
  </si>
  <si>
    <t>12/31</t>
  </si>
  <si>
    <t xml:space="preserve">13/31               </t>
  </si>
  <si>
    <t>done</t>
  </si>
  <si>
    <t>to do</t>
  </si>
  <si>
    <t>Jl1</t>
  </si>
  <si>
    <t>50 0 10 0</t>
  </si>
  <si>
    <t>5 45 15 0</t>
  </si>
  <si>
    <t>20 0 80 0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</si>
</sst>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double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3" fillId="2" borderId="3" xfId="0" applyFont="1" applyFill="1" applyBorder="1" applyAlignment="1">
      <alignment horizontal="center" vertical="top"/>
    </xf>
    <xf numFmtId="0" fontId="2" fillId="2" borderId="4" xfId="0" applyFont="1" applyFill="1" applyBorder="1"/>
    <xf numFmtId="0" fontId="3" fillId="0" borderId="3" xfId="0" applyFont="1" applyBorder="1" applyAlignment="1">
      <alignment horizontal="center" vertical="top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3" fillId="0" borderId="8" xfId="0" applyFont="1" applyBorder="1" applyAlignment="1">
      <alignment horizontal="center" vertical="top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2" borderId="7" xfId="0" applyFont="1" applyFill="1" applyBorder="1"/>
    <xf numFmtId="0" fontId="3" fillId="0" borderId="6" xfId="0" applyFont="1" applyBorder="1" applyAlignment="1">
      <alignment horizontal="center" vertical="top"/>
    </xf>
    <xf numFmtId="0" fontId="2" fillId="2" borderId="0" xfId="0" applyFont="1" applyFill="1"/>
    <xf numFmtId="0" fontId="3" fillId="0" borderId="7" xfId="0" applyFont="1" applyBorder="1" applyAlignment="1">
      <alignment horizontal="center" vertical="top"/>
    </xf>
    <xf numFmtId="0" fontId="4" fillId="0" borderId="12" xfId="0" applyFont="1" applyBorder="1"/>
    <xf numFmtId="0" fontId="4" fillId="0" borderId="7" xfId="0" applyFont="1" applyBorder="1"/>
    <xf numFmtId="49" fontId="2" fillId="2" borderId="7" xfId="0" applyNumberFormat="1" applyFont="1" applyFill="1" applyBorder="1"/>
    <xf numFmtId="49" fontId="0" fillId="0" borderId="0" xfId="0" applyNumberFormat="1"/>
    <xf numFmtId="49" fontId="0" fillId="0" borderId="4" xfId="0" applyNumberFormat="1" applyBorder="1"/>
    <xf numFmtId="49" fontId="0" fillId="0" borderId="7" xfId="0" applyNumberFormat="1" applyBorder="1"/>
    <xf numFmtId="49" fontId="0" fillId="0" borderId="10" xfId="0" applyNumberFormat="1" applyBorder="1"/>
    <xf numFmtId="0" fontId="5" fillId="0" borderId="0" xfId="0" applyFont="1"/>
    <xf numFmtId="0" fontId="4" fillId="0" borderId="0" xfId="0" applyFont="1"/>
    <xf numFmtId="0" fontId="0" fillId="3" borderId="0" xfId="0" applyFill="1"/>
    <xf numFmtId="49" fontId="2" fillId="2" borderId="0" xfId="0" applyNumberFormat="1" applyFont="1" applyFill="1"/>
    <xf numFmtId="0" fontId="6" fillId="0" borderId="0" xfId="0" applyFont="1"/>
    <xf numFmtId="0" fontId="3" fillId="0" borderId="1" xfId="0" applyFont="1" applyBorder="1" applyAlignment="1">
      <alignment horizontal="center" vertical="top"/>
    </xf>
    <xf numFmtId="0" fontId="7" fillId="0" borderId="7" xfId="0" applyFont="1" applyBorder="1"/>
  </cellXfs>
  <cellStyles count="1"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/>
        <top style="thin">
          <color theme="9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theme="9"/>
        </right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/>
        <top style="thin">
          <color theme="9"/>
        </top>
        <bottom/>
        <vertical/>
        <horizontal/>
      </border>
    </dxf>
    <dxf>
      <font>
        <b/>
        <color auto="1"/>
      </font>
      <numFmt numFmtId="0" formatCode="General"/>
      <alignment horizontal="center" vertical="top" textRotation="0" wrapText="0" indent="0" justifyLastLine="0" shrinkToFit="0" readingOrder="0"/>
    </dxf>
    <dxf>
      <font>
        <b/>
        <color auto="1"/>
      </font>
      <numFmt numFmtId="0" formatCode="General"/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/>
        <top style="thin">
          <color theme="9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theme="9"/>
        </right>
      </border>
    </dxf>
    <dxf>
      <numFmt numFmtId="30" formatCode="@"/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</dxf>
    <dxf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auto="1"/>
        </left>
        <right/>
        <top style="thin">
          <color theme="9"/>
        </top>
        <bottom/>
        <vertical/>
        <horizontal/>
      </border>
    </dxf>
    <dxf>
      <border diagonalUp="0" diagonalDown="0" outline="0">
        <left style="thin">
          <color auto="1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 outline="0">
        <left/>
        <right/>
        <top style="thin">
          <color theme="9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E662C3-4AFD-464A-AF82-A7B675B161AC}" name="Table3" displayName="Table3" ref="A1:G693" totalsRowCount="1">
  <autoFilter ref="A1:G692" xr:uid="{3FE662C3-4AFD-464A-AF82-A7B675B161AC}"/>
  <sortState xmlns:xlrd2="http://schemas.microsoft.com/office/spreadsheetml/2017/richdata2" ref="A2:G692">
    <sortCondition ref="A1:A692"/>
  </sortState>
  <tableColumns count="7">
    <tableColumn id="1" xr3:uid="{01A1C288-896B-46B5-89AF-A7F7F40B9F05}" name="id1" dataDxfId="36" totalsRowDxfId="37"/>
    <tableColumn id="5" xr3:uid="{85913551-5765-44A9-9761-EAE2EC13F192}" name="page" dataDxfId="34" totalsRowDxfId="35"/>
    <tableColumn id="6" xr3:uid="{E7D81D77-4BF4-4E6B-B7B7-FBAAC0F71114}" name="apartado" dataDxfId="32" totalsRowDxfId="33"/>
    <tableColumn id="2" xr3:uid="{A4B42BAE-1370-4184-AB2C-BD7186A522D5}" name="EPI_DGN_ANTIC" dataDxfId="30" totalsRowDxfId="31"/>
    <tableColumn id="3" xr3:uid="{CB12DAFD-A6B7-42DB-88E5-1CE6F4606EE8}" name="check" totalsRowFunction="custom" dataDxfId="28" totalsRowDxfId="29">
      <totalsRowFormula>COUNT(Table3[[#Headers],[#Data],[check]])</totalsRowFormula>
    </tableColumn>
    <tableColumn id="4" xr3:uid="{09D811CD-55B7-4AC0-9FDC-238A28157934}" name="colorFondo" dataDxfId="26" totalsRowDxfId="27"/>
    <tableColumn id="8" xr3:uid="{BE1C47D8-B752-46BF-8326-B1311D7EC416}" name="colorTrama" dataDxfId="24" totalsRowDxfId="2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59C951-84BC-4B16-97C3-6B760BAD9D16}" name="Table4" displayName="Table4" ref="H1:J509" totalsRowShown="0" tableBorderDxfId="23">
  <autoFilter ref="H1:J509" xr:uid="{3F59C951-84BC-4B16-97C3-6B760BAD9D16}"/>
  <tableColumns count="3">
    <tableColumn id="1" xr3:uid="{563FEBD2-BBFE-4BF4-91A4-A81B8E4358EF}" name="id2" dataDxfId="22"/>
    <tableColumn id="2" xr3:uid="{C545153D-79BD-436D-8994-7D42527E3C26}" name="Code2" dataDxfId="21"/>
    <tableColumn id="3" xr3:uid="{4C0FDA69-37FF-4A30-8548-8FB9AFA092D1}" name="check" dataDxfId="20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B45AFB-6675-410C-9E14-E31262D36BD2}" name="Table1" displayName="Table1" ref="A1:I886" totalsRowShown="0">
  <autoFilter ref="A1:I886" xr:uid="{E1B45AFB-6675-410C-9E14-E31262D36BD2}"/>
  <sortState xmlns:xlrd2="http://schemas.microsoft.com/office/spreadsheetml/2017/richdata2" ref="A2:I886">
    <sortCondition ref="A1:A886"/>
  </sortState>
  <tableColumns count="9">
    <tableColumn id="1" xr3:uid="{095D316B-99C4-40AC-A07B-CE33509990D3}" name="id1" dataDxfId="16"/>
    <tableColumn id="8" xr3:uid="{58AABB3E-E239-4075-80D2-E61BEB35B8A5}" name="page" dataDxfId="15">
      <calculatedColumnFormula>LEFT(Table1[[#This Row],[EPI_DGN_ANTIC]],1)</calculatedColumnFormula>
    </tableColumn>
    <tableColumn id="7" xr3:uid="{6790C9FC-5149-4552-9FAB-5FB514368311}" name="apartado" dataDxfId="14">
      <calculatedColumnFormula>LEFT(Table1[[#This Row],[EPI_DGN_ANTIC]],2)</calculatedColumnFormula>
    </tableColumn>
    <tableColumn id="2" xr3:uid="{36F8756C-F8EB-4D3F-8FE9-E3B007C07726}" name="EPI_DGN_ANTIC"/>
    <tableColumn id="9" xr3:uid="{C3E187E4-D5D8-4502-A29E-BED1DB80D91F}" name="check" dataDxfId="13"/>
    <tableColumn id="5" xr3:uid="{DF38D1C2-CEB6-44CC-8CC4-D8BD0CB2FB8E}" name="colorFondo"/>
    <tableColumn id="6" xr3:uid="{ABD797CD-7009-4151-9FB9-F55C3B10C7C5}" name="colorTrama"/>
    <tableColumn id="3" xr3:uid="{A3704EC4-0218-48D4-9A55-2C86A200E925}" name="id2"/>
    <tableColumn id="4" xr3:uid="{ECB87C79-A464-437A-8223-6D13BE566819}" name="Code2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D122FA-C4C8-43ED-AF3F-7AB8DD547F8B}" name="Table43" displayName="Table43" ref="H1:J509" totalsRowShown="0" tableBorderDxfId="3">
  <autoFilter ref="H1:J509" xr:uid="{26D122FA-C4C8-43ED-AF3F-7AB8DD547F8B}"/>
  <tableColumns count="3">
    <tableColumn id="1" xr3:uid="{6CF82F63-2D5F-4F36-BE0F-A5AFFF5FC507}" name="id2" dataDxfId="2"/>
    <tableColumn id="2" xr3:uid="{D067578F-2E0D-4EF5-B0E1-B21181FEFC97}" name="Code2" dataDxfId="1"/>
    <tableColumn id="3" xr3:uid="{DE51276E-AA96-4B1F-BC9F-21618D84E0AC}" name="check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4"/>
  <sheetViews>
    <sheetView topLeftCell="A676" workbookViewId="0">
      <selection sqref="A1:J692"/>
    </sheetView>
  </sheetViews>
  <sheetFormatPr defaultRowHeight="15"/>
  <cols>
    <col min="3" max="3" width="12" customWidth="1"/>
    <col min="4" max="4" width="12.7109375" bestFit="1" customWidth="1"/>
    <col min="6" max="7" width="19.7109375" customWidth="1"/>
    <col min="9" max="9" width="21.28515625" bestFit="1" customWidth="1"/>
  </cols>
  <sheetData>
    <row r="1" spans="1:13">
      <c r="A1" s="2" t="s">
        <v>0</v>
      </c>
      <c r="B1" s="15" t="s">
        <v>1</v>
      </c>
      <c r="C1" s="17" t="s">
        <v>2</v>
      </c>
      <c r="D1" s="3" t="s">
        <v>3</v>
      </c>
      <c r="E1" s="4" t="s">
        <v>4</v>
      </c>
      <c r="F1" s="21" t="s">
        <v>5</v>
      </c>
      <c r="G1" s="21" t="s">
        <v>6</v>
      </c>
      <c r="H1" s="15" t="s">
        <v>7</v>
      </c>
      <c r="I1" s="3" t="s">
        <v>8</v>
      </c>
      <c r="J1" s="4" t="s">
        <v>4</v>
      </c>
      <c r="L1" s="28" t="s">
        <v>9</v>
      </c>
    </row>
    <row r="2" spans="1:13">
      <c r="A2" s="5">
        <v>0</v>
      </c>
      <c r="B2" s="6" t="str">
        <f>LEFT(Table3[[#This Row],[EPI_DGN_ANTIC]],1)</f>
        <v>E</v>
      </c>
      <c r="D2" s="6" t="s">
        <v>10</v>
      </c>
      <c r="E2" s="10">
        <v>0</v>
      </c>
      <c r="F2" s="22"/>
      <c r="G2" s="22"/>
      <c r="H2" s="16">
        <v>0</v>
      </c>
      <c r="I2" s="6" t="s">
        <v>11</v>
      </c>
      <c r="J2" s="10"/>
      <c r="L2" s="10">
        <v>0</v>
      </c>
      <c r="M2" t="s">
        <v>12</v>
      </c>
    </row>
    <row r="3" spans="1:13">
      <c r="A3" s="5">
        <v>1</v>
      </c>
      <c r="B3" s="6" t="str">
        <f>LEFT(Table3[[#This Row],[EPI_DGN_ANTIC]],1)</f>
        <v>E</v>
      </c>
      <c r="D3" s="8" t="s">
        <v>10</v>
      </c>
      <c r="E3" s="10">
        <v>0</v>
      </c>
      <c r="F3" s="22"/>
      <c r="G3" s="22"/>
      <c r="H3" s="16">
        <v>1</v>
      </c>
      <c r="I3" s="8" t="s">
        <v>13</v>
      </c>
      <c r="J3" s="10"/>
      <c r="L3" s="10">
        <v>1</v>
      </c>
      <c r="M3" t="s">
        <v>14</v>
      </c>
    </row>
    <row r="4" spans="1:13">
      <c r="A4" s="5">
        <v>2</v>
      </c>
      <c r="B4" t="str">
        <f>LEFT(Table3[[#This Row],[EPI_DGN_ANTIC]],1)</f>
        <v>E</v>
      </c>
      <c r="C4" t="str">
        <f>LEFT(Table3[[#This Row],[EPI_DGN_ANTIC]],3)</f>
        <v>EBg</v>
      </c>
      <c r="D4" s="8" t="s">
        <v>15</v>
      </c>
      <c r="E4" s="10">
        <v>0</v>
      </c>
      <c r="F4" s="22"/>
      <c r="G4" s="22"/>
      <c r="H4" s="16">
        <v>2</v>
      </c>
      <c r="I4" s="8" t="s">
        <v>16</v>
      </c>
      <c r="J4" s="10"/>
      <c r="L4" s="10">
        <v>2</v>
      </c>
      <c r="M4" t="s">
        <v>17</v>
      </c>
    </row>
    <row r="5" spans="1:13">
      <c r="A5" s="5">
        <v>3</v>
      </c>
      <c r="B5" t="str">
        <f>LEFT(Table3[[#This Row],[EPI_DGN_ANTIC]],1)</f>
        <v>E</v>
      </c>
      <c r="C5" t="str">
        <f>LEFT(Table3[[#This Row],[EPI_DGN_ANTIC]],2)</f>
        <v>Eb</v>
      </c>
      <c r="D5" s="8" t="s">
        <v>18</v>
      </c>
      <c r="E5" s="10">
        <v>1</v>
      </c>
      <c r="F5" s="22" t="s">
        <v>19</v>
      </c>
      <c r="G5" s="22"/>
      <c r="H5" s="16">
        <v>3</v>
      </c>
      <c r="I5" s="8" t="s">
        <v>20</v>
      </c>
      <c r="J5" s="10"/>
    </row>
    <row r="6" spans="1:13">
      <c r="A6" s="5">
        <v>4</v>
      </c>
      <c r="B6" t="str">
        <f>LEFT(Table3[[#This Row],[EPI_DGN_ANTIC]],1)</f>
        <v>E</v>
      </c>
      <c r="C6" t="str">
        <f>LEFT(Table3[[#This Row],[EPI_DGN_ANTIC]],3)</f>
        <v>EBb</v>
      </c>
      <c r="D6" s="8" t="s">
        <v>21</v>
      </c>
      <c r="E6" s="10">
        <v>0</v>
      </c>
      <c r="F6" s="22"/>
      <c r="G6" s="22"/>
      <c r="H6" s="16">
        <v>4</v>
      </c>
      <c r="I6" s="8" t="s">
        <v>22</v>
      </c>
      <c r="J6" s="10"/>
    </row>
    <row r="7" spans="1:13">
      <c r="A7" s="5">
        <v>5</v>
      </c>
      <c r="B7" t="str">
        <f>LEFT(Table3[[#This Row],[EPI_DGN_ANTIC]],1)</f>
        <v>E</v>
      </c>
      <c r="C7" t="str">
        <f>LEFT(Table3[[#This Row],[EPI_DGN_ANTIC]],3)</f>
        <v>EBb</v>
      </c>
      <c r="D7" s="8" t="s">
        <v>23</v>
      </c>
      <c r="E7" s="10">
        <v>1</v>
      </c>
      <c r="F7" s="22" t="s">
        <v>24</v>
      </c>
      <c r="G7" s="22"/>
      <c r="H7" s="16">
        <v>5</v>
      </c>
      <c r="I7" s="8" t="s">
        <v>25</v>
      </c>
      <c r="J7" s="10"/>
    </row>
    <row r="8" spans="1:13">
      <c r="A8" s="5">
        <v>6</v>
      </c>
      <c r="B8" t="str">
        <f>LEFT(Table3[[#This Row],[EPI_DGN_ANTIC]],1)</f>
        <v>E</v>
      </c>
      <c r="C8" t="str">
        <f>LEFT(Table3[[#This Row],[EPI_DGN_ANTIC]],3)</f>
        <v>EBb</v>
      </c>
      <c r="D8" s="8" t="s">
        <v>26</v>
      </c>
      <c r="E8" s="10">
        <v>1</v>
      </c>
      <c r="F8" s="22" t="s">
        <v>27</v>
      </c>
      <c r="G8" s="22"/>
      <c r="H8" s="16">
        <v>6</v>
      </c>
      <c r="I8" s="8" t="s">
        <v>28</v>
      </c>
      <c r="J8" s="10"/>
    </row>
    <row r="9" spans="1:13">
      <c r="A9" s="5">
        <v>7</v>
      </c>
      <c r="B9" t="str">
        <f>LEFT(Table3[[#This Row],[EPI_DGN_ANTIC]],1)</f>
        <v>E</v>
      </c>
      <c r="C9" t="str">
        <f>LEFT(Table3[[#This Row],[EPI_DGN_ANTIC]],3)</f>
        <v>EBb</v>
      </c>
      <c r="D9" s="8" t="s">
        <v>29</v>
      </c>
      <c r="E9" s="10">
        <v>1</v>
      </c>
      <c r="F9" s="22" t="s">
        <v>30</v>
      </c>
      <c r="G9" s="22"/>
      <c r="H9" s="16">
        <v>7</v>
      </c>
      <c r="I9" s="8" t="s">
        <v>25</v>
      </c>
      <c r="J9" s="10"/>
    </row>
    <row r="10" spans="1:13">
      <c r="A10" s="5">
        <v>8</v>
      </c>
      <c r="B10" t="str">
        <f>LEFT(Table3[[#This Row],[EPI_DGN_ANTIC]],1)</f>
        <v>E</v>
      </c>
      <c r="C10" t="str">
        <f>LEFT(Table3[[#This Row],[EPI_DGN_ANTIC]],3)</f>
        <v>EBc</v>
      </c>
      <c r="D10" s="8" t="s">
        <v>31</v>
      </c>
      <c r="E10" s="10">
        <v>1</v>
      </c>
      <c r="F10" s="22" t="s">
        <v>32</v>
      </c>
      <c r="G10" s="22"/>
      <c r="H10" s="16">
        <v>8</v>
      </c>
      <c r="I10" s="8" t="s">
        <v>33</v>
      </c>
      <c r="J10" s="10"/>
    </row>
    <row r="11" spans="1:13">
      <c r="A11" s="5">
        <v>9</v>
      </c>
      <c r="B11" t="str">
        <f>LEFT(Table3[[#This Row],[EPI_DGN_ANTIC]],1)</f>
        <v>E</v>
      </c>
      <c r="C11" t="str">
        <f>LEFT(Table3[[#This Row],[EPI_DGN_ANTIC]],3)</f>
        <v>EBc</v>
      </c>
      <c r="D11" s="8" t="s">
        <v>34</v>
      </c>
      <c r="E11" s="10">
        <v>1</v>
      </c>
      <c r="F11" s="22" t="s">
        <v>35</v>
      </c>
      <c r="G11" s="22"/>
      <c r="H11" s="16">
        <v>9</v>
      </c>
      <c r="I11" s="8" t="s">
        <v>36</v>
      </c>
      <c r="J11" s="10"/>
    </row>
    <row r="12" spans="1:13">
      <c r="A12" s="5">
        <v>10</v>
      </c>
      <c r="B12" t="str">
        <f>LEFT(Table3[[#This Row],[EPI_DGN_ANTIC]],1)</f>
        <v>E</v>
      </c>
      <c r="C12" t="str">
        <f>LEFT(Table3[[#This Row],[EPI_DGN_ANTIC]],3)</f>
        <v>EBc</v>
      </c>
      <c r="D12" s="8" t="s">
        <v>37</v>
      </c>
      <c r="E12" s="10">
        <v>1</v>
      </c>
      <c r="F12" s="22" t="s">
        <v>38</v>
      </c>
      <c r="G12" s="22"/>
      <c r="H12" s="16">
        <v>10</v>
      </c>
      <c r="I12" s="8" t="s">
        <v>39</v>
      </c>
      <c r="J12" s="10"/>
    </row>
    <row r="13" spans="1:13">
      <c r="A13" s="5">
        <v>11</v>
      </c>
      <c r="B13" t="str">
        <f>LEFT(Table3[[#This Row],[EPI_DGN_ANTIC]],1)</f>
        <v>E</v>
      </c>
      <c r="C13" t="str">
        <f>LEFT(Table3[[#This Row],[EPI_DGN_ANTIC]],3)</f>
        <v>EBg</v>
      </c>
      <c r="D13" s="8" t="s">
        <v>40</v>
      </c>
      <c r="E13" s="10">
        <v>1</v>
      </c>
      <c r="F13" s="22" t="s">
        <v>41</v>
      </c>
      <c r="G13" s="22"/>
      <c r="H13" s="16">
        <v>11</v>
      </c>
      <c r="I13" s="8" t="s">
        <v>42</v>
      </c>
      <c r="J13" s="10"/>
    </row>
    <row r="14" spans="1:13">
      <c r="A14" s="5">
        <v>12</v>
      </c>
      <c r="B14" t="str">
        <f>LEFT(Table3[[#This Row],[EPI_DGN_ANTIC]],1)</f>
        <v>E</v>
      </c>
      <c r="C14" t="str">
        <f>LEFT(Table3[[#This Row],[EPI_DGN_ANTIC]],3)</f>
        <v>EBg</v>
      </c>
      <c r="D14" s="8" t="s">
        <v>43</v>
      </c>
      <c r="E14" s="10">
        <v>1</v>
      </c>
      <c r="F14" s="22" t="s">
        <v>44</v>
      </c>
      <c r="G14" s="22"/>
      <c r="H14" s="16">
        <v>12</v>
      </c>
      <c r="I14" s="8" t="s">
        <v>45</v>
      </c>
      <c r="J14" s="10"/>
    </row>
    <row r="15" spans="1:13">
      <c r="A15" s="5">
        <v>13</v>
      </c>
      <c r="B15" t="str">
        <f>LEFT(Table3[[#This Row],[EPI_DGN_ANTIC]],1)</f>
        <v>E</v>
      </c>
      <c r="C15" t="str">
        <f>LEFT(Table3[[#This Row],[EPI_DGN_ANTIC]],3)</f>
        <v>EBl</v>
      </c>
      <c r="D15" s="8" t="s">
        <v>46</v>
      </c>
      <c r="E15" s="10">
        <v>1</v>
      </c>
      <c r="F15" s="22" t="s">
        <v>47</v>
      </c>
      <c r="G15" s="22"/>
      <c r="H15" s="16">
        <v>13</v>
      </c>
      <c r="I15" s="8" t="s">
        <v>48</v>
      </c>
      <c r="J15" s="10"/>
    </row>
    <row r="16" spans="1:13">
      <c r="A16" s="5">
        <v>14</v>
      </c>
      <c r="B16" t="str">
        <f>LEFT(Table3[[#This Row],[EPI_DGN_ANTIC]],1)</f>
        <v>E</v>
      </c>
      <c r="C16" t="str">
        <f>LEFT(Table3[[#This Row],[EPI_DGN_ANTIC]],3)</f>
        <v>EBm</v>
      </c>
      <c r="D16" s="8" t="s">
        <v>49</v>
      </c>
      <c r="E16" s="10">
        <v>1</v>
      </c>
      <c r="F16" s="22" t="s">
        <v>50</v>
      </c>
      <c r="G16" s="22"/>
      <c r="H16" s="16">
        <v>14</v>
      </c>
      <c r="I16" s="8" t="s">
        <v>51</v>
      </c>
      <c r="J16" s="10"/>
    </row>
    <row r="17" spans="1:14">
      <c r="A17" s="5">
        <v>15</v>
      </c>
      <c r="B17" t="str">
        <f>LEFT(Table3[[#This Row],[EPI_DGN_ANTIC]],1)</f>
        <v>E</v>
      </c>
      <c r="C17" t="str">
        <f>LEFT(Table3[[#This Row],[EPI_DGN_ANTIC]],3)</f>
        <v>EBp</v>
      </c>
      <c r="D17" s="8" t="s">
        <v>52</v>
      </c>
      <c r="E17" s="10">
        <v>1</v>
      </c>
      <c r="F17" s="22" t="s">
        <v>53</v>
      </c>
      <c r="G17" s="22"/>
      <c r="H17" s="16">
        <v>15</v>
      </c>
      <c r="I17" s="8" t="s">
        <v>54</v>
      </c>
      <c r="J17" s="10"/>
    </row>
    <row r="18" spans="1:14">
      <c r="A18" s="5">
        <v>16</v>
      </c>
      <c r="B18" t="str">
        <f>LEFT(Table3[[#This Row],[EPI_DGN_ANTIC]],1)</f>
        <v>E</v>
      </c>
      <c r="C18" t="str">
        <f>LEFT(Table3[[#This Row],[EPI_DGN_ANTIC]],3)</f>
        <v>EBp</v>
      </c>
      <c r="D18" s="8" t="s">
        <v>55</v>
      </c>
      <c r="E18" s="10">
        <v>1</v>
      </c>
      <c r="F18" s="22" t="s">
        <v>56</v>
      </c>
      <c r="G18" s="22"/>
      <c r="H18" s="16">
        <v>16</v>
      </c>
      <c r="I18" s="8" t="s">
        <v>57</v>
      </c>
      <c r="J18" s="10"/>
    </row>
    <row r="19" spans="1:14">
      <c r="A19" s="5">
        <v>17</v>
      </c>
      <c r="B19" t="str">
        <f>LEFT(Table3[[#This Row],[EPI_DGN_ANTIC]],1)</f>
        <v>E</v>
      </c>
      <c r="C19" t="str">
        <f>LEFT(Table3[[#This Row],[EPI_DGN_ANTIC]],3)</f>
        <v>EBp</v>
      </c>
      <c r="D19" s="8" t="s">
        <v>58</v>
      </c>
      <c r="E19" s="10">
        <v>0</v>
      </c>
      <c r="F19" s="22"/>
      <c r="G19" s="22"/>
      <c r="H19" s="16">
        <v>17</v>
      </c>
      <c r="I19" s="8" t="s">
        <v>59</v>
      </c>
      <c r="J19" s="10"/>
    </row>
    <row r="20" spans="1:14">
      <c r="A20" s="5">
        <v>18</v>
      </c>
      <c r="B20" t="str">
        <f>LEFT(Table3[[#This Row],[EPI_DGN_ANTIC]],1)</f>
        <v>E</v>
      </c>
      <c r="C20" t="str">
        <f>LEFT(Table3[[#This Row],[EPI_DGN_ANTIC]],3)</f>
        <v>EBv</v>
      </c>
      <c r="D20" s="8" t="s">
        <v>60</v>
      </c>
      <c r="E20" s="10">
        <v>1</v>
      </c>
      <c r="F20" s="22" t="s">
        <v>61</v>
      </c>
      <c r="G20" s="22"/>
      <c r="H20" s="16">
        <v>18</v>
      </c>
      <c r="I20" s="8" t="s">
        <v>62</v>
      </c>
      <c r="J20" s="10"/>
    </row>
    <row r="21" spans="1:14">
      <c r="A21" s="5">
        <v>19</v>
      </c>
      <c r="B21" t="str">
        <f>LEFT(Table3[[#This Row],[EPI_DGN_ANTIC]],1)</f>
        <v>E</v>
      </c>
      <c r="C21" t="str">
        <f>LEFT(Table3[[#This Row],[EPI_DGN_ANTIC]],3)</f>
        <v>EBv</v>
      </c>
      <c r="D21" s="8" t="s">
        <v>63</v>
      </c>
      <c r="E21" s="10">
        <v>1</v>
      </c>
      <c r="F21" s="22" t="s">
        <v>64</v>
      </c>
      <c r="G21" s="22"/>
      <c r="H21" s="16">
        <v>19</v>
      </c>
      <c r="I21" s="8" t="s">
        <v>65</v>
      </c>
      <c r="J21" s="10"/>
    </row>
    <row r="22" spans="1:14">
      <c r="A22" s="5">
        <v>20</v>
      </c>
      <c r="B22" t="str">
        <f>LEFT(Table3[[#This Row],[EPI_DGN_ANTIC]],1)</f>
        <v>E</v>
      </c>
      <c r="C22" t="str">
        <f>LEFT(Table3[[#This Row],[EPI_DGN_ANTIC]],3)</f>
        <v>EBv</v>
      </c>
      <c r="D22" s="8" t="s">
        <v>66</v>
      </c>
      <c r="E22" s="10">
        <v>1</v>
      </c>
      <c r="F22" s="22" t="s">
        <v>67</v>
      </c>
      <c r="G22" s="22"/>
      <c r="H22" s="16">
        <v>20</v>
      </c>
      <c r="I22" s="8" t="s">
        <v>68</v>
      </c>
      <c r="J22" s="10"/>
    </row>
    <row r="23" spans="1:14">
      <c r="A23" s="5">
        <v>21</v>
      </c>
      <c r="B23" t="str">
        <f>LEFT(Table3[[#This Row],[EPI_DGN_ANTIC]],1)</f>
        <v>E</v>
      </c>
      <c r="C23" t="str">
        <f>LEFT(Table3[[#This Row],[EPI_DGN_ANTIC]],3)</f>
        <v>EBv</v>
      </c>
      <c r="D23" s="8" t="s">
        <v>69</v>
      </c>
      <c r="E23" s="10">
        <v>1</v>
      </c>
      <c r="F23" s="22" t="s">
        <v>70</v>
      </c>
      <c r="G23" s="22"/>
      <c r="H23" s="16">
        <v>21</v>
      </c>
      <c r="I23" s="8" t="s">
        <v>71</v>
      </c>
      <c r="J23" s="10"/>
    </row>
    <row r="24" spans="1:14">
      <c r="A24" s="5">
        <v>22</v>
      </c>
      <c r="B24" t="str">
        <f>LEFT(Table3[[#This Row],[EPI_DGN_ANTIC]],1)</f>
        <v>E</v>
      </c>
      <c r="C24" t="str">
        <f>LEFT(Table3[[#This Row],[EPI_DGN_ANTIC]],3)</f>
        <v>ECb</v>
      </c>
      <c r="D24" s="8" t="s">
        <v>72</v>
      </c>
      <c r="E24" s="10">
        <v>0</v>
      </c>
      <c r="F24" s="22"/>
      <c r="G24" s="22"/>
      <c r="H24" s="16">
        <v>22</v>
      </c>
      <c r="I24" s="8" t="s">
        <v>73</v>
      </c>
      <c r="J24" s="10"/>
    </row>
    <row r="25" spans="1:14">
      <c r="A25" s="5">
        <v>23</v>
      </c>
      <c r="B25" t="str">
        <f>LEFT(Table3[[#This Row],[EPI_DGN_ANTIC]],1)</f>
        <v>E</v>
      </c>
      <c r="C25" t="str">
        <f>LEFT(Table3[[#This Row],[EPI_DGN_ANTIC]],3)</f>
        <v>ECb</v>
      </c>
      <c r="D25" s="8" t="s">
        <v>74</v>
      </c>
      <c r="E25" s="10">
        <v>1</v>
      </c>
      <c r="F25" s="22" t="s">
        <v>75</v>
      </c>
      <c r="G25" s="22"/>
      <c r="H25" s="16">
        <v>23</v>
      </c>
      <c r="I25" s="8" t="s">
        <v>76</v>
      </c>
      <c r="J25" s="10"/>
    </row>
    <row r="26" spans="1:14">
      <c r="A26" s="5">
        <v>24</v>
      </c>
      <c r="B26" t="str">
        <f>LEFT(Table3[[#This Row],[EPI_DGN_ANTIC]],1)</f>
        <v>E</v>
      </c>
      <c r="C26" t="str">
        <f>LEFT(Table3[[#This Row],[EPI_DGN_ANTIC]],3)</f>
        <v>ECc</v>
      </c>
      <c r="D26" s="8" t="s">
        <v>77</v>
      </c>
      <c r="E26" s="10">
        <v>1</v>
      </c>
      <c r="F26" s="22" t="s">
        <v>78</v>
      </c>
      <c r="G26" s="22"/>
      <c r="H26" s="16">
        <v>24</v>
      </c>
      <c r="I26" s="8" t="s">
        <v>79</v>
      </c>
      <c r="J26" s="10"/>
    </row>
    <row r="27" spans="1:14">
      <c r="A27" s="5">
        <v>25</v>
      </c>
      <c r="B27" t="str">
        <f>LEFT(Table3[[#This Row],[EPI_DGN_ANTIC]],1)</f>
        <v>E</v>
      </c>
      <c r="C27" t="str">
        <f>LEFT(Table3[[#This Row],[EPI_DGN_ANTIC]],3)</f>
        <v>ECc</v>
      </c>
      <c r="D27" s="8" t="s">
        <v>80</v>
      </c>
      <c r="E27" s="10">
        <v>1</v>
      </c>
      <c r="F27" s="22" t="s">
        <v>81</v>
      </c>
      <c r="G27" s="22"/>
      <c r="H27" s="16">
        <v>25</v>
      </c>
      <c r="I27" s="8" t="s">
        <v>82</v>
      </c>
      <c r="J27" s="10"/>
    </row>
    <row r="28" spans="1:14">
      <c r="A28" s="5">
        <v>26</v>
      </c>
      <c r="B28" t="str">
        <f>LEFT(Table3[[#This Row],[EPI_DGN_ANTIC]],1)</f>
        <v>E</v>
      </c>
      <c r="C28" t="str">
        <f>LEFT(Table3[[#This Row],[EPI_DGN_ANTIC]],3)</f>
        <v>ECd</v>
      </c>
      <c r="D28" s="8" t="s">
        <v>83</v>
      </c>
      <c r="E28" s="10">
        <v>1</v>
      </c>
      <c r="F28" s="22" t="s">
        <v>84</v>
      </c>
      <c r="G28" s="22"/>
      <c r="H28" s="16">
        <v>26</v>
      </c>
      <c r="I28" s="8" t="s">
        <v>85</v>
      </c>
      <c r="J28" s="10"/>
    </row>
    <row r="29" spans="1:14">
      <c r="A29" s="5">
        <v>27</v>
      </c>
      <c r="B29" t="str">
        <f>LEFT(Table3[[#This Row],[EPI_DGN_ANTIC]],1)</f>
        <v>E</v>
      </c>
      <c r="C29" t="str">
        <f>LEFT(Table3[[#This Row],[EPI_DGN_ANTIC]],3)</f>
        <v>ECg</v>
      </c>
      <c r="D29" s="8" t="s">
        <v>86</v>
      </c>
      <c r="E29" s="10">
        <v>1</v>
      </c>
      <c r="F29" s="22" t="s">
        <v>87</v>
      </c>
      <c r="G29" s="22"/>
      <c r="H29" s="16">
        <v>27</v>
      </c>
      <c r="I29" s="8" t="s">
        <v>88</v>
      </c>
      <c r="J29" s="10"/>
      <c r="L29" t="s">
        <v>89</v>
      </c>
      <c r="M29" t="s">
        <v>90</v>
      </c>
      <c r="N29" t="s">
        <v>91</v>
      </c>
    </row>
    <row r="30" spans="1:14">
      <c r="A30" s="5">
        <v>28</v>
      </c>
      <c r="B30" t="str">
        <f>LEFT(Table3[[#This Row],[EPI_DGN_ANTIC]],1)</f>
        <v>E</v>
      </c>
      <c r="C30" t="str">
        <f>LEFT(Table3[[#This Row],[EPI_DGN_ANTIC]],3)</f>
        <v>ECg</v>
      </c>
      <c r="D30" s="8" t="s">
        <v>92</v>
      </c>
      <c r="E30" s="10">
        <v>1</v>
      </c>
      <c r="F30" s="22" t="s">
        <v>93</v>
      </c>
      <c r="G30" s="22"/>
      <c r="H30" s="16">
        <v>28</v>
      </c>
      <c r="I30" s="8" t="s">
        <v>94</v>
      </c>
      <c r="J30" s="10"/>
    </row>
    <row r="31" spans="1:14">
      <c r="A31" s="5">
        <v>29</v>
      </c>
      <c r="B31" t="str">
        <f>LEFT(Table3[[#This Row],[EPI_DGN_ANTIC]],1)</f>
        <v>E</v>
      </c>
      <c r="C31" t="str">
        <f>LEFT(Table3[[#This Row],[EPI_DGN_ANTIC]],3)</f>
        <v>ECg</v>
      </c>
      <c r="D31" s="8" t="s">
        <v>95</v>
      </c>
      <c r="E31" s="10">
        <v>1</v>
      </c>
      <c r="F31" s="22" t="s">
        <v>87</v>
      </c>
      <c r="G31" s="22"/>
      <c r="H31" s="16">
        <v>29</v>
      </c>
      <c r="I31" s="8" t="s">
        <v>96</v>
      </c>
      <c r="J31" s="10"/>
    </row>
    <row r="32" spans="1:14">
      <c r="A32" s="5">
        <v>30</v>
      </c>
      <c r="B32" t="str">
        <f>LEFT(Table3[[#This Row],[EPI_DGN_ANTIC]],1)</f>
        <v>E</v>
      </c>
      <c r="C32" t="str">
        <f>LEFT(Table3[[#This Row],[EPI_DGN_ANTIC]],3)</f>
        <v>ECl</v>
      </c>
      <c r="D32" s="8" t="s">
        <v>97</v>
      </c>
      <c r="E32" s="10">
        <v>1</v>
      </c>
      <c r="F32" s="22" t="s">
        <v>98</v>
      </c>
      <c r="G32" s="22"/>
      <c r="H32" s="16">
        <v>30</v>
      </c>
      <c r="I32" s="8" t="s">
        <v>88</v>
      </c>
      <c r="J32" s="10"/>
    </row>
    <row r="33" spans="1:10">
      <c r="A33" s="5">
        <v>31</v>
      </c>
      <c r="B33" t="str">
        <f>LEFT(Table3[[#This Row],[EPI_DGN_ANTIC]],1)</f>
        <v>E</v>
      </c>
      <c r="C33" t="str">
        <f>LEFT(Table3[[#This Row],[EPI_DGN_ANTIC]],3)</f>
        <v>ECm</v>
      </c>
      <c r="D33" s="8" t="s">
        <v>99</v>
      </c>
      <c r="E33" s="10">
        <v>1</v>
      </c>
      <c r="F33" s="22" t="s">
        <v>100</v>
      </c>
      <c r="G33" s="22"/>
      <c r="H33" s="16">
        <v>31</v>
      </c>
      <c r="I33" s="8" t="s">
        <v>101</v>
      </c>
      <c r="J33" s="10"/>
    </row>
    <row r="34" spans="1:10">
      <c r="A34" s="5">
        <v>32</v>
      </c>
      <c r="B34" t="str">
        <f>LEFT(Table3[[#This Row],[EPI_DGN_ANTIC]],1)</f>
        <v>E</v>
      </c>
      <c r="C34" t="str">
        <f>LEFT(Table3[[#This Row],[EPI_DGN_ANTIC]],3)</f>
        <v>ECm</v>
      </c>
      <c r="D34" s="8" t="s">
        <v>102</v>
      </c>
      <c r="E34" s="10">
        <v>1</v>
      </c>
      <c r="F34" s="22" t="s">
        <v>84</v>
      </c>
      <c r="G34" s="22"/>
      <c r="H34" s="16">
        <v>32</v>
      </c>
      <c r="I34" s="8" t="s">
        <v>103</v>
      </c>
      <c r="J34" s="10"/>
    </row>
    <row r="35" spans="1:10">
      <c r="A35" s="5">
        <v>33</v>
      </c>
      <c r="B35" t="str">
        <f>LEFT(Table3[[#This Row],[EPI_DGN_ANTIC]],1)</f>
        <v>E</v>
      </c>
      <c r="C35" t="str">
        <f>LEFT(Table3[[#This Row],[EPI_DGN_ANTIC]],3)</f>
        <v>ECt</v>
      </c>
      <c r="D35" s="8" t="s">
        <v>104</v>
      </c>
      <c r="E35" s="10">
        <v>0</v>
      </c>
      <c r="F35" s="22"/>
      <c r="G35" s="22"/>
      <c r="H35" s="16">
        <v>33</v>
      </c>
      <c r="I35" s="8" t="s">
        <v>105</v>
      </c>
      <c r="J35" s="10"/>
    </row>
    <row r="36" spans="1:10">
      <c r="A36" s="5">
        <v>34</v>
      </c>
      <c r="B36" t="str">
        <f>LEFT(Table3[[#This Row],[EPI_DGN_ANTIC]],1)</f>
        <v>E</v>
      </c>
      <c r="C36" t="str">
        <f>LEFT(Table3[[#This Row],[EPI_DGN_ANTIC]],3)</f>
        <v>ECL</v>
      </c>
      <c r="D36" s="8" t="s">
        <v>106</v>
      </c>
      <c r="E36" s="10">
        <v>1</v>
      </c>
      <c r="F36" s="22" t="s">
        <v>93</v>
      </c>
      <c r="G36" s="22"/>
      <c r="H36" s="16">
        <v>34</v>
      </c>
      <c r="I36" s="8" t="s">
        <v>107</v>
      </c>
      <c r="J36" s="10"/>
    </row>
    <row r="37" spans="1:10">
      <c r="A37" s="5">
        <v>35</v>
      </c>
      <c r="B37" t="str">
        <f>LEFT(Table3[[#This Row],[EPI_DGN_ANTIC]],1)</f>
        <v>E</v>
      </c>
      <c r="C37" t="str">
        <f>LEFT(Table3[[#This Row],[EPI_DGN_ANTIC]],2)</f>
        <v>EI</v>
      </c>
      <c r="D37" s="8" t="s">
        <v>108</v>
      </c>
      <c r="E37" s="10">
        <v>0</v>
      </c>
      <c r="F37" s="22"/>
      <c r="G37" s="22"/>
      <c r="H37" s="16">
        <v>35</v>
      </c>
      <c r="I37" s="8" t="s">
        <v>109</v>
      </c>
      <c r="J37" s="10"/>
    </row>
    <row r="38" spans="1:10">
      <c r="A38" s="5">
        <v>36</v>
      </c>
      <c r="B38" t="str">
        <f>LEFT(Table3[[#This Row],[EPI_DGN_ANTIC]],1)</f>
        <v>E</v>
      </c>
      <c r="C38" t="str">
        <f>LEFT(Table3[[#This Row],[EPI_DGN_ANTIC]],2)</f>
        <v>EI</v>
      </c>
      <c r="D38" s="8" t="s">
        <v>110</v>
      </c>
      <c r="E38" s="10">
        <v>1</v>
      </c>
      <c r="F38" s="22" t="s">
        <v>111</v>
      </c>
      <c r="G38" s="22"/>
      <c r="H38" s="16">
        <v>36</v>
      </c>
      <c r="I38" s="8" t="s">
        <v>112</v>
      </c>
      <c r="J38" s="10"/>
    </row>
    <row r="39" spans="1:10">
      <c r="A39" s="5">
        <v>37</v>
      </c>
      <c r="B39" t="str">
        <f>LEFT(Table3[[#This Row],[EPI_DGN_ANTIC]],1)</f>
        <v>E</v>
      </c>
      <c r="C39" t="str">
        <f>LEFT(Table3[[#This Row],[EPI_DGN_ANTIC]],2)</f>
        <v>EI</v>
      </c>
      <c r="D39" s="8" t="s">
        <v>113</v>
      </c>
      <c r="E39" s="10">
        <v>1</v>
      </c>
      <c r="F39" s="22" t="s">
        <v>111</v>
      </c>
      <c r="G39" s="22"/>
      <c r="H39" s="16">
        <v>37</v>
      </c>
      <c r="I39" s="8" t="s">
        <v>114</v>
      </c>
      <c r="J39" s="10"/>
    </row>
    <row r="40" spans="1:10">
      <c r="A40" s="5">
        <v>38</v>
      </c>
      <c r="B40" t="str">
        <f>LEFT(Table3[[#This Row],[EPI_DGN_ANTIC]],1)</f>
        <v>E</v>
      </c>
      <c r="C40" t="str">
        <f>LEFT(Table3[[#This Row],[EPI_DGN_ANTIC]],2)</f>
        <v>EI</v>
      </c>
      <c r="D40" s="8" t="s">
        <v>115</v>
      </c>
      <c r="E40" s="10">
        <v>1</v>
      </c>
      <c r="F40" s="22" t="s">
        <v>116</v>
      </c>
      <c r="G40" s="22"/>
      <c r="H40" s="16">
        <v>38</v>
      </c>
      <c r="I40" s="8" t="s">
        <v>117</v>
      </c>
      <c r="J40" s="10"/>
    </row>
    <row r="41" spans="1:10">
      <c r="A41" s="5">
        <v>39</v>
      </c>
      <c r="B41" t="str">
        <f>LEFT(Table3[[#This Row],[EPI_DGN_ANTIC]],1)</f>
        <v>E</v>
      </c>
      <c r="C41" t="str">
        <f>LEFT(Table3[[#This Row],[EPI_DGN_ANTIC]],2)</f>
        <v>EI</v>
      </c>
      <c r="D41" s="8" t="s">
        <v>118</v>
      </c>
      <c r="E41" s="10">
        <v>1</v>
      </c>
      <c r="F41" s="22" t="s">
        <v>119</v>
      </c>
      <c r="G41" s="22"/>
      <c r="H41" s="16">
        <v>39</v>
      </c>
      <c r="I41" s="8" t="s">
        <v>120</v>
      </c>
      <c r="J41" s="10"/>
    </row>
    <row r="42" spans="1:10">
      <c r="A42" s="5">
        <v>40</v>
      </c>
      <c r="B42" t="str">
        <f>LEFT(Table3[[#This Row],[EPI_DGN_ANTIC]],1)</f>
        <v>E</v>
      </c>
      <c r="C42" t="str">
        <f>LEFT(Table3[[#This Row],[EPI_DGN_ANTIC]],2)</f>
        <v>EI</v>
      </c>
      <c r="D42" s="8" t="s">
        <v>121</v>
      </c>
      <c r="E42" s="10">
        <v>1</v>
      </c>
      <c r="F42" s="22" t="s">
        <v>111</v>
      </c>
      <c r="G42" s="22"/>
      <c r="H42" s="16">
        <v>40</v>
      </c>
      <c r="I42" s="8" t="s">
        <v>122</v>
      </c>
      <c r="J42" s="10"/>
    </row>
    <row r="43" spans="1:10">
      <c r="A43" s="5">
        <v>41</v>
      </c>
      <c r="B43" t="str">
        <f>LEFT(Table3[[#This Row],[EPI_DGN_ANTIC]],1)</f>
        <v>E</v>
      </c>
      <c r="C43" t="str">
        <f>LEFT(Table3[[#This Row],[EPI_DGN_ANTIC]],3)</f>
        <v>EIC</v>
      </c>
      <c r="D43" s="8" t="s">
        <v>123</v>
      </c>
      <c r="E43" s="10">
        <v>1</v>
      </c>
      <c r="F43" s="22" t="s">
        <v>124</v>
      </c>
      <c r="G43" s="22"/>
      <c r="H43" s="16">
        <v>41</v>
      </c>
      <c r="I43" s="8" t="s">
        <v>125</v>
      </c>
      <c r="J43" s="10"/>
    </row>
    <row r="44" spans="1:10">
      <c r="A44" s="5">
        <v>42</v>
      </c>
      <c r="B44" t="str">
        <f>LEFT(Table3[[#This Row],[EPI_DGN_ANTIC]],1)</f>
        <v>E</v>
      </c>
      <c r="C44" t="str">
        <f>LEFT(Table3[[#This Row],[EPI_DGN_ANTIC]],3)</f>
        <v>EIC</v>
      </c>
      <c r="D44" s="8" t="s">
        <v>126</v>
      </c>
      <c r="E44" s="10">
        <v>1</v>
      </c>
      <c r="F44" s="22" t="s">
        <v>124</v>
      </c>
      <c r="G44" s="22"/>
      <c r="H44" s="16">
        <v>42</v>
      </c>
      <c r="I44" s="8" t="s">
        <v>127</v>
      </c>
      <c r="J44" s="10"/>
    </row>
    <row r="45" spans="1:10">
      <c r="A45" s="5">
        <v>43</v>
      </c>
      <c r="B45" t="str">
        <f>LEFT(Table3[[#This Row],[EPI_DGN_ANTIC]],1)</f>
        <v>K</v>
      </c>
      <c r="C45" t="str">
        <f>LEFT(Table3[[#This Row],[EPI_DGN_ANTIC]],2)</f>
        <v>K</v>
      </c>
      <c r="D45" s="8" t="s">
        <v>128</v>
      </c>
      <c r="E45" s="10">
        <v>0</v>
      </c>
      <c r="F45" s="22"/>
      <c r="G45" s="22"/>
      <c r="H45" s="16">
        <v>43</v>
      </c>
      <c r="I45" s="8" t="s">
        <v>129</v>
      </c>
      <c r="J45" s="10"/>
    </row>
    <row r="46" spans="1:10">
      <c r="A46" s="5">
        <v>44</v>
      </c>
      <c r="B46" t="str">
        <f>LEFT(Table3[[#This Row],[EPI_DGN_ANTIC]],1)</f>
        <v>K</v>
      </c>
      <c r="C46" t="str">
        <f>LEFT(Table3[[#This Row],[EPI_DGN_ANTIC]],2)</f>
        <v>K</v>
      </c>
      <c r="D46" s="8" t="s">
        <v>128</v>
      </c>
      <c r="E46" s="10">
        <v>0</v>
      </c>
      <c r="F46" s="22"/>
      <c r="G46" s="22"/>
      <c r="H46" s="16">
        <v>44</v>
      </c>
      <c r="I46" s="8" t="s">
        <v>130</v>
      </c>
      <c r="J46" s="10"/>
    </row>
    <row r="47" spans="1:10">
      <c r="A47" s="5">
        <v>45</v>
      </c>
      <c r="B47" t="str">
        <f>LEFT(Table3[[#This Row],[EPI_DGN_ANTIC]],1)</f>
        <v>K</v>
      </c>
      <c r="C47" t="str">
        <f>LEFT(Table3[[#This Row],[EPI_DGN_ANTIC]],2)</f>
        <v>KC</v>
      </c>
      <c r="D47" s="8" t="s">
        <v>131</v>
      </c>
      <c r="E47" s="10">
        <v>1</v>
      </c>
      <c r="F47" s="22" t="s">
        <v>132</v>
      </c>
      <c r="G47" s="22"/>
      <c r="H47" s="16">
        <v>45</v>
      </c>
      <c r="I47" s="8" t="s">
        <v>133</v>
      </c>
      <c r="J47" s="10"/>
    </row>
    <row r="48" spans="1:10">
      <c r="A48" s="5">
        <v>46</v>
      </c>
      <c r="B48" t="str">
        <f>LEFT(Table3[[#This Row],[EPI_DGN_ANTIC]],1)</f>
        <v>K</v>
      </c>
      <c r="C48" t="str">
        <f>LEFT(Table3[[#This Row],[EPI_DGN_ANTIC]],2)</f>
        <v>KC</v>
      </c>
      <c r="D48" s="8" t="s">
        <v>134</v>
      </c>
      <c r="E48" s="10">
        <v>1</v>
      </c>
      <c r="F48" s="22" t="s">
        <v>135</v>
      </c>
      <c r="G48" t="s">
        <v>90</v>
      </c>
      <c r="H48" s="16">
        <v>46</v>
      </c>
      <c r="I48" s="8" t="s">
        <v>136</v>
      </c>
      <c r="J48" s="10"/>
    </row>
    <row r="49" spans="1:10">
      <c r="A49" s="5">
        <v>47</v>
      </c>
      <c r="B49" t="str">
        <f>LEFT(Table3[[#This Row],[EPI_DGN_ANTIC]],1)</f>
        <v>K</v>
      </c>
      <c r="C49" t="str">
        <f>LEFT(Table3[[#This Row],[EPI_DGN_ANTIC]],3)</f>
        <v>KCM</v>
      </c>
      <c r="D49" s="8" t="s">
        <v>137</v>
      </c>
      <c r="E49" s="10">
        <v>0</v>
      </c>
      <c r="F49" s="22"/>
      <c r="G49" s="22"/>
      <c r="H49" s="16">
        <v>47</v>
      </c>
      <c r="I49" s="8" t="s">
        <v>138</v>
      </c>
      <c r="J49" s="10"/>
    </row>
    <row r="50" spans="1:10">
      <c r="A50" s="5">
        <v>48</v>
      </c>
      <c r="B50" t="str">
        <f>LEFT(Table3[[#This Row],[EPI_DGN_ANTIC]],1)</f>
        <v>K</v>
      </c>
      <c r="C50" t="str">
        <f>LEFT(Table3[[#This Row],[EPI_DGN_ANTIC]],3)</f>
        <v>KCM</v>
      </c>
      <c r="D50" s="8" t="s">
        <v>137</v>
      </c>
      <c r="E50" s="10">
        <v>1</v>
      </c>
      <c r="F50" s="22" t="s">
        <v>139</v>
      </c>
      <c r="G50" s="22"/>
      <c r="H50" s="16">
        <v>48</v>
      </c>
      <c r="I50" s="8" t="s">
        <v>140</v>
      </c>
      <c r="J50" s="10"/>
    </row>
    <row r="51" spans="1:10">
      <c r="A51" s="5">
        <v>49</v>
      </c>
      <c r="B51" t="str">
        <f>LEFT(Table3[[#This Row],[EPI_DGN_ANTIC]],1)</f>
        <v>K</v>
      </c>
      <c r="C51" t="str">
        <f>LEFT(Table3[[#This Row],[EPI_DGN_ANTIC]],3)</f>
        <v>KCM</v>
      </c>
      <c r="D51" s="8" t="s">
        <v>141</v>
      </c>
      <c r="E51" s="10">
        <v>1</v>
      </c>
      <c r="F51" s="22" t="s">
        <v>142</v>
      </c>
      <c r="G51" s="22"/>
      <c r="H51" s="16">
        <v>49</v>
      </c>
      <c r="I51" s="8" t="s">
        <v>143</v>
      </c>
      <c r="J51" s="10"/>
    </row>
    <row r="52" spans="1:10">
      <c r="A52" s="5">
        <v>50</v>
      </c>
      <c r="B52" t="str">
        <f>LEFT(Table3[[#This Row],[EPI_DGN_ANTIC]],1)</f>
        <v>K</v>
      </c>
      <c r="C52" t="str">
        <f>LEFT(Table3[[#This Row],[EPI_DGN_ANTIC]],3)</f>
        <v>KCS</v>
      </c>
      <c r="D52" s="8" t="s">
        <v>144</v>
      </c>
      <c r="E52" s="10">
        <v>1</v>
      </c>
      <c r="F52" s="22" t="s">
        <v>145</v>
      </c>
      <c r="G52" s="22"/>
      <c r="H52" s="16">
        <v>50</v>
      </c>
      <c r="I52" s="8" t="s">
        <v>146</v>
      </c>
      <c r="J52" s="10"/>
    </row>
    <row r="53" spans="1:10">
      <c r="A53" s="5">
        <v>51</v>
      </c>
      <c r="B53" t="str">
        <f>LEFT(Table3[[#This Row],[EPI_DGN_ANTIC]],1)</f>
        <v>K</v>
      </c>
      <c r="C53" t="str">
        <f>LEFT(Table3[[#This Row],[EPI_DGN_ANTIC]],2)</f>
        <v>KC</v>
      </c>
      <c r="D53" s="8" t="s">
        <v>147</v>
      </c>
      <c r="E53" s="10">
        <v>0</v>
      </c>
      <c r="F53" s="22"/>
      <c r="G53" s="22"/>
      <c r="H53" s="16">
        <v>51</v>
      </c>
      <c r="I53" s="8" t="s">
        <v>148</v>
      </c>
      <c r="J53" s="10"/>
    </row>
    <row r="54" spans="1:10">
      <c r="A54" s="5">
        <v>52</v>
      </c>
      <c r="B54" t="str">
        <f>LEFT(Table3[[#This Row],[EPI_DGN_ANTIC]],1)</f>
        <v>K</v>
      </c>
      <c r="C54" t="str">
        <f>LEFT(Table3[[#This Row],[EPI_DGN_ANTIC]],3)</f>
        <v>KCS</v>
      </c>
      <c r="D54" s="8" t="s">
        <v>149</v>
      </c>
      <c r="E54" s="10">
        <v>1</v>
      </c>
      <c r="F54" s="22" t="s">
        <v>150</v>
      </c>
      <c r="G54" s="22"/>
      <c r="H54" s="16">
        <v>52</v>
      </c>
      <c r="I54" s="8" t="s">
        <v>151</v>
      </c>
      <c r="J54" s="10"/>
    </row>
    <row r="55" spans="1:10">
      <c r="A55" s="5">
        <v>53</v>
      </c>
      <c r="B55" t="str">
        <f>LEFT(Table3[[#This Row],[EPI_DGN_ANTIC]],1)</f>
        <v>K</v>
      </c>
      <c r="C55" t="str">
        <f>LEFT(Table3[[#This Row],[EPI_DGN_ANTIC]],3)</f>
        <v>KCS</v>
      </c>
      <c r="D55" s="8" t="s">
        <v>152</v>
      </c>
      <c r="E55" s="10">
        <v>1</v>
      </c>
      <c r="F55" s="22" t="s">
        <v>153</v>
      </c>
      <c r="G55" s="22"/>
      <c r="H55" s="16">
        <v>53</v>
      </c>
      <c r="I55" s="8" t="s">
        <v>154</v>
      </c>
      <c r="J55" s="10"/>
    </row>
    <row r="56" spans="1:10">
      <c r="A56" s="5">
        <v>54</v>
      </c>
      <c r="B56" t="str">
        <f>LEFT(Table3[[#This Row],[EPI_DGN_ANTIC]],1)</f>
        <v>K</v>
      </c>
      <c r="C56" t="str">
        <f>LEFT(Table3[[#This Row],[EPI_DGN_ANTIC]],3)</f>
        <v>KCS</v>
      </c>
      <c r="D56" s="8" t="s">
        <v>155</v>
      </c>
      <c r="E56" s="10">
        <v>1</v>
      </c>
      <c r="F56" s="22" t="s">
        <v>156</v>
      </c>
      <c r="G56" s="22"/>
      <c r="H56" s="16">
        <v>54</v>
      </c>
      <c r="I56" s="8" t="s">
        <v>157</v>
      </c>
      <c r="J56" s="10"/>
    </row>
    <row r="57" spans="1:10">
      <c r="A57" s="5">
        <v>55</v>
      </c>
      <c r="B57" t="str">
        <f>LEFT(Table3[[#This Row],[EPI_DGN_ANTIC]],1)</f>
        <v>K</v>
      </c>
      <c r="C57" t="str">
        <f>LEFT(Table3[[#This Row],[EPI_DGN_ANTIC]],3)</f>
        <v>KCT</v>
      </c>
      <c r="D57" s="8" t="s">
        <v>158</v>
      </c>
      <c r="E57" s="10">
        <v>1</v>
      </c>
      <c r="F57" s="22" t="s">
        <v>159</v>
      </c>
      <c r="G57" s="22"/>
      <c r="H57" s="16">
        <v>55</v>
      </c>
      <c r="I57" s="8" t="s">
        <v>160</v>
      </c>
      <c r="J57" s="10"/>
    </row>
    <row r="58" spans="1:10">
      <c r="A58" s="5">
        <v>56</v>
      </c>
      <c r="B58" t="str">
        <f>LEFT(Table3[[#This Row],[EPI_DGN_ANTIC]],1)</f>
        <v>K</v>
      </c>
      <c r="C58" t="str">
        <f>LEFT(Table3[[#This Row],[EPI_DGN_ANTIC]],3)</f>
        <v>KCS</v>
      </c>
      <c r="D58" s="8" t="s">
        <v>161</v>
      </c>
      <c r="E58" s="10">
        <v>1</v>
      </c>
      <c r="F58" s="22" t="s">
        <v>156</v>
      </c>
      <c r="G58" t="s">
        <v>90</v>
      </c>
      <c r="H58" s="16">
        <v>56</v>
      </c>
      <c r="I58" s="8" t="s">
        <v>162</v>
      </c>
      <c r="J58" s="10"/>
    </row>
    <row r="59" spans="1:10">
      <c r="A59" s="5">
        <v>57</v>
      </c>
      <c r="B59" t="str">
        <f>LEFT(Table3[[#This Row],[EPI_DGN_ANTIC]],1)</f>
        <v>K</v>
      </c>
      <c r="C59" t="str">
        <f>LEFT(Table3[[#This Row],[EPI_DGN_ANTIC]],3)</f>
        <v>KCS</v>
      </c>
      <c r="D59" s="8" t="s">
        <v>163</v>
      </c>
      <c r="E59" s="10">
        <v>0</v>
      </c>
      <c r="F59" s="22"/>
      <c r="G59" s="22"/>
      <c r="H59" s="16">
        <v>57</v>
      </c>
      <c r="I59" s="8" t="s">
        <v>164</v>
      </c>
      <c r="J59" s="10"/>
    </row>
    <row r="60" spans="1:10">
      <c r="A60" s="5">
        <v>58</v>
      </c>
      <c r="B60" t="str">
        <f>LEFT(Table3[[#This Row],[EPI_DGN_ANTIC]],1)</f>
        <v>K</v>
      </c>
      <c r="C60" t="str">
        <f>LEFT(Table3[[#This Row],[EPI_DGN_ANTIC]],2)</f>
        <v>KM</v>
      </c>
      <c r="D60" s="8" t="s">
        <v>165</v>
      </c>
      <c r="E60" s="10">
        <v>0</v>
      </c>
      <c r="F60" s="22"/>
      <c r="G60" s="22"/>
      <c r="H60" s="16">
        <v>58</v>
      </c>
      <c r="I60" s="8" t="s">
        <v>166</v>
      </c>
      <c r="J60" s="10"/>
    </row>
    <row r="61" spans="1:10">
      <c r="A61" s="5">
        <v>59</v>
      </c>
      <c r="B61" t="str">
        <f>LEFT(Table3[[#This Row],[EPI_DGN_ANTIC]],1)</f>
        <v>K</v>
      </c>
      <c r="C61" t="str">
        <f>LEFT(Table3[[#This Row],[EPI_DGN_ANTIC]],2)</f>
        <v>KM</v>
      </c>
      <c r="D61" s="8" t="s">
        <v>167</v>
      </c>
      <c r="E61" s="10">
        <v>1</v>
      </c>
      <c r="F61" s="22" t="s">
        <v>168</v>
      </c>
      <c r="G61" t="s">
        <v>90</v>
      </c>
      <c r="H61" s="16">
        <v>59</v>
      </c>
      <c r="I61" s="8" t="s">
        <v>169</v>
      </c>
      <c r="J61" s="10"/>
    </row>
    <row r="62" spans="1:10">
      <c r="A62" s="5">
        <v>60</v>
      </c>
      <c r="B62" t="str">
        <f>LEFT(Table3[[#This Row],[EPI_DGN_ANTIC]],1)</f>
        <v>K</v>
      </c>
      <c r="C62" t="str">
        <f>LEFT(Table3[[#This Row],[EPI_DGN_ANTIC]],2)</f>
        <v>KM</v>
      </c>
      <c r="D62" s="8" t="s">
        <v>170</v>
      </c>
      <c r="E62" s="10">
        <v>1</v>
      </c>
      <c r="F62" s="22" t="s">
        <v>171</v>
      </c>
      <c r="G62" t="s">
        <v>90</v>
      </c>
      <c r="H62" s="16">
        <v>60</v>
      </c>
      <c r="I62" s="8" t="s">
        <v>172</v>
      </c>
      <c r="J62" s="10"/>
    </row>
    <row r="63" spans="1:10">
      <c r="A63" s="5">
        <v>61</v>
      </c>
      <c r="B63" t="str">
        <f>LEFT(Table3[[#This Row],[EPI_DGN_ANTIC]],1)</f>
        <v>K</v>
      </c>
      <c r="C63" t="str">
        <f>LEFT(Table3[[#This Row],[EPI_DGN_ANTIC]],2)</f>
        <v>KM</v>
      </c>
      <c r="D63" s="8" t="s">
        <v>173</v>
      </c>
      <c r="E63" s="10">
        <v>1</v>
      </c>
      <c r="F63" s="22" t="s">
        <v>168</v>
      </c>
      <c r="G63" s="22"/>
      <c r="H63" s="16">
        <v>61</v>
      </c>
      <c r="I63" s="8" t="s">
        <v>174</v>
      </c>
      <c r="J63" s="10"/>
    </row>
    <row r="64" spans="1:10">
      <c r="A64" s="5">
        <v>62</v>
      </c>
      <c r="B64" t="str">
        <f>LEFT(Table3[[#This Row],[EPI_DGN_ANTIC]],1)</f>
        <v>K</v>
      </c>
      <c r="C64" t="str">
        <f>LEFT(Table3[[#This Row],[EPI_DGN_ANTIC]],2)</f>
        <v>KM</v>
      </c>
      <c r="D64" s="8" t="s">
        <v>175</v>
      </c>
      <c r="E64" s="10">
        <v>1</v>
      </c>
      <c r="F64" s="22" t="s">
        <v>176</v>
      </c>
      <c r="G64" s="22"/>
      <c r="H64" s="16">
        <v>62</v>
      </c>
      <c r="I64" s="8" t="s">
        <v>177</v>
      </c>
      <c r="J64" s="10"/>
    </row>
    <row r="65" spans="1:10">
      <c r="A65" s="5">
        <v>63</v>
      </c>
      <c r="B65" t="str">
        <f>LEFT(Table3[[#This Row],[EPI_DGN_ANTIC]],1)</f>
        <v>K</v>
      </c>
      <c r="C65" t="str">
        <f>LEFT(Table3[[#This Row],[EPI_DGN_ANTIC]],2)</f>
        <v>KM</v>
      </c>
      <c r="D65" s="8" t="s">
        <v>178</v>
      </c>
      <c r="E65" s="10">
        <v>1</v>
      </c>
      <c r="F65" t="s">
        <v>179</v>
      </c>
      <c r="G65" t="s">
        <v>90</v>
      </c>
      <c r="H65" s="16">
        <v>63</v>
      </c>
      <c r="I65" s="8" t="s">
        <v>180</v>
      </c>
      <c r="J65" s="10"/>
    </row>
    <row r="66" spans="1:10">
      <c r="A66" s="5">
        <v>64</v>
      </c>
      <c r="B66" t="str">
        <f>LEFT(Table3[[#This Row],[EPI_DGN_ANTIC]],1)</f>
        <v>K</v>
      </c>
      <c r="C66" t="str">
        <f>LEFT(Table3[[#This Row],[EPI_DGN_ANTIC]],2)</f>
        <v>KM</v>
      </c>
      <c r="D66" s="8" t="s">
        <v>181</v>
      </c>
      <c r="E66" s="10">
        <v>1</v>
      </c>
      <c r="F66" t="s">
        <v>182</v>
      </c>
      <c r="H66" s="16">
        <v>64</v>
      </c>
      <c r="I66" s="8" t="s">
        <v>183</v>
      </c>
      <c r="J66" s="10"/>
    </row>
    <row r="67" spans="1:10">
      <c r="A67" s="5">
        <v>65</v>
      </c>
      <c r="B67" t="str">
        <f>LEFT(Table3[[#This Row],[EPI_DGN_ANTIC]],1)</f>
        <v>K</v>
      </c>
      <c r="C67" t="str">
        <f>LEFT(Table3[[#This Row],[EPI_DGN_ANTIC]],2)</f>
        <v>KM</v>
      </c>
      <c r="D67" s="8" t="s">
        <v>184</v>
      </c>
      <c r="E67" s="10">
        <v>1</v>
      </c>
      <c r="F67" s="22" t="s">
        <v>185</v>
      </c>
      <c r="G67" s="22"/>
      <c r="H67" s="16">
        <v>65</v>
      </c>
      <c r="I67" s="8" t="s">
        <v>180</v>
      </c>
      <c r="J67" s="10"/>
    </row>
    <row r="68" spans="1:10">
      <c r="A68" s="5">
        <v>66</v>
      </c>
      <c r="B68" t="str">
        <f>LEFT(Table3[[#This Row],[EPI_DGN_ANTIC]],1)</f>
        <v>K</v>
      </c>
      <c r="C68" t="str">
        <f>LEFT(Table3[[#This Row],[EPI_DGN_ANTIC]],2)</f>
        <v>KM</v>
      </c>
      <c r="D68" s="8" t="s">
        <v>186</v>
      </c>
      <c r="E68" s="10">
        <v>1</v>
      </c>
      <c r="F68" s="22" t="s">
        <v>187</v>
      </c>
      <c r="G68" t="s">
        <v>90</v>
      </c>
      <c r="H68" s="16">
        <v>66</v>
      </c>
      <c r="I68" s="8" t="s">
        <v>188</v>
      </c>
      <c r="J68" s="10"/>
    </row>
    <row r="69" spans="1:10">
      <c r="A69" s="5">
        <v>67</v>
      </c>
      <c r="B69" t="str">
        <f>LEFT(Table3[[#This Row],[EPI_DGN_ANTIC]],1)</f>
        <v>K</v>
      </c>
      <c r="C69" t="str">
        <f>LEFT(Table3[[#This Row],[EPI_DGN_ANTIC]],2)</f>
        <v>KM</v>
      </c>
      <c r="D69" s="8" t="s">
        <v>189</v>
      </c>
      <c r="E69" s="10">
        <v>1</v>
      </c>
      <c r="F69" s="22" t="s">
        <v>190</v>
      </c>
      <c r="G69" t="s">
        <v>90</v>
      </c>
      <c r="H69" s="16">
        <v>67</v>
      </c>
      <c r="I69" s="8" t="s">
        <v>191</v>
      </c>
      <c r="J69" s="10"/>
    </row>
    <row r="70" spans="1:10">
      <c r="A70" s="5">
        <v>68</v>
      </c>
      <c r="B70" t="str">
        <f>LEFT(Table3[[#This Row],[EPI_DGN_ANTIC]],1)</f>
        <v>K</v>
      </c>
      <c r="C70" t="str">
        <f>LEFT(Table3[[#This Row],[EPI_DGN_ANTIC]],2)</f>
        <v>KM</v>
      </c>
      <c r="D70" s="8" t="s">
        <v>192</v>
      </c>
      <c r="E70" s="10">
        <v>1</v>
      </c>
      <c r="F70" s="22" t="s">
        <v>193</v>
      </c>
      <c r="G70" s="22"/>
      <c r="H70" s="16">
        <v>68</v>
      </c>
      <c r="I70" s="8" t="s">
        <v>194</v>
      </c>
      <c r="J70" s="10"/>
    </row>
    <row r="71" spans="1:10">
      <c r="A71" s="5">
        <v>69</v>
      </c>
      <c r="B71" t="str">
        <f>LEFT(Table3[[#This Row],[EPI_DGN_ANTIC]],1)</f>
        <v>K</v>
      </c>
      <c r="C71" t="str">
        <f>LEFT(Table3[[#This Row],[EPI_DGN_ANTIC]],2)</f>
        <v>KM</v>
      </c>
      <c r="D71" s="8" t="s">
        <v>195</v>
      </c>
      <c r="E71" s="10">
        <v>1</v>
      </c>
      <c r="F71" s="22" t="s">
        <v>187</v>
      </c>
      <c r="G71" t="s">
        <v>90</v>
      </c>
      <c r="H71" s="16">
        <v>69</v>
      </c>
      <c r="I71" s="8" t="s">
        <v>196</v>
      </c>
      <c r="J71" s="10"/>
    </row>
    <row r="72" spans="1:10">
      <c r="A72" s="5">
        <v>70</v>
      </c>
      <c r="B72" t="str">
        <f>LEFT(Table3[[#This Row],[EPI_DGN_ANTIC]],1)</f>
        <v>K</v>
      </c>
      <c r="C72" t="str">
        <f>LEFT(Table3[[#This Row],[EPI_DGN_ANTIC]],2)</f>
        <v>KM</v>
      </c>
      <c r="D72" s="8" t="s">
        <v>197</v>
      </c>
      <c r="E72" s="10">
        <v>1</v>
      </c>
      <c r="F72" s="22" t="s">
        <v>198</v>
      </c>
      <c r="G72" t="s">
        <v>90</v>
      </c>
      <c r="H72" s="16">
        <v>70</v>
      </c>
      <c r="I72" s="8" t="s">
        <v>199</v>
      </c>
      <c r="J72" s="10"/>
    </row>
    <row r="73" spans="1:10">
      <c r="A73" s="5">
        <v>71</v>
      </c>
      <c r="B73" t="str">
        <f>LEFT(Table3[[#This Row],[EPI_DGN_ANTIC]],1)</f>
        <v>K</v>
      </c>
      <c r="C73" t="str">
        <f>LEFT(Table3[[#This Row],[EPI_DGN_ANTIC]],2)</f>
        <v>KM</v>
      </c>
      <c r="D73" s="8" t="s">
        <v>200</v>
      </c>
      <c r="E73" s="10">
        <v>1</v>
      </c>
      <c r="F73" s="22" t="s">
        <v>201</v>
      </c>
      <c r="G73" s="22"/>
      <c r="H73" s="16">
        <v>71</v>
      </c>
      <c r="I73" s="8" t="s">
        <v>202</v>
      </c>
      <c r="J73" s="10"/>
    </row>
    <row r="74" spans="1:10">
      <c r="A74" s="5">
        <v>72</v>
      </c>
      <c r="B74" t="str">
        <f>LEFT(Table3[[#This Row],[EPI_DGN_ANTIC]],1)</f>
        <v>K</v>
      </c>
      <c r="C74" t="str">
        <f>LEFT(Table3[[#This Row],[EPI_DGN_ANTIC]],2)</f>
        <v>KP</v>
      </c>
      <c r="D74" s="8" t="s">
        <v>203</v>
      </c>
      <c r="E74" s="10">
        <v>0</v>
      </c>
      <c r="F74" s="22"/>
      <c r="G74" s="22"/>
      <c r="H74" s="16">
        <v>72</v>
      </c>
      <c r="I74" s="8" t="s">
        <v>204</v>
      </c>
      <c r="J74" s="10"/>
    </row>
    <row r="75" spans="1:10">
      <c r="A75" s="5">
        <v>73</v>
      </c>
      <c r="B75" t="str">
        <f>LEFT(Table3[[#This Row],[EPI_DGN_ANTIC]],1)</f>
        <v>K</v>
      </c>
      <c r="C75" t="str">
        <f>LEFT(Table3[[#This Row],[EPI_DGN_ANTIC]],2)</f>
        <v>KS</v>
      </c>
      <c r="D75" s="8" t="s">
        <v>205</v>
      </c>
      <c r="E75" s="10">
        <v>0</v>
      </c>
      <c r="F75" s="22"/>
      <c r="G75" s="22"/>
      <c r="H75" s="16">
        <v>73</v>
      </c>
      <c r="I75" s="8" t="s">
        <v>183</v>
      </c>
      <c r="J75" s="10"/>
    </row>
    <row r="76" spans="1:10">
      <c r="A76" s="5">
        <v>74</v>
      </c>
      <c r="B76" t="str">
        <f>LEFT(Table3[[#This Row],[EPI_DGN_ANTIC]],1)</f>
        <v>K</v>
      </c>
      <c r="C76" t="str">
        <f>LEFT(Table3[[#This Row],[EPI_DGN_ANTIC]],2)</f>
        <v>KT</v>
      </c>
      <c r="D76" s="8" t="s">
        <v>206</v>
      </c>
      <c r="E76" s="10">
        <v>0</v>
      </c>
      <c r="F76" s="22"/>
      <c r="G76" s="22"/>
      <c r="H76" s="16">
        <v>74</v>
      </c>
      <c r="I76" s="8" t="s">
        <v>207</v>
      </c>
      <c r="J76" s="10"/>
    </row>
    <row r="77" spans="1:10">
      <c r="A77" s="5">
        <v>75</v>
      </c>
      <c r="B77" t="str">
        <f>LEFT(Table3[[#This Row],[EPI_DGN_ANTIC]],1)</f>
        <v>K</v>
      </c>
      <c r="C77" t="str">
        <f>LEFT(Table3[[#This Row],[EPI_DGN_ANTIC]],2)</f>
        <v>KS</v>
      </c>
      <c r="D77" s="8" t="s">
        <v>205</v>
      </c>
      <c r="E77" s="10">
        <v>1</v>
      </c>
      <c r="F77" s="22" t="s">
        <v>208</v>
      </c>
      <c r="G77" s="22"/>
      <c r="H77" s="16">
        <v>75</v>
      </c>
      <c r="I77" s="8" t="s">
        <v>174</v>
      </c>
      <c r="J77" s="10"/>
    </row>
    <row r="78" spans="1:10">
      <c r="A78" s="5">
        <v>76</v>
      </c>
      <c r="B78" t="str">
        <f>LEFT(Table3[[#This Row],[EPI_DGN_ANTIC]],1)</f>
        <v>K</v>
      </c>
      <c r="C78" t="str">
        <f>LEFT(Table3[[#This Row],[EPI_DGN_ANTIC]],2)</f>
        <v>KS</v>
      </c>
      <c r="D78" s="8" t="s">
        <v>209</v>
      </c>
      <c r="E78" s="10">
        <v>1</v>
      </c>
      <c r="F78" s="22" t="s">
        <v>210</v>
      </c>
      <c r="G78" t="s">
        <v>90</v>
      </c>
      <c r="H78" s="16">
        <v>76</v>
      </c>
      <c r="I78" s="8" t="s">
        <v>211</v>
      </c>
      <c r="J78" s="10"/>
    </row>
    <row r="79" spans="1:10">
      <c r="A79" s="5">
        <v>77</v>
      </c>
      <c r="B79" t="str">
        <f>LEFT(Table3[[#This Row],[EPI_DGN_ANTIC]],1)</f>
        <v>K</v>
      </c>
      <c r="C79" t="str">
        <f>LEFT(Table3[[#This Row],[EPI_DGN_ANTIC]],2)</f>
        <v>KS</v>
      </c>
      <c r="D79" s="8" t="s">
        <v>212</v>
      </c>
      <c r="E79" s="10">
        <v>1</v>
      </c>
      <c r="F79" t="s">
        <v>213</v>
      </c>
      <c r="G79" t="s">
        <v>90</v>
      </c>
      <c r="H79" s="16">
        <v>77</v>
      </c>
      <c r="I79" s="8" t="s">
        <v>214</v>
      </c>
      <c r="J79" s="10"/>
    </row>
    <row r="80" spans="1:10">
      <c r="A80" s="5">
        <v>78</v>
      </c>
      <c r="B80" t="str">
        <f>LEFT(Table3[[#This Row],[EPI_DGN_ANTIC]],1)</f>
        <v>K</v>
      </c>
      <c r="C80" t="str">
        <f>LEFT(Table3[[#This Row],[EPI_DGN_ANTIC]],2)</f>
        <v>KS</v>
      </c>
      <c r="D80" s="8" t="s">
        <v>215</v>
      </c>
      <c r="E80" s="10">
        <v>1</v>
      </c>
      <c r="F80" s="22" t="s">
        <v>216</v>
      </c>
      <c r="G80" s="22"/>
      <c r="H80" s="16">
        <v>78</v>
      </c>
      <c r="I80" s="8" t="s">
        <v>214</v>
      </c>
      <c r="J80" s="10"/>
    </row>
    <row r="81" spans="1:10">
      <c r="A81" s="5">
        <v>79</v>
      </c>
      <c r="B81" t="str">
        <f>LEFT(Table3[[#This Row],[EPI_DGN_ANTIC]],1)</f>
        <v>K</v>
      </c>
      <c r="C81" t="str">
        <f>LEFT(Table3[[#This Row],[EPI_DGN_ANTIC]],2)</f>
        <v>KT</v>
      </c>
      <c r="D81" s="8" t="s">
        <v>206</v>
      </c>
      <c r="E81" s="10">
        <v>1</v>
      </c>
      <c r="F81" s="22" t="s">
        <v>217</v>
      </c>
      <c r="G81" s="22"/>
      <c r="H81" s="16">
        <v>79</v>
      </c>
      <c r="I81" s="8" t="s">
        <v>218</v>
      </c>
      <c r="J81" s="10"/>
    </row>
    <row r="82" spans="1:10">
      <c r="A82" s="5">
        <v>80</v>
      </c>
      <c r="B82" t="str">
        <f>LEFT(Table3[[#This Row],[EPI_DGN_ANTIC]],1)</f>
        <v>K</v>
      </c>
      <c r="C82" t="str">
        <f>LEFT(Table3[[#This Row],[EPI_DGN_ANTIC]],2)</f>
        <v>KT</v>
      </c>
      <c r="D82" s="8" t="s">
        <v>219</v>
      </c>
      <c r="E82" s="10">
        <v>1</v>
      </c>
      <c r="F82" s="22" t="s">
        <v>220</v>
      </c>
      <c r="G82" s="22"/>
      <c r="H82" s="16">
        <v>80</v>
      </c>
      <c r="I82" s="8" t="s">
        <v>218</v>
      </c>
      <c r="J82" s="10"/>
    </row>
    <row r="83" spans="1:10">
      <c r="A83" s="5">
        <v>81</v>
      </c>
      <c r="B83" t="str">
        <f>LEFT(Table3[[#This Row],[EPI_DGN_ANTIC]],1)</f>
        <v>K</v>
      </c>
      <c r="C83" t="str">
        <f>LEFT(Table3[[#This Row],[EPI_DGN_ANTIC]],2)</f>
        <v>KT</v>
      </c>
      <c r="D83" s="8" t="s">
        <v>221</v>
      </c>
      <c r="E83" s="10">
        <v>1</v>
      </c>
      <c r="F83" s="22" t="s">
        <v>222</v>
      </c>
      <c r="G83" s="22"/>
      <c r="H83" s="16">
        <v>81</v>
      </c>
      <c r="I83" s="8" t="s">
        <v>223</v>
      </c>
      <c r="J83" s="10"/>
    </row>
    <row r="84" spans="1:10">
      <c r="A84" s="5">
        <v>82</v>
      </c>
      <c r="B84" t="str">
        <f>LEFT(Table3[[#This Row],[EPI_DGN_ANTIC]],1)</f>
        <v>K</v>
      </c>
      <c r="C84" t="str">
        <f>LEFT(Table3[[#This Row],[EPI_DGN_ANTIC]],2)</f>
        <v>KT</v>
      </c>
      <c r="D84" s="8" t="s">
        <v>224</v>
      </c>
      <c r="E84" s="10">
        <v>1</v>
      </c>
      <c r="F84" s="22" t="s">
        <v>225</v>
      </c>
      <c r="G84" s="22"/>
      <c r="H84" s="16">
        <v>82</v>
      </c>
      <c r="I84" s="8" t="s">
        <v>226</v>
      </c>
      <c r="J84" s="10"/>
    </row>
    <row r="85" spans="1:10">
      <c r="A85" s="5">
        <v>83</v>
      </c>
      <c r="B85" t="str">
        <f>LEFT(Table3[[#This Row],[EPI_DGN_ANTIC]],1)</f>
        <v>K</v>
      </c>
      <c r="C85" t="str">
        <f>LEFT(Table3[[#This Row],[EPI_DGN_ANTIC]],2)</f>
        <v>KT</v>
      </c>
      <c r="D85" s="8" t="s">
        <v>227</v>
      </c>
      <c r="E85" s="10">
        <v>1</v>
      </c>
      <c r="F85" s="22" t="s">
        <v>228</v>
      </c>
      <c r="G85" t="s">
        <v>90</v>
      </c>
      <c r="H85" s="16">
        <v>83</v>
      </c>
      <c r="I85" s="8" t="s">
        <v>218</v>
      </c>
      <c r="J85" s="10"/>
    </row>
    <row r="86" spans="1:10">
      <c r="A86" s="5">
        <v>84</v>
      </c>
      <c r="B86" t="str">
        <f>LEFT(Table3[[#This Row],[EPI_DGN_ANTIC]],1)</f>
        <v>C</v>
      </c>
      <c r="C86" t="str">
        <f>LEFT(Table3[[#This Row],[EPI_DGN_ANTIC]],2)</f>
        <v>C</v>
      </c>
      <c r="D86" s="8" t="s">
        <v>229</v>
      </c>
      <c r="E86" s="10">
        <v>0</v>
      </c>
      <c r="F86" s="22"/>
      <c r="G86" s="22"/>
      <c r="H86" s="16">
        <v>84</v>
      </c>
      <c r="I86" s="8" t="s">
        <v>230</v>
      </c>
      <c r="J86" s="10"/>
    </row>
    <row r="87" spans="1:10">
      <c r="A87" s="5">
        <v>85</v>
      </c>
      <c r="B87" t="str">
        <f>LEFT(Table3[[#This Row],[EPI_DGN_ANTIC]],1)</f>
        <v>C</v>
      </c>
      <c r="C87" t="str">
        <f>LEFT(Table3[[#This Row],[EPI_DGN_ANTIC]],2)</f>
        <v>C</v>
      </c>
      <c r="D87" s="8" t="s">
        <v>229</v>
      </c>
      <c r="E87" s="10">
        <v>0</v>
      </c>
      <c r="F87" s="22"/>
      <c r="G87" s="22"/>
      <c r="H87" s="16">
        <v>85</v>
      </c>
      <c r="I87" s="8" t="s">
        <v>231</v>
      </c>
      <c r="J87" s="10"/>
    </row>
    <row r="88" spans="1:10">
      <c r="A88" s="5">
        <v>86</v>
      </c>
      <c r="B88" t="str">
        <f>LEFT(Table3[[#This Row],[EPI_DGN_ANTIC]],1)</f>
        <v>C</v>
      </c>
      <c r="C88" t="str">
        <f>LEFT(Table3[[#This Row],[EPI_DGN_ANTIC]],3)</f>
        <v>CAb</v>
      </c>
      <c r="D88" s="8" t="s">
        <v>232</v>
      </c>
      <c r="E88" s="10">
        <v>1</v>
      </c>
      <c r="F88" s="22" t="s">
        <v>233</v>
      </c>
      <c r="G88" s="22"/>
      <c r="H88" s="16">
        <v>86</v>
      </c>
      <c r="I88" s="8" t="s">
        <v>234</v>
      </c>
      <c r="J88" s="10"/>
    </row>
    <row r="89" spans="1:10">
      <c r="A89" s="5">
        <v>87</v>
      </c>
      <c r="B89" t="str">
        <f>LEFT(Table3[[#This Row],[EPI_DGN_ANTIC]],1)</f>
        <v>D</v>
      </c>
      <c r="C89" t="str">
        <f>LEFT(Table3[[#This Row],[EPI_DGN_ANTIC]],2)</f>
        <v>D1</v>
      </c>
      <c r="D89" s="8" t="s">
        <v>235</v>
      </c>
      <c r="E89" s="10">
        <v>1</v>
      </c>
      <c r="F89" s="22" t="s">
        <v>236</v>
      </c>
      <c r="G89" s="22"/>
      <c r="H89" s="16">
        <v>87</v>
      </c>
      <c r="I89" s="8" t="s">
        <v>237</v>
      </c>
      <c r="J89" s="10"/>
    </row>
    <row r="90" spans="1:10">
      <c r="A90" s="5">
        <v>88</v>
      </c>
      <c r="B90" t="str">
        <f>LEFT(Table3[[#This Row],[EPI_DGN_ANTIC]],1)</f>
        <v>C</v>
      </c>
      <c r="C90" t="str">
        <f>LEFT(Table3[[#This Row],[EPI_DGN_ANTIC]],3)</f>
        <v>CAp</v>
      </c>
      <c r="D90" s="8" t="s">
        <v>238</v>
      </c>
      <c r="E90" s="10">
        <v>1</v>
      </c>
      <c r="F90" s="22" t="s">
        <v>239</v>
      </c>
      <c r="G90" s="22"/>
      <c r="H90" s="16">
        <v>88</v>
      </c>
      <c r="I90" s="8" t="s">
        <v>240</v>
      </c>
      <c r="J90" s="10"/>
    </row>
    <row r="91" spans="1:10">
      <c r="A91" s="5">
        <v>89</v>
      </c>
      <c r="B91" t="str">
        <f>LEFT(Table3[[#This Row],[EPI_DGN_ANTIC]],1)</f>
        <v>C</v>
      </c>
      <c r="C91" t="str">
        <f>LEFT(Table3[[#This Row],[EPI_DGN_ANTIC]],3)</f>
        <v>CAp</v>
      </c>
      <c r="D91" s="8" t="s">
        <v>241</v>
      </c>
      <c r="E91" s="10">
        <v>0</v>
      </c>
      <c r="F91" s="22"/>
      <c r="G91" s="22"/>
      <c r="H91" s="16">
        <v>89</v>
      </c>
      <c r="I91" s="8" t="s">
        <v>242</v>
      </c>
      <c r="J91" s="10"/>
    </row>
    <row r="92" spans="1:10">
      <c r="A92" s="5">
        <v>90</v>
      </c>
      <c r="B92" t="str">
        <f>LEFT(Table3[[#This Row],[EPI_DGN_ANTIC]],1)</f>
        <v>C</v>
      </c>
      <c r="C92" t="str">
        <f>LEFT(Table3[[#This Row],[EPI_DGN_ANTIC]],3)</f>
        <v>CAp</v>
      </c>
      <c r="D92" s="8" t="s">
        <v>243</v>
      </c>
      <c r="E92" s="10">
        <v>1</v>
      </c>
      <c r="F92" s="22" t="s">
        <v>244</v>
      </c>
      <c r="G92" s="22"/>
      <c r="H92" s="16">
        <v>90</v>
      </c>
      <c r="I92" s="8" t="s">
        <v>245</v>
      </c>
      <c r="J92" s="10"/>
    </row>
    <row r="93" spans="1:10">
      <c r="A93" s="5">
        <v>91</v>
      </c>
      <c r="B93" t="str">
        <f>LEFT(Table3[[#This Row],[EPI_DGN_ANTIC]],1)</f>
        <v>C</v>
      </c>
      <c r="C93" t="str">
        <f>LEFT(Table3[[#This Row],[EPI_DGN_ANTIC]],2)</f>
        <v>CA</v>
      </c>
      <c r="D93" s="8" t="s">
        <v>246</v>
      </c>
      <c r="E93" s="10">
        <v>1</v>
      </c>
      <c r="F93" s="22" t="s">
        <v>247</v>
      </c>
      <c r="G93" s="22"/>
      <c r="H93" s="16">
        <v>91</v>
      </c>
      <c r="I93" s="8" t="s">
        <v>240</v>
      </c>
      <c r="J93" s="10"/>
    </row>
    <row r="94" spans="1:10">
      <c r="A94" s="5">
        <v>92</v>
      </c>
      <c r="B94" t="str">
        <f>LEFT(Table3[[#This Row],[EPI_DGN_ANTIC]],1)</f>
        <v>C</v>
      </c>
      <c r="C94" t="str">
        <f>LEFT(Table3[[#This Row],[EPI_DGN_ANTIC]],2)</f>
        <v>CB</v>
      </c>
      <c r="D94" s="8" t="s">
        <v>248</v>
      </c>
      <c r="E94" s="10">
        <v>1</v>
      </c>
      <c r="F94" s="22" t="s">
        <v>249</v>
      </c>
      <c r="G94" s="22"/>
      <c r="H94" s="16">
        <v>92</v>
      </c>
      <c r="I94" s="8" t="s">
        <v>250</v>
      </c>
      <c r="J94" s="10"/>
    </row>
    <row r="95" spans="1:10">
      <c r="A95" s="5">
        <v>93</v>
      </c>
      <c r="B95" t="str">
        <f>LEFT(Table3[[#This Row],[EPI_DGN_ANTIC]],1)</f>
        <v>C</v>
      </c>
      <c r="C95" t="str">
        <f>LEFT(Table3[[#This Row],[EPI_DGN_ANTIC]],2)</f>
        <v>CH</v>
      </c>
      <c r="D95" s="8" t="s">
        <v>251</v>
      </c>
      <c r="E95" s="10">
        <v>1</v>
      </c>
      <c r="F95" s="22" t="s">
        <v>252</v>
      </c>
      <c r="G95" s="22"/>
      <c r="H95" s="16">
        <v>93</v>
      </c>
      <c r="I95" s="8" t="s">
        <v>253</v>
      </c>
      <c r="J95" s="10"/>
    </row>
    <row r="96" spans="1:10">
      <c r="A96" s="5">
        <v>94</v>
      </c>
      <c r="B96" t="str">
        <f>LEFT(Table3[[#This Row],[EPI_DGN_ANTIC]],1)</f>
        <v>C</v>
      </c>
      <c r="C96" t="str">
        <f>LEFT(Table3[[#This Row],[EPI_DGN_ANTIC]],2)</f>
        <v>CB</v>
      </c>
      <c r="D96" s="8" t="s">
        <v>254</v>
      </c>
      <c r="E96" s="10">
        <v>1</v>
      </c>
      <c r="F96" s="22" t="s">
        <v>255</v>
      </c>
      <c r="G96" s="22"/>
      <c r="H96" s="16">
        <v>94</v>
      </c>
      <c r="I96" s="8" t="s">
        <v>231</v>
      </c>
      <c r="J96" s="10"/>
    </row>
    <row r="97" spans="1:10">
      <c r="A97" s="5">
        <v>95</v>
      </c>
      <c r="B97" t="str">
        <f>LEFT(Table3[[#This Row],[EPI_DGN_ANTIC]],1)</f>
        <v>C</v>
      </c>
      <c r="C97" t="str">
        <f>LEFT(Table3[[#This Row],[EPI_DGN_ANTIC]],3)</f>
        <v>CAA</v>
      </c>
      <c r="D97" s="8" t="s">
        <v>256</v>
      </c>
      <c r="E97" s="10">
        <v>1</v>
      </c>
      <c r="F97" s="22" t="s">
        <v>257</v>
      </c>
      <c r="G97" s="22"/>
      <c r="H97" s="16">
        <v>95</v>
      </c>
      <c r="I97" s="8" t="s">
        <v>258</v>
      </c>
      <c r="J97" s="10"/>
    </row>
    <row r="98" spans="1:10">
      <c r="A98" s="5">
        <v>96</v>
      </c>
      <c r="B98" t="str">
        <f>LEFT(Table3[[#This Row],[EPI_DGN_ANTIC]],1)</f>
        <v>C</v>
      </c>
      <c r="C98" t="str">
        <f>LEFT(Table3[[#This Row],[EPI_DGN_ANTIC]],3)</f>
        <v>CAA</v>
      </c>
      <c r="D98" s="8" t="s">
        <v>259</v>
      </c>
      <c r="E98" s="10">
        <v>1</v>
      </c>
      <c r="F98" s="22" t="s">
        <v>260</v>
      </c>
      <c r="G98" s="22"/>
      <c r="H98" s="16">
        <v>96</v>
      </c>
      <c r="I98" s="8" t="s">
        <v>231</v>
      </c>
      <c r="J98" s="10"/>
    </row>
    <row r="99" spans="1:10">
      <c r="A99" s="5">
        <v>97</v>
      </c>
      <c r="B99" t="str">
        <f>LEFT(Table3[[#This Row],[EPI_DGN_ANTIC]],1)</f>
        <v>C</v>
      </c>
      <c r="C99" t="str">
        <f>LEFT(Table3[[#This Row],[EPI_DGN_ANTIC]],3)</f>
        <v>CAC</v>
      </c>
      <c r="D99" s="8" t="s">
        <v>261</v>
      </c>
      <c r="E99" s="10">
        <v>0</v>
      </c>
      <c r="F99" s="22"/>
      <c r="G99" s="22"/>
      <c r="H99" s="16">
        <v>97</v>
      </c>
      <c r="I99" s="8" t="s">
        <v>262</v>
      </c>
      <c r="J99" s="10"/>
    </row>
    <row r="100" spans="1:10">
      <c r="A100" s="5">
        <v>98</v>
      </c>
      <c r="B100" t="str">
        <f>LEFT(Table3[[#This Row],[EPI_DGN_ANTIC]],1)</f>
        <v>C</v>
      </c>
      <c r="C100" t="str">
        <f>LEFT(Table3[[#This Row],[EPI_DGN_ANTIC]],3)</f>
        <v>CAC</v>
      </c>
      <c r="D100" s="8" t="s">
        <v>263</v>
      </c>
      <c r="E100" s="10">
        <v>1</v>
      </c>
      <c r="F100" s="22" t="s">
        <v>264</v>
      </c>
      <c r="G100" s="22"/>
      <c r="H100" s="16">
        <v>98</v>
      </c>
      <c r="I100" s="8" t="s">
        <v>265</v>
      </c>
      <c r="J100" s="10"/>
    </row>
    <row r="101" spans="1:10">
      <c r="A101" s="5">
        <v>99</v>
      </c>
      <c r="B101" t="str">
        <f>LEFT(Table3[[#This Row],[EPI_DGN_ANTIC]],1)</f>
        <v>C</v>
      </c>
      <c r="C101" t="str">
        <f>LEFT(Table3[[#This Row],[EPI_DGN_ANTIC]],3)</f>
        <v>CAC</v>
      </c>
      <c r="D101" s="8" t="s">
        <v>266</v>
      </c>
      <c r="E101" s="10">
        <v>1</v>
      </c>
      <c r="F101" s="22" t="s">
        <v>267</v>
      </c>
      <c r="G101" s="22"/>
      <c r="H101" s="16">
        <v>99</v>
      </c>
      <c r="I101" s="8" t="s">
        <v>231</v>
      </c>
      <c r="J101" s="10"/>
    </row>
    <row r="102" spans="1:10">
      <c r="A102" s="5">
        <v>100</v>
      </c>
      <c r="B102" t="str">
        <f>LEFT(Table3[[#This Row],[EPI_DGN_ANTIC]],1)</f>
        <v>C</v>
      </c>
      <c r="C102" t="str">
        <f>LEFT(Table3[[#This Row],[EPI_DGN_ANTIC]],2)</f>
        <v>Cb</v>
      </c>
      <c r="D102" s="8" t="s">
        <v>268</v>
      </c>
      <c r="E102" s="10">
        <v>0</v>
      </c>
      <c r="F102" s="22"/>
      <c r="G102" s="22"/>
      <c r="H102" s="16">
        <v>100</v>
      </c>
      <c r="I102" s="8" t="s">
        <v>269</v>
      </c>
      <c r="J102" s="10"/>
    </row>
    <row r="103" spans="1:10">
      <c r="A103" s="5">
        <v>101</v>
      </c>
      <c r="B103" t="str">
        <f>LEFT(Table3[[#This Row],[EPI_DGN_ANTIC]],1)</f>
        <v>J</v>
      </c>
      <c r="C103" t="str">
        <f>LEFT(Table3[[#This Row],[EPI_DGN_ANTIC]],2)</f>
        <v>J</v>
      </c>
      <c r="D103" s="8" t="s">
        <v>270</v>
      </c>
      <c r="E103" s="10">
        <v>0</v>
      </c>
      <c r="F103" s="22"/>
      <c r="G103" s="22"/>
      <c r="H103" s="16">
        <v>101</v>
      </c>
      <c r="I103" s="8" t="s">
        <v>250</v>
      </c>
      <c r="J103" s="10"/>
    </row>
    <row r="104" spans="1:10">
      <c r="A104" s="5">
        <v>102</v>
      </c>
      <c r="B104" t="str">
        <f>LEFT(Table3[[#This Row],[EPI_DGN_ANTIC]],1)</f>
        <v>J</v>
      </c>
      <c r="C104" t="str">
        <f>LEFT(Table3[[#This Row],[EPI_DGN_ANTIC]],2)</f>
        <v>JC</v>
      </c>
      <c r="D104" s="8" t="s">
        <v>271</v>
      </c>
      <c r="E104" s="10">
        <v>1</v>
      </c>
      <c r="F104" s="22" t="s">
        <v>272</v>
      </c>
      <c r="G104" s="22"/>
      <c r="H104" s="16">
        <v>102</v>
      </c>
      <c r="I104" s="8" t="s">
        <v>269</v>
      </c>
      <c r="J104" s="10"/>
    </row>
    <row r="105" spans="1:10">
      <c r="A105" s="5">
        <v>103</v>
      </c>
      <c r="B105" t="str">
        <f>LEFT(Table3[[#This Row],[EPI_DGN_ANTIC]],1)</f>
        <v>J</v>
      </c>
      <c r="C105" t="str">
        <f>LEFT(Table3[[#This Row],[EPI_DGN_ANTIC]],2)</f>
        <v>JM</v>
      </c>
      <c r="D105" s="8" t="s">
        <v>273</v>
      </c>
      <c r="E105" s="10">
        <v>0</v>
      </c>
      <c r="F105" s="22"/>
      <c r="G105" s="22"/>
      <c r="H105" s="16">
        <v>103</v>
      </c>
      <c r="I105" s="8" t="s">
        <v>274</v>
      </c>
      <c r="J105" s="10"/>
    </row>
    <row r="106" spans="1:10">
      <c r="A106" s="5">
        <v>104</v>
      </c>
      <c r="B106" t="str">
        <f>LEFT(Table3[[#This Row],[EPI_DGN_ANTIC]],1)</f>
        <v>J</v>
      </c>
      <c r="C106" t="s">
        <v>275</v>
      </c>
      <c r="D106" s="8" t="s">
        <v>276</v>
      </c>
      <c r="E106" s="10">
        <v>1</v>
      </c>
      <c r="F106" s="22" t="s">
        <v>277</v>
      </c>
      <c r="G106" s="22"/>
      <c r="H106" s="16">
        <v>104</v>
      </c>
      <c r="I106" s="8" t="s">
        <v>250</v>
      </c>
      <c r="J106" s="10"/>
    </row>
    <row r="107" spans="1:10">
      <c r="A107" s="5">
        <v>105</v>
      </c>
      <c r="B107" t="str">
        <f>LEFT(Table3[[#This Row],[EPI_DGN_ANTIC]],1)</f>
        <v>J</v>
      </c>
      <c r="C107" t="s">
        <v>275</v>
      </c>
      <c r="D107" s="8" t="s">
        <v>278</v>
      </c>
      <c r="E107" s="10">
        <v>1</v>
      </c>
      <c r="F107" s="22" t="s">
        <v>279</v>
      </c>
      <c r="G107" s="22"/>
      <c r="H107" s="16">
        <v>105</v>
      </c>
      <c r="I107" s="8" t="s">
        <v>280</v>
      </c>
      <c r="J107" s="10"/>
    </row>
    <row r="108" spans="1:10">
      <c r="A108" s="5">
        <v>106</v>
      </c>
      <c r="B108" t="str">
        <f>LEFT(Table3[[#This Row],[EPI_DGN_ANTIC]],1)</f>
        <v>J</v>
      </c>
      <c r="C108" t="str">
        <f>LEFT(Table3[[#This Row],[EPI_DGN_ANTIC]],2)</f>
        <v>JL</v>
      </c>
      <c r="D108" s="8" t="s">
        <v>281</v>
      </c>
      <c r="E108" s="10">
        <v>1</v>
      </c>
      <c r="F108" s="22" t="s">
        <v>282</v>
      </c>
      <c r="G108" s="22"/>
      <c r="H108" s="16">
        <v>106</v>
      </c>
      <c r="I108" s="8" t="s">
        <v>280</v>
      </c>
      <c r="J108" s="10"/>
    </row>
    <row r="109" spans="1:10">
      <c r="A109" s="5">
        <v>107</v>
      </c>
      <c r="B109" t="str">
        <f>LEFT(Table3[[#This Row],[EPI_DGN_ANTIC]],1)</f>
        <v>J</v>
      </c>
      <c r="C109" t="str">
        <f>LEFT(Table3[[#This Row],[EPI_DGN_ANTIC]],2)</f>
        <v>JL</v>
      </c>
      <c r="D109" s="8" t="s">
        <v>283</v>
      </c>
      <c r="E109" s="10">
        <v>1</v>
      </c>
      <c r="F109" s="22" t="s">
        <v>284</v>
      </c>
      <c r="G109" s="22"/>
      <c r="H109" s="16">
        <v>107</v>
      </c>
      <c r="I109" s="8" t="s">
        <v>285</v>
      </c>
      <c r="J109" s="10"/>
    </row>
    <row r="110" spans="1:10">
      <c r="A110" s="5">
        <v>108</v>
      </c>
      <c r="B110" t="str">
        <f>LEFT(Table3[[#This Row],[EPI_DGN_ANTIC]],1)</f>
        <v>J</v>
      </c>
      <c r="C110" t="str">
        <f>LEFT(Table3[[#This Row],[EPI_DGN_ANTIC]],2)</f>
        <v>JL</v>
      </c>
      <c r="D110" s="8" t="s">
        <v>286</v>
      </c>
      <c r="E110" s="10">
        <v>1</v>
      </c>
      <c r="F110" s="22" t="s">
        <v>287</v>
      </c>
      <c r="G110" s="22"/>
      <c r="H110" s="16">
        <v>108</v>
      </c>
      <c r="I110" s="8" t="s">
        <v>288</v>
      </c>
      <c r="J110" s="10"/>
    </row>
    <row r="111" spans="1:10">
      <c r="A111" s="5">
        <v>109</v>
      </c>
      <c r="B111" t="str">
        <f>LEFT(Table3[[#This Row],[EPI_DGN_ANTIC]],1)</f>
        <v>J</v>
      </c>
      <c r="C111" t="str">
        <f>LEFT(Table3[[#This Row],[EPI_DGN_ANTIC]],2)</f>
        <v>JM</v>
      </c>
      <c r="D111" s="8" t="s">
        <v>289</v>
      </c>
      <c r="E111" s="10">
        <v>1</v>
      </c>
      <c r="F111" s="22" t="s">
        <v>290</v>
      </c>
      <c r="G111" s="22"/>
      <c r="H111" s="16">
        <v>109</v>
      </c>
      <c r="I111" s="8" t="s">
        <v>291</v>
      </c>
      <c r="J111" s="10"/>
    </row>
    <row r="112" spans="1:10">
      <c r="A112" s="5">
        <v>110</v>
      </c>
      <c r="B112" t="str">
        <f>LEFT(Table3[[#This Row],[EPI_DGN_ANTIC]],1)</f>
        <v>G</v>
      </c>
      <c r="C112" t="str">
        <f>LEFT(Table3[[#This Row],[EPI_DGN_ANTIC]],2)</f>
        <v>G</v>
      </c>
      <c r="D112" s="8" t="s">
        <v>292</v>
      </c>
      <c r="E112" s="10">
        <v>0</v>
      </c>
      <c r="F112" s="22"/>
      <c r="G112" s="22"/>
      <c r="H112" s="16">
        <v>110</v>
      </c>
      <c r="I112" s="8" t="s">
        <v>293</v>
      </c>
      <c r="J112" s="10"/>
    </row>
    <row r="113" spans="1:10">
      <c r="A113" s="5">
        <v>111</v>
      </c>
      <c r="B113" t="str">
        <f>LEFT(Table3[[#This Row],[EPI_DGN_ANTIC]],1)</f>
        <v>G</v>
      </c>
      <c r="C113" t="str">
        <f>LEFT(Table3[[#This Row],[EPI_DGN_ANTIC]],2)</f>
        <v>Ga</v>
      </c>
      <c r="D113" s="8" t="s">
        <v>294</v>
      </c>
      <c r="E113" s="10">
        <v>0</v>
      </c>
      <c r="F113" s="22"/>
      <c r="G113" s="22"/>
      <c r="H113" s="16">
        <v>111</v>
      </c>
      <c r="I113" s="8" t="s">
        <v>295</v>
      </c>
      <c r="J113" s="10"/>
    </row>
    <row r="114" spans="1:10">
      <c r="A114" s="5">
        <v>112</v>
      </c>
      <c r="B114" t="str">
        <f>LEFT(Table3[[#This Row],[EPI_DGN_ANTIC]],1)</f>
        <v>G</v>
      </c>
      <c r="C114" t="str">
        <f>LEFT(Table3[[#This Row],[EPI_DGN_ANTIC]],2)</f>
        <v>Gg</v>
      </c>
      <c r="D114" s="8" t="s">
        <v>296</v>
      </c>
      <c r="E114" s="10">
        <v>1</v>
      </c>
      <c r="F114" s="22" t="s">
        <v>297</v>
      </c>
      <c r="G114" s="22"/>
      <c r="H114" s="16">
        <v>112</v>
      </c>
      <c r="I114" s="8" t="s">
        <v>298</v>
      </c>
      <c r="J114" s="10"/>
    </row>
    <row r="115" spans="1:10">
      <c r="A115" s="5">
        <v>113</v>
      </c>
      <c r="B115" t="str">
        <f>LEFT(Table3[[#This Row],[EPI_DGN_ANTIC]],1)</f>
        <v>G</v>
      </c>
      <c r="C115" t="str">
        <f>LEFT(Table3[[#This Row],[EPI_DGN_ANTIC]],2)</f>
        <v>Gg</v>
      </c>
      <c r="D115" s="8" t="s">
        <v>299</v>
      </c>
      <c r="E115" s="10">
        <v>1</v>
      </c>
      <c r="F115" s="22" t="s">
        <v>300</v>
      </c>
      <c r="G115" s="22"/>
      <c r="H115" s="16">
        <v>113</v>
      </c>
      <c r="I115" s="8" t="s">
        <v>245</v>
      </c>
      <c r="J115" s="10"/>
    </row>
    <row r="116" spans="1:10">
      <c r="A116" s="5">
        <v>114</v>
      </c>
      <c r="B116" t="str">
        <f>LEFT(Table3[[#This Row],[EPI_DGN_ANTIC]],1)</f>
        <v>G</v>
      </c>
      <c r="C116" t="str">
        <f>LEFT(Table3[[#This Row],[EPI_DGN_ANTIC]],2)</f>
        <v>Gg</v>
      </c>
      <c r="D116" s="8" t="s">
        <v>301</v>
      </c>
      <c r="E116" s="10">
        <v>1</v>
      </c>
      <c r="F116" s="22" t="s">
        <v>302</v>
      </c>
      <c r="G116" s="22"/>
      <c r="H116" s="16">
        <v>114</v>
      </c>
      <c r="I116" s="8" t="s">
        <v>303</v>
      </c>
      <c r="J116" s="10"/>
    </row>
    <row r="117" spans="1:10">
      <c r="A117" s="5">
        <v>115</v>
      </c>
      <c r="B117" t="str">
        <f>LEFT(Table3[[#This Row],[EPI_DGN_ANTIC]],1)</f>
        <v>G</v>
      </c>
      <c r="C117" t="str">
        <f>LEFT(Table3[[#This Row],[EPI_DGN_ANTIC]],2)</f>
        <v>Gg</v>
      </c>
      <c r="D117" s="8" t="s">
        <v>304</v>
      </c>
      <c r="E117" s="10">
        <v>1</v>
      </c>
      <c r="F117" s="22" t="s">
        <v>300</v>
      </c>
      <c r="G117" s="22"/>
      <c r="H117" s="16">
        <v>115</v>
      </c>
      <c r="I117" s="8" t="s">
        <v>305</v>
      </c>
      <c r="J117" s="10"/>
    </row>
    <row r="118" spans="1:10">
      <c r="A118" s="5">
        <v>116</v>
      </c>
      <c r="B118" t="str">
        <f>LEFT(Table3[[#This Row],[EPI_DGN_ANTIC]],1)</f>
        <v>G</v>
      </c>
      <c r="C118" t="str">
        <f>LEFT(Table3[[#This Row],[EPI_DGN_ANTIC]],2)</f>
        <v>Gg</v>
      </c>
      <c r="D118" s="8" t="s">
        <v>306</v>
      </c>
      <c r="E118" s="10">
        <v>1</v>
      </c>
      <c r="F118" s="22" t="s">
        <v>307</v>
      </c>
      <c r="G118" s="22"/>
      <c r="H118" s="16">
        <v>116</v>
      </c>
      <c r="I118" s="8" t="s">
        <v>308</v>
      </c>
      <c r="J118" s="10"/>
    </row>
    <row r="119" spans="1:10">
      <c r="A119" s="5">
        <v>117</v>
      </c>
      <c r="B119" t="str">
        <f>LEFT(Table3[[#This Row],[EPI_DGN_ANTIC]],1)</f>
        <v>G</v>
      </c>
      <c r="C119" t="str">
        <f>LEFT(Table3[[#This Row],[EPI_DGN_ANTIC]],2)</f>
        <v>Gg</v>
      </c>
      <c r="D119" s="8" t="s">
        <v>309</v>
      </c>
      <c r="E119" s="10">
        <v>1</v>
      </c>
      <c r="F119" s="22" t="s">
        <v>310</v>
      </c>
      <c r="G119" s="22"/>
      <c r="H119" s="16">
        <v>117</v>
      </c>
      <c r="I119" s="8" t="s">
        <v>311</v>
      </c>
      <c r="J119" s="10"/>
    </row>
    <row r="120" spans="1:10">
      <c r="A120" s="5">
        <v>118</v>
      </c>
      <c r="B120" t="str">
        <f>LEFT(Table3[[#This Row],[EPI_DGN_ANTIC]],1)</f>
        <v>G</v>
      </c>
      <c r="C120" t="str">
        <f>LEFT(Table3[[#This Row],[EPI_DGN_ANTIC]],2)</f>
        <v>Gg</v>
      </c>
      <c r="D120" s="8" t="s">
        <v>312</v>
      </c>
      <c r="E120" s="10">
        <v>1</v>
      </c>
      <c r="F120" s="22" t="s">
        <v>297</v>
      </c>
      <c r="G120" s="22"/>
      <c r="H120" s="16">
        <v>118</v>
      </c>
      <c r="I120" s="8" t="s">
        <v>313</v>
      </c>
      <c r="J120" s="10"/>
    </row>
    <row r="121" spans="1:10">
      <c r="A121" s="5">
        <v>119</v>
      </c>
      <c r="B121" t="str">
        <f>LEFT(Table3[[#This Row],[EPI_DGN_ANTIC]],1)</f>
        <v>G</v>
      </c>
      <c r="C121" t="str">
        <f>LEFT(Table3[[#This Row],[EPI_DGN_ANTIC]],2)</f>
        <v>Gg</v>
      </c>
      <c r="D121" s="8" t="s">
        <v>314</v>
      </c>
      <c r="E121" s="10">
        <v>1</v>
      </c>
      <c r="F121" s="22" t="s">
        <v>315</v>
      </c>
      <c r="G121" s="22"/>
      <c r="H121" s="16">
        <v>119</v>
      </c>
      <c r="I121" s="8" t="s">
        <v>316</v>
      </c>
      <c r="J121" s="10"/>
    </row>
    <row r="122" spans="1:10">
      <c r="A122" s="5">
        <v>120</v>
      </c>
      <c r="B122" t="str">
        <f>LEFT(Table3[[#This Row],[EPI_DGN_ANTIC]],1)</f>
        <v>G</v>
      </c>
      <c r="C122" t="str">
        <f>LEFT(Table3[[#This Row],[EPI_DGN_ANTIC]],2)</f>
        <v>Gg</v>
      </c>
      <c r="D122" s="8" t="s">
        <v>317</v>
      </c>
      <c r="E122" s="10">
        <v>1</v>
      </c>
      <c r="F122" s="22" t="s">
        <v>297</v>
      </c>
      <c r="G122" s="22"/>
      <c r="H122" s="16">
        <v>120</v>
      </c>
      <c r="I122" s="8" t="s">
        <v>318</v>
      </c>
      <c r="J122" s="10"/>
    </row>
    <row r="123" spans="1:10">
      <c r="A123" s="5">
        <v>121</v>
      </c>
      <c r="B123" t="str">
        <f>LEFT(Table3[[#This Row],[EPI_DGN_ANTIC]],1)</f>
        <v>G</v>
      </c>
      <c r="C123" t="str">
        <f>LEFT(Table3[[#This Row],[EPI_DGN_ANTIC]],2)</f>
        <v>Gp</v>
      </c>
      <c r="D123" s="8" t="s">
        <v>319</v>
      </c>
      <c r="E123" s="10">
        <v>0</v>
      </c>
      <c r="F123" s="22"/>
      <c r="G123" s="22"/>
      <c r="H123" s="16">
        <v>121</v>
      </c>
      <c r="I123" s="8" t="s">
        <v>320</v>
      </c>
      <c r="J123" s="10"/>
    </row>
    <row r="124" spans="1:10">
      <c r="A124" s="5">
        <v>122</v>
      </c>
      <c r="B124" t="str">
        <f>LEFT(Table3[[#This Row],[EPI_DGN_ANTIC]],1)</f>
        <v>G</v>
      </c>
      <c r="C124" t="str">
        <f>LEFT(Table3[[#This Row],[EPI_DGN_ANTIC]],2)</f>
        <v>Gl</v>
      </c>
      <c r="D124" s="8" t="s">
        <v>321</v>
      </c>
      <c r="E124" s="10">
        <v>1</v>
      </c>
      <c r="F124" s="22" t="s">
        <v>322</v>
      </c>
      <c r="G124" t="s">
        <v>90</v>
      </c>
      <c r="H124" s="16">
        <v>122</v>
      </c>
      <c r="I124" s="8" t="s">
        <v>323</v>
      </c>
      <c r="J124" s="10"/>
    </row>
    <row r="125" spans="1:10">
      <c r="A125" s="5">
        <v>123</v>
      </c>
      <c r="B125" t="str">
        <f>LEFT(Table3[[#This Row],[EPI_DGN_ANTIC]],1)</f>
        <v>G</v>
      </c>
      <c r="C125" t="str">
        <f>LEFT(Table3[[#This Row],[EPI_DGN_ANTIC]],2)</f>
        <v>Gm</v>
      </c>
      <c r="D125" s="8" t="s">
        <v>324</v>
      </c>
      <c r="E125" s="10">
        <v>1</v>
      </c>
      <c r="F125" s="22" t="s">
        <v>307</v>
      </c>
      <c r="G125" t="s">
        <v>90</v>
      </c>
      <c r="H125" s="16">
        <v>123</v>
      </c>
      <c r="I125" s="8" t="s">
        <v>325</v>
      </c>
      <c r="J125" s="10"/>
    </row>
    <row r="126" spans="1:10">
      <c r="A126" s="5">
        <v>124</v>
      </c>
      <c r="B126" t="str">
        <f>LEFT(Table3[[#This Row],[EPI_DGN_ANTIC]],1)</f>
        <v>G</v>
      </c>
      <c r="C126" t="str">
        <f>LEFT(Table3[[#This Row],[EPI_DGN_ANTIC]],2)</f>
        <v>Gp</v>
      </c>
      <c r="D126" s="8" t="s">
        <v>326</v>
      </c>
      <c r="E126" s="10">
        <v>1</v>
      </c>
      <c r="F126" s="22" t="s">
        <v>327</v>
      </c>
      <c r="G126" t="s">
        <v>90</v>
      </c>
      <c r="H126" s="16">
        <v>124</v>
      </c>
      <c r="I126" s="8" t="s">
        <v>328</v>
      </c>
      <c r="J126" s="10"/>
    </row>
    <row r="127" spans="1:10">
      <c r="A127" s="5">
        <v>125</v>
      </c>
      <c r="B127" t="str">
        <f>LEFT(Table3[[#This Row],[EPI_DGN_ANTIC]],1)</f>
        <v>G</v>
      </c>
      <c r="C127" t="str">
        <f>LEFT(Table3[[#This Row],[EPI_DGN_ANTIC]],2)</f>
        <v>Gp</v>
      </c>
      <c r="D127" s="8" t="s">
        <v>329</v>
      </c>
      <c r="E127" s="10">
        <v>1</v>
      </c>
      <c r="F127" s="22" t="s">
        <v>330</v>
      </c>
      <c r="G127" t="s">
        <v>90</v>
      </c>
      <c r="H127" s="16">
        <v>125</v>
      </c>
      <c r="I127" s="8" t="s">
        <v>331</v>
      </c>
      <c r="J127" s="10"/>
    </row>
    <row r="128" spans="1:10">
      <c r="A128" s="5">
        <v>126</v>
      </c>
      <c r="B128" t="str">
        <f>LEFT(Table3[[#This Row],[EPI_DGN_ANTIC]],1)</f>
        <v>G</v>
      </c>
      <c r="C128" t="str">
        <f>LEFT(Table3[[#This Row],[EPI_DGN_ANTIC]],2)</f>
        <v>Gp</v>
      </c>
      <c r="D128" s="8" t="s">
        <v>332</v>
      </c>
      <c r="E128" s="10">
        <v>1</v>
      </c>
      <c r="F128" s="22" t="s">
        <v>333</v>
      </c>
      <c r="G128" t="s">
        <v>90</v>
      </c>
      <c r="H128" s="16">
        <v>126</v>
      </c>
      <c r="I128" s="8" t="s">
        <v>334</v>
      </c>
      <c r="J128" s="10"/>
    </row>
    <row r="129" spans="1:10">
      <c r="A129" s="5">
        <v>127</v>
      </c>
      <c r="B129" t="str">
        <f>LEFT(Table3[[#This Row],[EPI_DGN_ANTIC]],1)</f>
        <v>G</v>
      </c>
      <c r="C129" t="str">
        <f>LEFT(Table3[[#This Row],[EPI_DGN_ANTIC]],2)</f>
        <v>Gp</v>
      </c>
      <c r="D129" s="8" t="s">
        <v>335</v>
      </c>
      <c r="E129" s="10">
        <v>1</v>
      </c>
      <c r="F129" s="22" t="s">
        <v>336</v>
      </c>
      <c r="G129" t="s">
        <v>90</v>
      </c>
      <c r="H129" s="16">
        <v>127</v>
      </c>
      <c r="I129" s="8" t="s">
        <v>313</v>
      </c>
      <c r="J129" s="10"/>
    </row>
    <row r="130" spans="1:10">
      <c r="A130" s="5">
        <v>128</v>
      </c>
      <c r="B130" t="str">
        <f>LEFT(Table3[[#This Row],[EPI_DGN_ANTIC]],1)</f>
        <v>G</v>
      </c>
      <c r="C130" t="str">
        <f>LEFT(Table3[[#This Row],[EPI_DGN_ANTIC]],2)</f>
        <v>Gp</v>
      </c>
      <c r="D130" s="8" t="s">
        <v>337</v>
      </c>
      <c r="E130" s="10">
        <v>1</v>
      </c>
      <c r="F130" s="22" t="s">
        <v>338</v>
      </c>
      <c r="G130" t="s">
        <v>90</v>
      </c>
      <c r="H130" s="16">
        <v>128</v>
      </c>
      <c r="I130" s="8" t="s">
        <v>339</v>
      </c>
      <c r="J130" s="10"/>
    </row>
    <row r="131" spans="1:10">
      <c r="A131" s="5">
        <v>129</v>
      </c>
      <c r="B131" t="str">
        <f>LEFT(Table3[[#This Row],[EPI_DGN_ANTIC]],1)</f>
        <v>L</v>
      </c>
      <c r="C131" t="str">
        <f>LEFT(Table3[[#This Row],[EPI_DGN_ANTIC]],2)</f>
        <v>L</v>
      </c>
      <c r="D131" s="8" t="s">
        <v>340</v>
      </c>
      <c r="E131" s="10">
        <v>0</v>
      </c>
      <c r="F131" s="22"/>
      <c r="G131" s="22"/>
      <c r="H131" s="16">
        <v>129</v>
      </c>
      <c r="I131" s="8" t="s">
        <v>341</v>
      </c>
      <c r="J131" s="10"/>
    </row>
    <row r="132" spans="1:10">
      <c r="A132" s="5">
        <v>130</v>
      </c>
      <c r="B132" t="str">
        <f>LEFT(Table3[[#This Row],[EPI_DGN_ANTIC]],1)</f>
        <v>G</v>
      </c>
      <c r="C132" t="str">
        <f>LEFT(Table3[[#This Row],[EPI_DGN_ANTIC]],2)</f>
        <v>Gn</v>
      </c>
      <c r="D132" s="8" t="s">
        <v>342</v>
      </c>
      <c r="E132" s="10">
        <v>0</v>
      </c>
      <c r="F132" s="22"/>
      <c r="G132" s="22"/>
      <c r="H132" s="16">
        <v>130</v>
      </c>
      <c r="I132" s="8" t="s">
        <v>343</v>
      </c>
      <c r="J132" s="10"/>
    </row>
    <row r="133" spans="1:10">
      <c r="A133" s="5">
        <v>131</v>
      </c>
      <c r="B133" t="str">
        <f>LEFT(Table3[[#This Row],[EPI_DGN_ANTIC]],1)</f>
        <v>G</v>
      </c>
      <c r="C133" t="str">
        <f>LEFT(Table3[[#This Row],[EPI_DGN_ANTIC]],2)</f>
        <v>Gn</v>
      </c>
      <c r="D133" s="8" t="s">
        <v>344</v>
      </c>
      <c r="E133" s="10">
        <v>1</v>
      </c>
      <c r="F133" s="22" t="s">
        <v>345</v>
      </c>
      <c r="G133" s="22"/>
      <c r="H133" s="16">
        <v>131</v>
      </c>
      <c r="I133" s="8" t="s">
        <v>346</v>
      </c>
      <c r="J133" s="10"/>
    </row>
    <row r="134" spans="1:10">
      <c r="A134" s="5">
        <v>132</v>
      </c>
      <c r="B134" t="str">
        <f>LEFT(Table3[[#This Row],[EPI_DGN_ANTIC]],1)</f>
        <v>G</v>
      </c>
      <c r="C134" t="str">
        <f>LEFT(Table3[[#This Row],[EPI_DGN_ANTIC]],2)</f>
        <v>Gn</v>
      </c>
      <c r="D134" s="8" t="s">
        <v>347</v>
      </c>
      <c r="E134" s="10">
        <v>1</v>
      </c>
      <c r="F134" s="22" t="s">
        <v>348</v>
      </c>
      <c r="G134" s="22"/>
      <c r="H134" s="16">
        <v>132</v>
      </c>
      <c r="I134" s="8" t="s">
        <v>349</v>
      </c>
      <c r="J134" s="10"/>
    </row>
    <row r="135" spans="1:10">
      <c r="A135" s="5">
        <v>133</v>
      </c>
      <c r="B135" t="str">
        <f>LEFT(Table3[[#This Row],[EPI_DGN_ANTIC]],1)</f>
        <v>Z</v>
      </c>
      <c r="C135" t="str">
        <f>LEFT(Table3[[#This Row],[EPI_DGN_ANTIC]],3)</f>
        <v>Z</v>
      </c>
      <c r="D135" s="8" t="s">
        <v>350</v>
      </c>
      <c r="E135" s="10">
        <v>0</v>
      </c>
      <c r="F135" s="22"/>
      <c r="G135" s="22"/>
      <c r="H135" s="16">
        <v>133</v>
      </c>
      <c r="I135" s="8" t="s">
        <v>351</v>
      </c>
      <c r="J135" s="10"/>
    </row>
    <row r="136" spans="1:10">
      <c r="A136" s="5">
        <v>134</v>
      </c>
      <c r="B136" t="str">
        <f>LEFT(Table3[[#This Row],[EPI_DGN_ANTIC]],1)</f>
        <v>Z</v>
      </c>
      <c r="C136" t="str">
        <f>LEFT(Table3[[#This Row],[EPI_DGN_ANTIC]],3)</f>
        <v>ZO</v>
      </c>
      <c r="D136" s="8" t="s">
        <v>352</v>
      </c>
      <c r="E136" s="10">
        <v>0</v>
      </c>
      <c r="F136" s="22"/>
      <c r="G136" s="22"/>
      <c r="H136" s="16">
        <v>134</v>
      </c>
      <c r="I136" s="8" t="s">
        <v>353</v>
      </c>
      <c r="J136" s="10"/>
    </row>
    <row r="137" spans="1:10">
      <c r="A137" s="5">
        <v>135</v>
      </c>
      <c r="B137" t="str">
        <f>LEFT(Table3[[#This Row],[EPI_DGN_ANTIC]],1)</f>
        <v>Z</v>
      </c>
      <c r="C137" t="str">
        <f>LEFT(Table3[[#This Row],[EPI_DGN_ANTIC]],3)</f>
        <v>ZOc</v>
      </c>
      <c r="D137" s="8" t="s">
        <v>354</v>
      </c>
      <c r="E137" s="10">
        <v>0</v>
      </c>
      <c r="F137" s="22"/>
      <c r="G137" s="22"/>
      <c r="H137" s="16">
        <v>135</v>
      </c>
      <c r="I137" s="8" t="s">
        <v>355</v>
      </c>
      <c r="J137" s="10"/>
    </row>
    <row r="138" spans="1:10">
      <c r="A138" s="5">
        <v>136</v>
      </c>
      <c r="B138" t="str">
        <f>LEFT(Table3[[#This Row],[EPI_DGN_ANTIC]],1)</f>
        <v>Z</v>
      </c>
      <c r="C138" t="str">
        <f>LEFT(Table3[[#This Row],[EPI_DGN_ANTIC]],3)</f>
        <v>ZOc</v>
      </c>
      <c r="D138" s="8" t="s">
        <v>356</v>
      </c>
      <c r="E138" s="10">
        <v>1</v>
      </c>
      <c r="F138" s="22" t="s">
        <v>357</v>
      </c>
      <c r="G138" s="22"/>
      <c r="H138" s="16">
        <v>136</v>
      </c>
      <c r="I138" s="8" t="s">
        <v>358</v>
      </c>
      <c r="J138" s="10"/>
    </row>
    <row r="139" spans="1:10">
      <c r="A139" s="5">
        <v>137</v>
      </c>
      <c r="B139" t="str">
        <f>LEFT(Table3[[#This Row],[EPI_DGN_ANTIC]],1)</f>
        <v>Z</v>
      </c>
      <c r="C139" t="str">
        <f>LEFT(Table3[[#This Row],[EPI_DGN_ANTIC]],3)</f>
        <v>ZOd</v>
      </c>
      <c r="D139" s="8" t="s">
        <v>359</v>
      </c>
      <c r="E139" s="10">
        <v>1</v>
      </c>
      <c r="F139" s="22" t="s">
        <v>360</v>
      </c>
      <c r="G139" s="22"/>
      <c r="H139" s="16">
        <v>137</v>
      </c>
      <c r="I139" s="8" t="s">
        <v>361</v>
      </c>
      <c r="J139" s="10"/>
    </row>
    <row r="140" spans="1:10">
      <c r="A140" s="5">
        <v>138</v>
      </c>
      <c r="B140" t="str">
        <f>LEFT(Table3[[#This Row],[EPI_DGN_ANTIC]],1)</f>
        <v>Z</v>
      </c>
      <c r="C140" t="str">
        <f>LEFT(Table3[[#This Row],[EPI_DGN_ANTIC]],3)</f>
        <v>ZOg</v>
      </c>
      <c r="D140" s="8" t="s">
        <v>362</v>
      </c>
      <c r="E140" s="10">
        <v>1</v>
      </c>
      <c r="F140" s="22" t="s">
        <v>363</v>
      </c>
      <c r="G140" s="22"/>
      <c r="H140" s="16">
        <v>138</v>
      </c>
      <c r="I140" s="8" t="s">
        <v>364</v>
      </c>
      <c r="J140" s="10"/>
    </row>
    <row r="141" spans="1:10">
      <c r="A141" s="5">
        <v>139</v>
      </c>
      <c r="B141" t="str">
        <f>LEFT(Table3[[#This Row],[EPI_DGN_ANTIC]],1)</f>
        <v>Z</v>
      </c>
      <c r="C141" t="str">
        <f>LEFT(Table3[[#This Row],[EPI_DGN_ANTIC]],3)</f>
        <v>ZOg</v>
      </c>
      <c r="D141" s="8" t="s">
        <v>365</v>
      </c>
      <c r="E141" s="10">
        <v>1</v>
      </c>
      <c r="F141" s="22" t="s">
        <v>366</v>
      </c>
      <c r="G141" s="22"/>
      <c r="H141" s="16">
        <v>139</v>
      </c>
      <c r="I141" s="8" t="s">
        <v>367</v>
      </c>
      <c r="J141" s="10"/>
    </row>
    <row r="142" spans="1:10">
      <c r="A142" s="5">
        <v>140</v>
      </c>
      <c r="B142" t="str">
        <f>LEFT(Table3[[#This Row],[EPI_DGN_ANTIC]],1)</f>
        <v>Z</v>
      </c>
      <c r="C142" t="str">
        <f>LEFT(Table3[[#This Row],[EPI_DGN_ANTIC]],3)</f>
        <v>Zdc</v>
      </c>
      <c r="D142" s="8" t="s">
        <v>368</v>
      </c>
      <c r="E142" s="10">
        <v>1</v>
      </c>
      <c r="F142" s="22" t="s">
        <v>369</v>
      </c>
      <c r="G142" s="22"/>
      <c r="H142" s="16">
        <v>140</v>
      </c>
      <c r="I142" s="8" t="s">
        <v>370</v>
      </c>
      <c r="J142" s="10"/>
    </row>
    <row r="143" spans="1:10">
      <c r="A143" s="5">
        <v>141</v>
      </c>
      <c r="B143" t="str">
        <f>LEFT(Table3[[#This Row],[EPI_DGN_ANTIC]],1)</f>
        <v>Z</v>
      </c>
      <c r="C143" t="str">
        <f>LEFT(Table3[[#This Row],[EPI_DGN_ANTIC]],3)</f>
        <v>Zcb</v>
      </c>
      <c r="D143" s="8" t="s">
        <v>371</v>
      </c>
      <c r="E143" s="10">
        <v>1</v>
      </c>
      <c r="F143" s="22" t="s">
        <v>372</v>
      </c>
      <c r="G143" s="22"/>
      <c r="H143" s="16">
        <v>141</v>
      </c>
      <c r="I143" s="8" t="s">
        <v>373</v>
      </c>
      <c r="J143" s="10"/>
    </row>
    <row r="144" spans="1:10">
      <c r="A144" s="5">
        <v>142</v>
      </c>
      <c r="B144" t="str">
        <f>LEFT(Table3[[#This Row],[EPI_DGN_ANTIC]],1)</f>
        <v>Z</v>
      </c>
      <c r="C144" t="str">
        <f>LEFT(Table3[[#This Row],[EPI_DGN_ANTIC]],3)</f>
        <v>Zgl</v>
      </c>
      <c r="D144" s="8" t="s">
        <v>374</v>
      </c>
      <c r="E144" s="10">
        <v>1</v>
      </c>
      <c r="F144" s="22" t="s">
        <v>375</v>
      </c>
      <c r="G144" s="22"/>
      <c r="H144" s="16">
        <v>142</v>
      </c>
      <c r="I144" s="8" t="s">
        <v>376</v>
      </c>
      <c r="J144" s="10"/>
    </row>
    <row r="145" spans="1:10">
      <c r="A145" s="5">
        <v>143</v>
      </c>
      <c r="B145" t="str">
        <f>LEFT(Table3[[#This Row],[EPI_DGN_ANTIC]],1)</f>
        <v>Z</v>
      </c>
      <c r="C145" t="str">
        <f>LEFT(Table3[[#This Row],[EPI_DGN_ANTIC]],3)</f>
        <v>Z</v>
      </c>
      <c r="D145" s="8" t="s">
        <v>350</v>
      </c>
      <c r="E145" s="10">
        <v>0</v>
      </c>
      <c r="F145" s="22"/>
      <c r="G145" s="22"/>
      <c r="H145" s="16">
        <v>143</v>
      </c>
      <c r="I145" s="8" t="s">
        <v>377</v>
      </c>
      <c r="J145" s="10"/>
    </row>
    <row r="146" spans="1:10">
      <c r="A146" s="5">
        <v>144</v>
      </c>
      <c r="B146" t="str">
        <f>LEFT(Table3[[#This Row],[EPI_DGN_ANTIC]],1)</f>
        <v>D</v>
      </c>
      <c r="C146" t="str">
        <f>LEFT(Table3[[#This Row],[EPI_DGN_ANTIC]],2)</f>
        <v>D</v>
      </c>
      <c r="D146" s="8" t="s">
        <v>378</v>
      </c>
      <c r="E146" s="10">
        <v>0</v>
      </c>
      <c r="F146" s="22"/>
      <c r="G146" s="22"/>
      <c r="H146" s="16">
        <v>144</v>
      </c>
      <c r="I146" s="8" t="s">
        <v>379</v>
      </c>
      <c r="J146" s="10"/>
    </row>
    <row r="147" spans="1:10">
      <c r="A147" s="5">
        <v>145</v>
      </c>
      <c r="B147" t="str">
        <f>LEFT(Table3[[#This Row],[EPI_DGN_ANTIC]],1)</f>
        <v>D</v>
      </c>
      <c r="C147" t="str">
        <f>LEFT(Table3[[#This Row],[EPI_DGN_ANTIC]],2)</f>
        <v>D</v>
      </c>
      <c r="D147" s="8" t="s">
        <v>378</v>
      </c>
      <c r="E147" s="10">
        <v>0</v>
      </c>
      <c r="F147" s="22"/>
      <c r="G147" s="22"/>
      <c r="H147" s="16">
        <v>145</v>
      </c>
      <c r="I147" s="8" t="s">
        <v>380</v>
      </c>
      <c r="J147" s="10"/>
    </row>
    <row r="148" spans="1:10">
      <c r="A148" s="5">
        <v>146</v>
      </c>
      <c r="B148" t="str">
        <f>LEFT(Table3[[#This Row],[EPI_DGN_ANTIC]],1)</f>
        <v>C</v>
      </c>
      <c r="C148" t="str">
        <f>LEFT(Table3[[#This Row],[EPI_DGN_ANTIC]],2)</f>
        <v>CK</v>
      </c>
      <c r="D148" s="8" t="s">
        <v>381</v>
      </c>
      <c r="E148" s="10">
        <v>0</v>
      </c>
      <c r="F148" s="22"/>
      <c r="G148" s="22"/>
      <c r="H148" s="16">
        <v>146</v>
      </c>
      <c r="I148" s="8" t="s">
        <v>382</v>
      </c>
      <c r="J148" s="10"/>
    </row>
    <row r="149" spans="1:10">
      <c r="A149" s="5">
        <v>147</v>
      </c>
      <c r="B149" t="str">
        <f>LEFT(Table3[[#This Row],[EPI_DGN_ANTIC]],1)</f>
        <v>C</v>
      </c>
      <c r="C149" t="str">
        <f>LEFT(Table3[[#This Row],[EPI_DGN_ANTIC]],2)</f>
        <v>Cb</v>
      </c>
      <c r="D149" s="8" t="s">
        <v>383</v>
      </c>
      <c r="E149" s="10">
        <v>1</v>
      </c>
      <c r="F149" s="22" t="s">
        <v>384</v>
      </c>
      <c r="G149" s="22"/>
      <c r="H149" s="16">
        <v>147</v>
      </c>
      <c r="I149" s="8" t="s">
        <v>385</v>
      </c>
      <c r="J149" s="10"/>
    </row>
    <row r="150" spans="1:10">
      <c r="A150" s="5">
        <v>148</v>
      </c>
      <c r="B150" t="str">
        <f>LEFT(Table3[[#This Row],[EPI_DGN_ANTIC]],1)</f>
        <v>C</v>
      </c>
      <c r="C150" t="str">
        <f>LEFT(Table3[[#This Row],[EPI_DGN_ANTIC]],2)</f>
        <v>CB</v>
      </c>
      <c r="D150" s="8" t="s">
        <v>386</v>
      </c>
      <c r="E150" s="10">
        <v>1</v>
      </c>
      <c r="F150" s="22" t="s">
        <v>387</v>
      </c>
      <c r="G150" s="22"/>
      <c r="H150" s="16">
        <v>148</v>
      </c>
      <c r="I150" s="8" t="s">
        <v>388</v>
      </c>
      <c r="J150" s="10"/>
    </row>
    <row r="151" spans="1:10">
      <c r="A151" s="5">
        <v>149</v>
      </c>
      <c r="B151" t="str">
        <f>LEFT(Table3[[#This Row],[EPI_DGN_ANTIC]],1)</f>
        <v>C</v>
      </c>
      <c r="C151" t="str">
        <f>LEFT(Table3[[#This Row],[EPI_DGN_ANTIC]],2)</f>
        <v>CB</v>
      </c>
      <c r="D151" s="8" t="s">
        <v>389</v>
      </c>
      <c r="E151" s="10">
        <v>1</v>
      </c>
      <c r="F151" s="22" t="s">
        <v>390</v>
      </c>
      <c r="G151" s="22"/>
      <c r="H151" s="16">
        <v>149</v>
      </c>
      <c r="I151" s="8" t="s">
        <v>391</v>
      </c>
      <c r="J151" s="10"/>
    </row>
    <row r="152" spans="1:10">
      <c r="A152" s="5">
        <v>150</v>
      </c>
      <c r="B152" t="str">
        <f>LEFT(Table3[[#This Row],[EPI_DGN_ANTIC]],1)</f>
        <v>C</v>
      </c>
      <c r="C152" t="str">
        <f>LEFT(Table3[[#This Row],[EPI_DGN_ANTIC]],2)</f>
        <v>CA</v>
      </c>
      <c r="D152" s="8" t="s">
        <v>392</v>
      </c>
      <c r="E152" s="10">
        <v>1</v>
      </c>
      <c r="F152" s="22" t="s">
        <v>393</v>
      </c>
      <c r="G152" s="22"/>
      <c r="H152" s="16">
        <v>150</v>
      </c>
      <c r="I152" s="8" t="s">
        <v>394</v>
      </c>
      <c r="J152" s="10"/>
    </row>
    <row r="153" spans="1:10">
      <c r="A153" s="5">
        <v>151</v>
      </c>
      <c r="B153" t="str">
        <f>LEFT(Table3[[#This Row],[EPI_DGN_ANTIC]],1)</f>
        <v>C</v>
      </c>
      <c r="C153" t="str">
        <f>LEFT(Table3[[#This Row],[EPI_DGN_ANTIC]],2)</f>
        <v>CA</v>
      </c>
      <c r="D153" s="8" t="s">
        <v>395</v>
      </c>
      <c r="E153" s="10">
        <v>1</v>
      </c>
      <c r="F153" s="22" t="s">
        <v>396</v>
      </c>
      <c r="G153" s="22"/>
      <c r="H153" s="16">
        <v>151</v>
      </c>
      <c r="I153" s="8" t="s">
        <v>397</v>
      </c>
      <c r="J153" s="10"/>
    </row>
    <row r="154" spans="1:10">
      <c r="A154" s="5">
        <v>152</v>
      </c>
      <c r="B154" t="str">
        <f>LEFT(Table3[[#This Row],[EPI_DGN_ANTIC]],1)</f>
        <v>C</v>
      </c>
      <c r="C154" t="str">
        <f>LEFT(Table3[[#This Row],[EPI_DGN_ANTIC]],3)</f>
        <v>CAp</v>
      </c>
      <c r="D154" s="8" t="s">
        <v>398</v>
      </c>
      <c r="E154" s="10">
        <v>1</v>
      </c>
      <c r="F154" s="22" t="s">
        <v>399</v>
      </c>
      <c r="G154" s="22"/>
      <c r="H154" s="16">
        <v>152</v>
      </c>
      <c r="I154" s="8" t="s">
        <v>400</v>
      </c>
      <c r="J154" s="10"/>
    </row>
    <row r="155" spans="1:10">
      <c r="A155" s="5">
        <v>153</v>
      </c>
      <c r="B155" t="str">
        <f>LEFT(Table3[[#This Row],[EPI_DGN_ANTIC]],1)</f>
        <v>C</v>
      </c>
      <c r="C155" t="str">
        <f>LEFT(Table3[[#This Row],[EPI_DGN_ANTIC]],3)</f>
        <v>CAp</v>
      </c>
      <c r="D155" s="8" t="s">
        <v>401</v>
      </c>
      <c r="E155" s="10">
        <v>1</v>
      </c>
      <c r="F155" s="22" t="s">
        <v>402</v>
      </c>
      <c r="G155" s="22"/>
      <c r="H155" s="16">
        <v>153</v>
      </c>
      <c r="I155" s="8" t="s">
        <v>394</v>
      </c>
      <c r="J155" s="10"/>
    </row>
    <row r="156" spans="1:10">
      <c r="A156" s="5">
        <v>154</v>
      </c>
      <c r="B156" t="str">
        <f>LEFT(Table3[[#This Row],[EPI_DGN_ANTIC]],1)</f>
        <v>C</v>
      </c>
      <c r="C156" t="str">
        <f>LEFT(Table3[[#This Row],[EPI_DGN_ANTIC]],3)</f>
        <v>CAc</v>
      </c>
      <c r="D156" s="8" t="s">
        <v>403</v>
      </c>
      <c r="E156" s="10">
        <v>1</v>
      </c>
      <c r="F156" s="22" t="s">
        <v>396</v>
      </c>
      <c r="G156" s="22"/>
      <c r="H156" s="16">
        <v>154</v>
      </c>
      <c r="I156" s="8" t="s">
        <v>404</v>
      </c>
      <c r="J156" s="10"/>
    </row>
    <row r="157" spans="1:10">
      <c r="A157" s="5">
        <v>155</v>
      </c>
      <c r="B157" t="str">
        <f>LEFT(Table3[[#This Row],[EPI_DGN_ANTIC]],1)</f>
        <v>C</v>
      </c>
      <c r="C157" t="str">
        <f>LEFT(Table3[[#This Row],[EPI_DGN_ANTIC]],3)</f>
        <v>CAm</v>
      </c>
      <c r="D157" s="8" t="s">
        <v>405</v>
      </c>
      <c r="E157" s="10">
        <v>1</v>
      </c>
      <c r="F157" s="22" t="s">
        <v>406</v>
      </c>
      <c r="G157" s="22"/>
      <c r="H157" s="16">
        <v>155</v>
      </c>
      <c r="I157" s="8" t="s">
        <v>407</v>
      </c>
      <c r="J157" s="10"/>
    </row>
    <row r="158" spans="1:10">
      <c r="A158" s="5">
        <v>156</v>
      </c>
      <c r="B158" t="str">
        <f>LEFT(Table3[[#This Row],[EPI_DGN_ANTIC]],1)</f>
        <v>C</v>
      </c>
      <c r="C158" t="str">
        <f>LEFT(Table3[[#This Row],[EPI_DGN_ANTIC]],3)</f>
        <v>CAm</v>
      </c>
      <c r="D158" s="8" t="s">
        <v>408</v>
      </c>
      <c r="E158" s="10">
        <v>1</v>
      </c>
      <c r="F158" s="22" t="s">
        <v>409</v>
      </c>
      <c r="G158" s="22"/>
      <c r="H158" s="16">
        <v>156</v>
      </c>
      <c r="I158" s="8" t="s">
        <v>410</v>
      </c>
      <c r="J158" s="10"/>
    </row>
    <row r="159" spans="1:10">
      <c r="A159" s="5">
        <v>157</v>
      </c>
      <c r="B159" t="str">
        <f>LEFT(Table3[[#This Row],[EPI_DGN_ANTIC]],1)</f>
        <v>C</v>
      </c>
      <c r="C159" t="str">
        <f>LEFT(Table3[[#This Row],[EPI_DGN_ANTIC]],3)</f>
        <v>CAm</v>
      </c>
      <c r="D159" s="8" t="s">
        <v>411</v>
      </c>
      <c r="E159" s="10">
        <v>1</v>
      </c>
      <c r="F159" s="22" t="s">
        <v>412</v>
      </c>
      <c r="G159" s="22"/>
      <c r="H159" s="16">
        <v>157</v>
      </c>
      <c r="I159" s="8" t="s">
        <v>168</v>
      </c>
      <c r="J159" s="10"/>
    </row>
    <row r="160" spans="1:10">
      <c r="A160" s="5">
        <v>158</v>
      </c>
      <c r="B160" t="str">
        <f>LEFT(Table3[[#This Row],[EPI_DGN_ANTIC]],1)</f>
        <v>E</v>
      </c>
      <c r="C160" t="str">
        <f>LEFT(Table3[[#This Row],[EPI_DGN_ANTIC]],3)</f>
        <v>EBl</v>
      </c>
      <c r="D160" s="8" t="s">
        <v>413</v>
      </c>
      <c r="E160" s="10">
        <v>1</v>
      </c>
      <c r="F160" s="22" t="s">
        <v>414</v>
      </c>
      <c r="G160" s="22"/>
      <c r="H160" s="16">
        <v>158</v>
      </c>
      <c r="I160" s="8" t="s">
        <v>171</v>
      </c>
      <c r="J160" s="10"/>
    </row>
    <row r="161" spans="1:10">
      <c r="A161" s="5">
        <v>159</v>
      </c>
      <c r="B161" t="str">
        <f>LEFT(Table3[[#This Row],[EPI_DGN_ANTIC]],1)</f>
        <v>E</v>
      </c>
      <c r="C161" t="str">
        <f>LEFT(Table3[[#This Row],[EPI_DGN_ANTIC]],3)</f>
        <v>EBc</v>
      </c>
      <c r="D161" s="8" t="s">
        <v>415</v>
      </c>
      <c r="E161" s="10">
        <v>1</v>
      </c>
      <c r="F161" s="22" t="s">
        <v>416</v>
      </c>
      <c r="G161" s="22"/>
      <c r="H161" s="16">
        <v>159</v>
      </c>
      <c r="I161" s="8" t="s">
        <v>168</v>
      </c>
      <c r="J161" s="10"/>
    </row>
    <row r="162" spans="1:10">
      <c r="A162" s="5">
        <v>160</v>
      </c>
      <c r="B162" t="str">
        <f>LEFT(Table3[[#This Row],[EPI_DGN_ANTIC]],1)</f>
        <v>E</v>
      </c>
      <c r="C162" t="str">
        <f>LEFT(Table3[[#This Row],[EPI_DGN_ANTIC]],3)</f>
        <v>EBc</v>
      </c>
      <c r="D162" s="8" t="s">
        <v>417</v>
      </c>
      <c r="E162" s="10">
        <v>1</v>
      </c>
      <c r="F162" s="22" t="s">
        <v>418</v>
      </c>
      <c r="G162" s="22"/>
      <c r="H162" s="16">
        <v>160</v>
      </c>
      <c r="I162" s="8" t="s">
        <v>176</v>
      </c>
      <c r="J162" s="10"/>
    </row>
    <row r="163" spans="1:10">
      <c r="A163" s="5">
        <v>161</v>
      </c>
      <c r="B163" t="str">
        <f>LEFT(Table3[[#This Row],[EPI_DGN_ANTIC]],1)</f>
        <v>E</v>
      </c>
      <c r="C163" t="str">
        <f>LEFT(Table3[[#This Row],[EPI_DGN_ANTIC]],3)</f>
        <v>EBP</v>
      </c>
      <c r="D163" s="8" t="s">
        <v>419</v>
      </c>
      <c r="E163" s="10">
        <v>1</v>
      </c>
      <c r="F163" s="23" t="s">
        <v>420</v>
      </c>
      <c r="G163" s="22"/>
      <c r="H163" s="16">
        <v>161</v>
      </c>
      <c r="I163" s="8" t="s">
        <v>179</v>
      </c>
      <c r="J163" s="10"/>
    </row>
    <row r="164" spans="1:10">
      <c r="A164" s="5">
        <v>162</v>
      </c>
      <c r="B164" t="str">
        <f>LEFT(Table3[[#This Row],[EPI_DGN_ANTIC]],1)</f>
        <v>E</v>
      </c>
      <c r="C164" t="str">
        <f>LEFT(Table3[[#This Row],[EPI_DGN_ANTIC]],3)</f>
        <v>EBP</v>
      </c>
      <c r="D164" s="8" t="s">
        <v>421</v>
      </c>
      <c r="E164" s="10">
        <v>1</v>
      </c>
      <c r="F164" s="23" t="s">
        <v>422</v>
      </c>
      <c r="G164" s="22"/>
      <c r="H164" s="16">
        <v>162</v>
      </c>
      <c r="I164" s="8" t="s">
        <v>182</v>
      </c>
      <c r="J164" s="10"/>
    </row>
    <row r="165" spans="1:10">
      <c r="A165" s="5">
        <v>163</v>
      </c>
      <c r="B165" t="str">
        <f>LEFT(Table3[[#This Row],[EPI_DGN_ANTIC]],1)</f>
        <v>E</v>
      </c>
      <c r="C165" t="str">
        <f>LEFT(Table3[[#This Row],[EPI_DGN_ANTIC]],3)</f>
        <v>ECc</v>
      </c>
      <c r="D165" s="8" t="s">
        <v>423</v>
      </c>
      <c r="E165" s="10">
        <v>1</v>
      </c>
      <c r="F165" s="23" t="s">
        <v>424</v>
      </c>
      <c r="G165" s="22"/>
      <c r="H165" s="16">
        <v>163</v>
      </c>
      <c r="I165" s="8" t="s">
        <v>425</v>
      </c>
      <c r="J165" s="10"/>
    </row>
    <row r="166" spans="1:10">
      <c r="A166" s="5">
        <v>164</v>
      </c>
      <c r="B166" t="str">
        <f>LEFT(Table3[[#This Row],[EPI_DGN_ANTIC]],1)</f>
        <v>E</v>
      </c>
      <c r="C166" t="str">
        <f>LEFT(Table3[[#This Row],[EPI_DGN_ANTIC]],3)</f>
        <v>ECg</v>
      </c>
      <c r="D166" s="8" t="s">
        <v>426</v>
      </c>
      <c r="E166" s="10">
        <v>1</v>
      </c>
      <c r="F166" s="23" t="s">
        <v>427</v>
      </c>
      <c r="G166" s="22"/>
      <c r="H166" s="16">
        <v>164</v>
      </c>
      <c r="I166" s="8" t="s">
        <v>168</v>
      </c>
      <c r="J166" s="10"/>
    </row>
    <row r="167" spans="1:10">
      <c r="A167" s="5">
        <v>165</v>
      </c>
      <c r="B167" t="str">
        <f>LEFT(Table3[[#This Row],[EPI_DGN_ANTIC]],1)</f>
        <v>E</v>
      </c>
      <c r="C167" t="str">
        <f>LEFT(Table3[[#This Row],[EPI_DGN_ANTIC]],3)</f>
        <v>ECL</v>
      </c>
      <c r="D167" s="8" t="s">
        <v>428</v>
      </c>
      <c r="E167" s="10">
        <v>0</v>
      </c>
      <c r="F167" s="23"/>
      <c r="G167" s="22"/>
      <c r="H167" s="16">
        <v>165</v>
      </c>
      <c r="I167" s="8" t="s">
        <v>171</v>
      </c>
      <c r="J167" s="10"/>
    </row>
    <row r="168" spans="1:10">
      <c r="A168" s="5">
        <v>166</v>
      </c>
      <c r="B168" t="str">
        <f>LEFT(Table3[[#This Row],[EPI_DGN_ANTIC]],1)</f>
        <v>E</v>
      </c>
      <c r="C168" t="str">
        <f>LEFT(Table3[[#This Row],[EPI_DGN_ANTIC]],3)</f>
        <v>ECL</v>
      </c>
      <c r="D168" s="8" t="s">
        <v>429</v>
      </c>
      <c r="E168" s="10">
        <v>1</v>
      </c>
      <c r="F168" s="23" t="s">
        <v>430</v>
      </c>
      <c r="G168" s="22"/>
      <c r="H168" s="16">
        <v>166</v>
      </c>
      <c r="I168" s="8" t="s">
        <v>410</v>
      </c>
      <c r="J168" s="10"/>
    </row>
    <row r="169" spans="1:10">
      <c r="A169" s="5">
        <v>167</v>
      </c>
      <c r="B169" t="str">
        <f>LEFT(Table3[[#This Row],[EPI_DGN_ANTIC]],1)</f>
        <v>E</v>
      </c>
      <c r="C169" t="str">
        <f>LEFT(Table3[[#This Row],[EPI_DGN_ANTIC]],3)</f>
        <v>ECL</v>
      </c>
      <c r="D169" s="8" t="s">
        <v>431</v>
      </c>
      <c r="E169" s="10">
        <v>1</v>
      </c>
      <c r="F169" s="23" t="s">
        <v>432</v>
      </c>
      <c r="G169" s="22"/>
      <c r="H169" s="16">
        <v>167</v>
      </c>
      <c r="I169" s="8" t="s">
        <v>433</v>
      </c>
      <c r="J169" s="10"/>
    </row>
    <row r="170" spans="1:10">
      <c r="A170" s="5">
        <v>168</v>
      </c>
      <c r="B170" t="str">
        <f>LEFT(Table3[[#This Row],[EPI_DGN_ANTIC]],1)</f>
        <v>E</v>
      </c>
      <c r="C170" t="str">
        <f>LEFT(Table3[[#This Row],[EPI_DGN_ANTIC]],3)</f>
        <v>ECl</v>
      </c>
      <c r="D170" s="8" t="s">
        <v>434</v>
      </c>
      <c r="E170" s="10">
        <v>1</v>
      </c>
      <c r="F170" s="22" t="s">
        <v>435</v>
      </c>
      <c r="G170" s="22"/>
      <c r="H170" s="16">
        <v>168</v>
      </c>
      <c r="I170" s="8" t="s">
        <v>436</v>
      </c>
      <c r="J170" s="10"/>
    </row>
    <row r="171" spans="1:10">
      <c r="A171" s="5">
        <v>169</v>
      </c>
      <c r="B171" t="str">
        <f>LEFT(Table3[[#This Row],[EPI_DGN_ANTIC]],1)</f>
        <v>E</v>
      </c>
      <c r="C171" t="str">
        <f>LEFT(Table3[[#This Row],[EPI_DGN_ANTIC]],3)</f>
        <v>ECl</v>
      </c>
      <c r="D171" s="8" t="s">
        <v>437</v>
      </c>
      <c r="E171" s="10">
        <v>1</v>
      </c>
      <c r="F171" s="22" t="s">
        <v>438</v>
      </c>
      <c r="G171" s="22"/>
      <c r="H171" s="16">
        <v>169</v>
      </c>
      <c r="I171" s="8" t="s">
        <v>439</v>
      </c>
      <c r="J171" s="10"/>
    </row>
    <row r="172" spans="1:10">
      <c r="A172" s="5">
        <v>170</v>
      </c>
      <c r="B172" t="str">
        <f>LEFT(Table3[[#This Row],[EPI_DGN_ANTIC]],1)</f>
        <v>E</v>
      </c>
      <c r="C172" t="str">
        <f>LEFT(Table3[[#This Row],[EPI_DGN_ANTIC]],3)</f>
        <v>ECl</v>
      </c>
      <c r="D172" s="8" t="s">
        <v>440</v>
      </c>
      <c r="E172" s="10">
        <v>1</v>
      </c>
      <c r="F172" s="22" t="s">
        <v>441</v>
      </c>
      <c r="G172" s="22"/>
      <c r="H172" s="16">
        <v>170</v>
      </c>
      <c r="I172" s="8" t="s">
        <v>442</v>
      </c>
      <c r="J172" s="10"/>
    </row>
    <row r="173" spans="1:10">
      <c r="A173" s="5">
        <v>171</v>
      </c>
      <c r="B173" t="str">
        <f>LEFT(Table3[[#This Row],[EPI_DGN_ANTIC]],1)</f>
        <v>E</v>
      </c>
      <c r="C173" t="str">
        <f>LEFT(Table3[[#This Row],[EPI_DGN_ANTIC]],2)</f>
        <v>EI</v>
      </c>
      <c r="D173" s="8" t="s">
        <v>443</v>
      </c>
      <c r="E173" s="10">
        <v>1</v>
      </c>
      <c r="F173" s="22" t="s">
        <v>444</v>
      </c>
      <c r="G173" s="22"/>
      <c r="H173" s="16">
        <v>171</v>
      </c>
      <c r="I173" s="8" t="s">
        <v>445</v>
      </c>
      <c r="J173" s="10"/>
    </row>
    <row r="174" spans="1:10">
      <c r="A174" s="5">
        <v>172</v>
      </c>
      <c r="B174" t="str">
        <f>LEFT(Table3[[#This Row],[EPI_DGN_ANTIC]],1)</f>
        <v>G</v>
      </c>
      <c r="C174" t="str">
        <f>LEFT(Table3[[#This Row],[EPI_DGN_ANTIC]],2)</f>
        <v>Gl</v>
      </c>
      <c r="D174" s="8" t="s">
        <v>446</v>
      </c>
      <c r="E174" s="10">
        <v>0</v>
      </c>
      <c r="F174" s="22"/>
      <c r="G174" s="22"/>
      <c r="H174" s="16">
        <v>172</v>
      </c>
      <c r="I174" s="8" t="s">
        <v>447</v>
      </c>
      <c r="J174" s="10"/>
    </row>
    <row r="175" spans="1:10">
      <c r="A175" s="5">
        <v>173</v>
      </c>
      <c r="B175" t="str">
        <f>LEFT(Table3[[#This Row],[EPI_DGN_ANTIC]],1)</f>
        <v>G</v>
      </c>
      <c r="C175" t="str">
        <f>LEFT(Table3[[#This Row],[EPI_DGN_ANTIC]],2)</f>
        <v>Ga</v>
      </c>
      <c r="D175" s="8" t="s">
        <v>448</v>
      </c>
      <c r="E175" s="10">
        <v>1</v>
      </c>
      <c r="F175" s="22" t="s">
        <v>449</v>
      </c>
      <c r="G175" s="22"/>
      <c r="H175" s="16">
        <v>173</v>
      </c>
      <c r="I175" s="8" t="s">
        <v>168</v>
      </c>
      <c r="J175" s="10"/>
    </row>
    <row r="176" spans="1:10">
      <c r="A176" s="5">
        <v>174</v>
      </c>
      <c r="B176" t="str">
        <f>LEFT(Table3[[#This Row],[EPI_DGN_ANTIC]],1)</f>
        <v>G</v>
      </c>
      <c r="C176" t="str">
        <f>LEFT(Table3[[#This Row],[EPI_DGN_ANTIC]],2)</f>
        <v>Ga</v>
      </c>
      <c r="D176" s="8" t="s">
        <v>450</v>
      </c>
      <c r="E176" s="10">
        <v>1</v>
      </c>
      <c r="F176" s="22" t="s">
        <v>451</v>
      </c>
      <c r="G176" s="22"/>
      <c r="H176" s="16">
        <v>174</v>
      </c>
      <c r="I176" s="8" t="s">
        <v>452</v>
      </c>
      <c r="J176" s="10"/>
    </row>
    <row r="177" spans="1:10">
      <c r="A177" s="5">
        <v>175</v>
      </c>
      <c r="B177" t="str">
        <f>LEFT(Table3[[#This Row],[EPI_DGN_ANTIC]],1)</f>
        <v>G</v>
      </c>
      <c r="C177" t="str">
        <f>LEFT(Table3[[#This Row],[EPI_DGN_ANTIC]],2)</f>
        <v>Gg</v>
      </c>
      <c r="D177" s="8" t="s">
        <v>453</v>
      </c>
      <c r="E177" s="10">
        <v>1</v>
      </c>
      <c r="F177" s="22" t="s">
        <v>454</v>
      </c>
      <c r="G177" s="22"/>
      <c r="H177" s="16">
        <v>175</v>
      </c>
      <c r="I177" s="8" t="s">
        <v>455</v>
      </c>
      <c r="J177" s="10"/>
    </row>
    <row r="178" spans="1:10">
      <c r="A178" s="5">
        <v>176</v>
      </c>
      <c r="B178" t="str">
        <f>LEFT(Table3[[#This Row],[EPI_DGN_ANTIC]],1)</f>
        <v>G</v>
      </c>
      <c r="C178" t="str">
        <f>LEFT(Table3[[#This Row],[EPI_DGN_ANTIC]],2)</f>
        <v>Gg</v>
      </c>
      <c r="D178" s="8" t="s">
        <v>456</v>
      </c>
      <c r="E178" s="10">
        <v>1</v>
      </c>
      <c r="F178" s="22" t="s">
        <v>297</v>
      </c>
      <c r="G178" s="22"/>
      <c r="H178" s="16">
        <v>176</v>
      </c>
      <c r="I178" s="8" t="s">
        <v>457</v>
      </c>
      <c r="J178" s="10"/>
    </row>
    <row r="179" spans="1:10">
      <c r="A179" s="5">
        <v>177</v>
      </c>
      <c r="B179" t="str">
        <f>LEFT(Table3[[#This Row],[EPI_DGN_ANTIC]],1)</f>
        <v>G</v>
      </c>
      <c r="C179" t="str">
        <f>LEFT(Table3[[#This Row],[EPI_DGN_ANTIC]],2)</f>
        <v>Gg</v>
      </c>
      <c r="D179" s="8" t="s">
        <v>458</v>
      </c>
      <c r="E179" s="10">
        <v>1</v>
      </c>
      <c r="F179" s="22" t="s">
        <v>459</v>
      </c>
      <c r="G179" s="22"/>
      <c r="H179" s="16">
        <v>177</v>
      </c>
      <c r="I179" s="8" t="s">
        <v>460</v>
      </c>
      <c r="J179" s="10"/>
    </row>
    <row r="180" spans="1:10">
      <c r="A180" s="5">
        <v>178</v>
      </c>
      <c r="B180" t="str">
        <f>LEFT(Table3[[#This Row],[EPI_DGN_ANTIC]],1)</f>
        <v>G</v>
      </c>
      <c r="C180" t="str">
        <f>LEFT(Table3[[#This Row],[EPI_DGN_ANTIC]],2)</f>
        <v>Gg</v>
      </c>
      <c r="D180" s="8" t="s">
        <v>461</v>
      </c>
      <c r="E180" s="10">
        <v>1</v>
      </c>
      <c r="F180" s="22" t="s">
        <v>462</v>
      </c>
      <c r="G180" s="22"/>
      <c r="H180" s="16">
        <v>178</v>
      </c>
      <c r="I180" s="8" t="s">
        <v>463</v>
      </c>
      <c r="J180" s="10"/>
    </row>
    <row r="181" spans="1:10">
      <c r="A181" s="5">
        <v>179</v>
      </c>
      <c r="B181" t="str">
        <f>LEFT(Table3[[#This Row],[EPI_DGN_ANTIC]],1)</f>
        <v>G</v>
      </c>
      <c r="C181" t="str">
        <f>LEFT(Table3[[#This Row],[EPI_DGN_ANTIC]],2)</f>
        <v>Gl</v>
      </c>
      <c r="D181" s="8" t="s">
        <v>464</v>
      </c>
      <c r="E181" s="10">
        <v>1</v>
      </c>
      <c r="F181" s="22" t="s">
        <v>307</v>
      </c>
      <c r="G181" t="s">
        <v>90</v>
      </c>
      <c r="H181" s="16">
        <v>179</v>
      </c>
      <c r="I181" s="8" t="s">
        <v>465</v>
      </c>
      <c r="J181" s="10"/>
    </row>
    <row r="182" spans="1:10">
      <c r="A182" s="5">
        <v>180</v>
      </c>
      <c r="B182" t="str">
        <f>LEFT(Table3[[#This Row],[EPI_DGN_ANTIC]],1)</f>
        <v>G</v>
      </c>
      <c r="C182" t="str">
        <f>LEFT(Table3[[#This Row],[EPI_DGN_ANTIC]],2)</f>
        <v>Gl</v>
      </c>
      <c r="D182" s="8" t="s">
        <v>466</v>
      </c>
      <c r="E182" s="10">
        <v>1</v>
      </c>
      <c r="F182" s="22" t="s">
        <v>322</v>
      </c>
      <c r="G182" t="s">
        <v>90</v>
      </c>
      <c r="H182" s="16">
        <v>180</v>
      </c>
      <c r="I182" s="8" t="s">
        <v>467</v>
      </c>
      <c r="J182" s="10"/>
    </row>
    <row r="183" spans="1:10">
      <c r="A183" s="5">
        <v>181</v>
      </c>
      <c r="B183" t="str">
        <f>LEFT(Table3[[#This Row],[EPI_DGN_ANTIC]],1)</f>
        <v>G</v>
      </c>
      <c r="C183" t="str">
        <f>LEFT(Table3[[#This Row],[EPI_DGN_ANTIC]],2)</f>
        <v>Gm</v>
      </c>
      <c r="D183" s="8" t="s">
        <v>468</v>
      </c>
      <c r="E183" s="10">
        <v>1</v>
      </c>
      <c r="F183" s="22" t="s">
        <v>469</v>
      </c>
      <c r="G183" t="s">
        <v>90</v>
      </c>
      <c r="H183" s="16">
        <v>181</v>
      </c>
      <c r="I183" s="8" t="s">
        <v>470</v>
      </c>
      <c r="J183" s="10"/>
    </row>
    <row r="184" spans="1:10">
      <c r="A184" s="5">
        <v>182</v>
      </c>
      <c r="B184" t="s">
        <v>292</v>
      </c>
      <c r="C184" t="s">
        <v>342</v>
      </c>
      <c r="D184" s="8" t="s">
        <v>471</v>
      </c>
      <c r="E184" s="10">
        <v>1</v>
      </c>
      <c r="F184" s="22" t="s">
        <v>345</v>
      </c>
      <c r="G184" s="22"/>
      <c r="H184" s="16">
        <v>182</v>
      </c>
      <c r="I184" s="8" t="s">
        <v>467</v>
      </c>
      <c r="J184" s="10"/>
    </row>
    <row r="185" spans="1:10">
      <c r="A185" s="5">
        <v>183</v>
      </c>
      <c r="B185" t="str">
        <f>LEFT(Table3[[#This Row],[EPI_DGN_ANTIC]],1)</f>
        <v>G</v>
      </c>
      <c r="C185" t="str">
        <f>LEFT(Table3[[#This Row],[EPI_DGN_ANTIC]],2)</f>
        <v>Gp</v>
      </c>
      <c r="D185" s="8" t="s">
        <v>472</v>
      </c>
      <c r="E185" s="10">
        <v>1</v>
      </c>
      <c r="F185" s="22" t="s">
        <v>302</v>
      </c>
      <c r="G185" t="s">
        <v>90</v>
      </c>
      <c r="H185" s="16">
        <v>183</v>
      </c>
      <c r="I185" s="8" t="s">
        <v>213</v>
      </c>
      <c r="J185" s="10"/>
    </row>
    <row r="186" spans="1:10">
      <c r="A186" s="5">
        <v>184</v>
      </c>
      <c r="B186" t="str">
        <f>LEFT(Table3[[#This Row],[EPI_DGN_ANTIC]],1)</f>
        <v>G</v>
      </c>
      <c r="C186" t="str">
        <f>LEFT(Table3[[#This Row],[EPI_DGN_ANTIC]],2)</f>
        <v>Gp</v>
      </c>
      <c r="D186" s="8" t="s">
        <v>473</v>
      </c>
      <c r="E186" s="10">
        <v>1</v>
      </c>
      <c r="F186" s="22" t="s">
        <v>474</v>
      </c>
      <c r="G186" t="s">
        <v>90</v>
      </c>
      <c r="H186" s="16">
        <v>184</v>
      </c>
      <c r="I186" s="8" t="s">
        <v>475</v>
      </c>
      <c r="J186" s="10"/>
    </row>
    <row r="187" spans="1:10">
      <c r="A187" s="5">
        <v>185</v>
      </c>
      <c r="B187" t="str">
        <f>LEFT(Table3[[#This Row],[EPI_DGN_ANTIC]],1)</f>
        <v>G</v>
      </c>
      <c r="C187" t="str">
        <f>LEFT(Table3[[#This Row],[EPI_DGN_ANTIC]],2)</f>
        <v>Gp</v>
      </c>
      <c r="D187" s="8" t="s">
        <v>476</v>
      </c>
      <c r="E187" s="10">
        <v>1</v>
      </c>
      <c r="F187" s="22" t="s">
        <v>477</v>
      </c>
      <c r="G187" t="s">
        <v>90</v>
      </c>
      <c r="H187" s="16">
        <v>185</v>
      </c>
      <c r="I187" s="8" t="s">
        <v>478</v>
      </c>
      <c r="J187" s="10"/>
    </row>
    <row r="188" spans="1:10">
      <c r="A188" s="5">
        <v>186</v>
      </c>
      <c r="B188" t="str">
        <f>LEFT(Table3[[#This Row],[EPI_DGN_ANTIC]],1)</f>
        <v>G</v>
      </c>
      <c r="C188" t="str">
        <f>LEFT(Table3[[#This Row],[EPI_DGN_ANTIC]],2)</f>
        <v>Gp</v>
      </c>
      <c r="D188" s="8" t="s">
        <v>479</v>
      </c>
      <c r="E188" s="10">
        <v>1</v>
      </c>
      <c r="F188" s="22" t="s">
        <v>480</v>
      </c>
      <c r="G188" t="s">
        <v>90</v>
      </c>
      <c r="H188" s="16">
        <v>186</v>
      </c>
      <c r="I188" s="8" t="s">
        <v>481</v>
      </c>
      <c r="J188" s="10"/>
    </row>
    <row r="189" spans="1:10">
      <c r="A189" s="5">
        <v>187</v>
      </c>
      <c r="B189" t="str">
        <f>LEFT(Table3[[#This Row],[EPI_DGN_ANTIC]],1)</f>
        <v>J</v>
      </c>
      <c r="C189" t="str">
        <f>LEFT(Table3[[#This Row],[EPI_DGN_ANTIC]],2)</f>
        <v>JD</v>
      </c>
      <c r="D189" s="8" t="s">
        <v>482</v>
      </c>
      <c r="E189" s="10">
        <v>1</v>
      </c>
      <c r="F189" s="22" t="s">
        <v>277</v>
      </c>
      <c r="G189" s="22"/>
      <c r="H189" s="16">
        <v>187</v>
      </c>
      <c r="I189" s="8" t="s">
        <v>483</v>
      </c>
      <c r="J189" s="10"/>
    </row>
    <row r="190" spans="1:10">
      <c r="A190" s="5">
        <v>188</v>
      </c>
      <c r="B190" t="str">
        <f>LEFT(Table3[[#This Row],[EPI_DGN_ANTIC]],1)</f>
        <v>J</v>
      </c>
      <c r="C190" t="str">
        <f>LEFT(Table3[[#This Row],[EPI_DGN_ANTIC]],2)</f>
        <v>JL</v>
      </c>
      <c r="D190" s="8" t="s">
        <v>484</v>
      </c>
      <c r="E190" s="10">
        <v>1</v>
      </c>
      <c r="F190" s="22" t="s">
        <v>485</v>
      </c>
      <c r="G190" s="22" t="s">
        <v>486</v>
      </c>
      <c r="H190" s="16">
        <v>188</v>
      </c>
      <c r="I190" s="8" t="s">
        <v>487</v>
      </c>
      <c r="J190" s="20"/>
    </row>
    <row r="191" spans="1:10">
      <c r="A191" s="5">
        <v>189</v>
      </c>
      <c r="B191" t="str">
        <f>LEFT(Table3[[#This Row],[EPI_DGN_ANTIC]],1)</f>
        <v>J</v>
      </c>
      <c r="C191" t="str">
        <f>LEFT(Table3[[#This Row],[EPI_DGN_ANTIC]],2)</f>
        <v>JM</v>
      </c>
      <c r="D191" s="8" t="s">
        <v>488</v>
      </c>
      <c r="E191" s="10">
        <v>0</v>
      </c>
      <c r="F191" s="22"/>
      <c r="G191" s="22"/>
      <c r="H191" s="16">
        <v>189</v>
      </c>
      <c r="I191" s="8" t="s">
        <v>489</v>
      </c>
      <c r="J191" s="10"/>
    </row>
    <row r="192" spans="1:10">
      <c r="A192" s="5">
        <v>190</v>
      </c>
      <c r="B192" t="str">
        <f>LEFT(Table3[[#This Row],[EPI_DGN_ANTIC]],1)</f>
        <v>K</v>
      </c>
      <c r="C192" t="str">
        <f>LEFT(Table3[[#This Row],[EPI_DGN_ANTIC]],3)</f>
        <v>KCM</v>
      </c>
      <c r="D192" s="8" t="s">
        <v>490</v>
      </c>
      <c r="E192" s="10">
        <v>1</v>
      </c>
      <c r="F192" s="22" t="s">
        <v>491</v>
      </c>
      <c r="G192" s="22"/>
      <c r="H192" s="16">
        <v>190</v>
      </c>
      <c r="I192" s="8" t="s">
        <v>20</v>
      </c>
      <c r="J192" s="10"/>
    </row>
    <row r="193" spans="1:10">
      <c r="A193" s="5">
        <v>191</v>
      </c>
      <c r="B193" t="str">
        <f>LEFT(Table3[[#This Row],[EPI_DGN_ANTIC]],1)</f>
        <v>K</v>
      </c>
      <c r="C193" t="str">
        <f>LEFT(Table3[[#This Row],[EPI_DGN_ANTIC]],3)</f>
        <v>KCm</v>
      </c>
      <c r="D193" s="8" t="s">
        <v>492</v>
      </c>
      <c r="E193" s="10">
        <v>1</v>
      </c>
      <c r="F193" s="22" t="s">
        <v>493</v>
      </c>
      <c r="G193" s="22"/>
      <c r="H193" s="16">
        <v>191</v>
      </c>
      <c r="I193" s="8" t="s">
        <v>494</v>
      </c>
      <c r="J193" s="10"/>
    </row>
    <row r="194" spans="1:10">
      <c r="A194" s="5">
        <v>192</v>
      </c>
      <c r="B194" t="str">
        <f>LEFT(Table3[[#This Row],[EPI_DGN_ANTIC]],1)</f>
        <v>K</v>
      </c>
      <c r="C194" t="str">
        <f>LEFT(Table3[[#This Row],[EPI_DGN_ANTIC]],3)</f>
        <v>KCm</v>
      </c>
      <c r="D194" s="8" t="s">
        <v>495</v>
      </c>
      <c r="E194" s="10">
        <v>1</v>
      </c>
      <c r="F194" s="22" t="s">
        <v>139</v>
      </c>
      <c r="G194" s="22"/>
      <c r="H194" s="16">
        <v>192</v>
      </c>
      <c r="I194" s="8" t="s">
        <v>496</v>
      </c>
      <c r="J194" s="10"/>
    </row>
    <row r="195" spans="1:10">
      <c r="A195" s="5">
        <v>193</v>
      </c>
      <c r="B195" t="str">
        <f>LEFT(Table3[[#This Row],[EPI_DGN_ANTIC]],1)</f>
        <v>K</v>
      </c>
      <c r="C195" t="str">
        <f>LEFT(Table3[[#This Row],[EPI_DGN_ANTIC]],3)</f>
        <v>KCo</v>
      </c>
      <c r="D195" s="8" t="s">
        <v>497</v>
      </c>
      <c r="E195" s="10">
        <v>1</v>
      </c>
      <c r="F195" s="22" t="s">
        <v>498</v>
      </c>
      <c r="G195" s="22"/>
      <c r="H195" s="16">
        <v>193</v>
      </c>
      <c r="I195" s="8" t="s">
        <v>494</v>
      </c>
      <c r="J195" s="10"/>
    </row>
    <row r="196" spans="1:10">
      <c r="A196" s="5">
        <v>194</v>
      </c>
      <c r="B196" t="str">
        <f>LEFT(Table3[[#This Row],[EPI_DGN_ANTIC]],1)</f>
        <v>K</v>
      </c>
      <c r="C196" t="str">
        <f>LEFT(Table3[[#This Row],[EPI_DGN_ANTIC]],3)</f>
        <v>KCo</v>
      </c>
      <c r="D196" s="8" t="s">
        <v>499</v>
      </c>
      <c r="E196" s="10">
        <v>1</v>
      </c>
      <c r="F196" s="22" t="s">
        <v>500</v>
      </c>
      <c r="G196" s="22"/>
      <c r="H196" s="16">
        <v>194</v>
      </c>
      <c r="I196" s="8" t="s">
        <v>28</v>
      </c>
      <c r="J196" s="10"/>
    </row>
    <row r="197" spans="1:10">
      <c r="A197" s="5">
        <v>195</v>
      </c>
      <c r="B197" t="str">
        <f>LEFT(Table3[[#This Row],[EPI_DGN_ANTIC]],1)</f>
        <v>K</v>
      </c>
      <c r="C197" t="str">
        <f>LEFT(Table3[[#This Row],[EPI_DGN_ANTIC]],3)</f>
        <v>KCo</v>
      </c>
      <c r="D197" s="8" t="s">
        <v>501</v>
      </c>
      <c r="E197" s="10">
        <v>1</v>
      </c>
      <c r="F197" s="22" t="s">
        <v>502</v>
      </c>
      <c r="G197" s="22"/>
      <c r="H197" s="16">
        <v>195</v>
      </c>
      <c r="I197" s="8" t="s">
        <v>28</v>
      </c>
      <c r="J197" s="10"/>
    </row>
    <row r="198" spans="1:10">
      <c r="A198" s="5">
        <v>196</v>
      </c>
      <c r="B198" t="str">
        <f>LEFT(Table3[[#This Row],[EPI_DGN_ANTIC]],1)</f>
        <v>K</v>
      </c>
      <c r="C198" s="10" t="str">
        <f>LEFT(Table3[[#This Row],[EPI_DGN_ANTIC]],3)</f>
        <v>KCo</v>
      </c>
      <c r="D198" s="8" t="s">
        <v>503</v>
      </c>
      <c r="E198" s="10">
        <v>1</v>
      </c>
      <c r="F198" s="22" t="s">
        <v>504</v>
      </c>
      <c r="G198" s="22"/>
      <c r="H198" s="16">
        <v>196</v>
      </c>
      <c r="I198" s="8" t="s">
        <v>28</v>
      </c>
      <c r="J198" s="10"/>
    </row>
    <row r="199" spans="1:10">
      <c r="A199" s="5">
        <v>197</v>
      </c>
      <c r="B199" t="str">
        <f>LEFT(Table3[[#This Row],[EPI_DGN_ANTIC]],1)</f>
        <v>K</v>
      </c>
      <c r="C199" t="str">
        <f>LEFT(Table3[[#This Row],[EPI_DGN_ANTIC]],3)</f>
        <v>KCo</v>
      </c>
      <c r="D199" s="8" t="s">
        <v>505</v>
      </c>
      <c r="E199" s="10">
        <v>1</v>
      </c>
      <c r="F199" s="22" t="s">
        <v>506</v>
      </c>
      <c r="G199" s="22"/>
      <c r="H199" s="16">
        <v>197</v>
      </c>
      <c r="I199" s="8" t="s">
        <v>28</v>
      </c>
      <c r="J199" s="10"/>
    </row>
    <row r="200" spans="1:10">
      <c r="A200" s="5">
        <v>198</v>
      </c>
      <c r="B200" t="str">
        <f>LEFT(Table3[[#This Row],[EPI_DGN_ANTIC]],1)</f>
        <v>K</v>
      </c>
      <c r="C200" t="str">
        <f>LEFT(Table3[[#This Row],[EPI_DGN_ANTIC]],3)</f>
        <v>KCo</v>
      </c>
      <c r="D200" s="8" t="s">
        <v>507</v>
      </c>
      <c r="E200" s="10">
        <v>1</v>
      </c>
      <c r="F200" s="22" t="s">
        <v>508</v>
      </c>
      <c r="G200" s="22"/>
      <c r="H200" s="16">
        <v>198</v>
      </c>
      <c r="I200" s="8" t="s">
        <v>509</v>
      </c>
      <c r="J200" s="10"/>
    </row>
    <row r="201" spans="1:10">
      <c r="A201" s="5">
        <v>199</v>
      </c>
      <c r="B201" t="str">
        <f>LEFT(Table3[[#This Row],[EPI_DGN_ANTIC]],1)</f>
        <v>K</v>
      </c>
      <c r="C201" t="str">
        <f>LEFT(Table3[[#This Row],[EPI_DGN_ANTIC]],3)</f>
        <v>KCo</v>
      </c>
      <c r="D201" s="8" t="s">
        <v>510</v>
      </c>
      <c r="E201" s="10">
        <v>1</v>
      </c>
      <c r="F201" s="22" t="s">
        <v>511</v>
      </c>
      <c r="G201" s="22"/>
      <c r="H201" s="16">
        <v>199</v>
      </c>
      <c r="I201" s="8" t="s">
        <v>316</v>
      </c>
      <c r="J201" s="10"/>
    </row>
    <row r="202" spans="1:10">
      <c r="A202" s="5">
        <v>200</v>
      </c>
      <c r="B202" t="str">
        <f>LEFT(Table3[[#This Row],[EPI_DGN_ANTIC]],1)</f>
        <v>K</v>
      </c>
      <c r="C202" t="str">
        <f>LEFT(Table3[[#This Row],[EPI_DGN_ANTIC]],3)</f>
        <v>KCo</v>
      </c>
      <c r="D202" s="8" t="s">
        <v>512</v>
      </c>
      <c r="E202" s="10">
        <v>1</v>
      </c>
      <c r="F202" s="22" t="s">
        <v>513</v>
      </c>
      <c r="G202" s="22"/>
      <c r="H202" s="16">
        <v>200</v>
      </c>
      <c r="I202" s="8" t="s">
        <v>514</v>
      </c>
      <c r="J202" s="10"/>
    </row>
    <row r="203" spans="1:10">
      <c r="A203" s="5">
        <v>201</v>
      </c>
      <c r="B203" t="str">
        <f>LEFT(Table3[[#This Row],[EPI_DGN_ANTIC]],1)</f>
        <v>K</v>
      </c>
      <c r="C203" t="str">
        <f>LEFT(Table3[[#This Row],[EPI_DGN_ANTIC]],3)</f>
        <v>KCo</v>
      </c>
      <c r="D203" s="8" t="s">
        <v>515</v>
      </c>
      <c r="E203" s="10">
        <v>1</v>
      </c>
      <c r="F203" s="22" t="s">
        <v>516</v>
      </c>
      <c r="G203" s="22"/>
      <c r="H203" s="16">
        <v>201</v>
      </c>
      <c r="I203" s="8" t="s">
        <v>218</v>
      </c>
      <c r="J203" s="10"/>
    </row>
    <row r="204" spans="1:10">
      <c r="A204" s="5">
        <v>202</v>
      </c>
      <c r="B204" t="str">
        <f>LEFT(Table3[[#This Row],[EPI_DGN_ANTIC]],1)</f>
        <v>K</v>
      </c>
      <c r="C204" t="str">
        <f>LEFT(Table3[[#This Row],[EPI_DGN_ANTIC]],3)</f>
        <v>KCo</v>
      </c>
      <c r="D204" s="8" t="s">
        <v>517</v>
      </c>
      <c r="E204" s="10">
        <v>1</v>
      </c>
      <c r="F204" s="22" t="s">
        <v>518</v>
      </c>
      <c r="G204" s="22"/>
      <c r="H204" s="16">
        <v>202</v>
      </c>
      <c r="I204" s="8" t="s">
        <v>199</v>
      </c>
      <c r="J204" s="10"/>
    </row>
    <row r="205" spans="1:10">
      <c r="A205" s="5">
        <v>203</v>
      </c>
      <c r="B205" t="str">
        <f>LEFT(Table3[[#This Row],[EPI_DGN_ANTIC]],1)</f>
        <v>K</v>
      </c>
      <c r="C205" t="str">
        <f>LEFT(Table3[[#This Row],[EPI_DGN_ANTIC]],3)</f>
        <v>KCo</v>
      </c>
      <c r="D205" s="8" t="s">
        <v>519</v>
      </c>
      <c r="E205" s="10">
        <v>1</v>
      </c>
      <c r="F205" s="22" t="s">
        <v>520</v>
      </c>
      <c r="G205" t="s">
        <v>90</v>
      </c>
      <c r="H205" s="16">
        <v>203</v>
      </c>
      <c r="I205" s="8" t="s">
        <v>199</v>
      </c>
      <c r="J205" s="10"/>
    </row>
    <row r="206" spans="1:10">
      <c r="A206" s="5">
        <v>204</v>
      </c>
      <c r="B206" t="str">
        <f>LEFT(Table3[[#This Row],[EPI_DGN_ANTIC]],1)</f>
        <v>K</v>
      </c>
      <c r="C206" t="str">
        <f>LEFT(Table3[[#This Row],[EPI_DGN_ANTIC]],3)</f>
        <v>KCS</v>
      </c>
      <c r="D206" s="8" t="s">
        <v>521</v>
      </c>
      <c r="E206" s="10">
        <v>1</v>
      </c>
      <c r="F206" s="22" t="s">
        <v>522</v>
      </c>
      <c r="G206" t="s">
        <v>90</v>
      </c>
      <c r="H206" s="16">
        <v>204</v>
      </c>
      <c r="I206" s="8" t="s">
        <v>199</v>
      </c>
      <c r="J206" s="10"/>
    </row>
    <row r="207" spans="1:10">
      <c r="A207" s="5">
        <v>205</v>
      </c>
      <c r="B207" t="str">
        <f>LEFT(Table3[[#This Row],[EPI_DGN_ANTIC]],1)</f>
        <v>K</v>
      </c>
      <c r="C207" t="str">
        <f>LEFT(Table3[[#This Row],[EPI_DGN_ANTIC]],2)</f>
        <v>KP</v>
      </c>
      <c r="D207" s="8" t="s">
        <v>523</v>
      </c>
      <c r="E207" s="10">
        <v>1</v>
      </c>
      <c r="F207" s="22" t="s">
        <v>524</v>
      </c>
      <c r="G207" s="22"/>
      <c r="H207" s="16">
        <v>205</v>
      </c>
      <c r="I207" s="8" t="s">
        <v>177</v>
      </c>
      <c r="J207" s="10"/>
    </row>
    <row r="208" spans="1:10">
      <c r="A208" s="5">
        <v>206</v>
      </c>
      <c r="B208" t="str">
        <f>LEFT(Table3[[#This Row],[EPI_DGN_ANTIC]],1)</f>
        <v>K</v>
      </c>
      <c r="C208" t="str">
        <f>LEFT(Table3[[#This Row],[EPI_DGN_ANTIC]],2)</f>
        <v>KP</v>
      </c>
      <c r="D208" s="8" t="s">
        <v>525</v>
      </c>
      <c r="E208" s="10">
        <v>1</v>
      </c>
      <c r="F208" s="22" t="s">
        <v>526</v>
      </c>
      <c r="G208" s="22"/>
      <c r="H208" s="16">
        <v>206</v>
      </c>
      <c r="I208" s="8" t="s">
        <v>204</v>
      </c>
      <c r="J208" s="10"/>
    </row>
    <row r="209" spans="1:10">
      <c r="A209" s="5">
        <v>207</v>
      </c>
      <c r="B209" t="str">
        <f>LEFT(Table3[[#This Row],[EPI_DGN_ANTIC]],1)</f>
        <v>K</v>
      </c>
      <c r="C209" t="str">
        <f>LEFT(Table3[[#This Row],[EPI_DGN_ANTIC]],2)</f>
        <v>KM</v>
      </c>
      <c r="D209" s="8" t="s">
        <v>527</v>
      </c>
      <c r="E209" s="10">
        <v>1</v>
      </c>
      <c r="F209" s="22" t="s">
        <v>410</v>
      </c>
      <c r="G209" s="22"/>
      <c r="H209" s="16">
        <v>207</v>
      </c>
      <c r="I209" s="8" t="s">
        <v>204</v>
      </c>
      <c r="J209" s="10"/>
    </row>
    <row r="210" spans="1:10">
      <c r="A210" s="5">
        <v>208</v>
      </c>
      <c r="B210" t="str">
        <f>LEFT(Table3[[#This Row],[EPI_DGN_ANTIC]],1)</f>
        <v>K</v>
      </c>
      <c r="C210" t="str">
        <f>LEFT(Table3[[#This Row],[EPI_DGN_ANTIC]],2)</f>
        <v>KM</v>
      </c>
      <c r="D210" s="8" t="s">
        <v>528</v>
      </c>
      <c r="E210" s="10">
        <v>1</v>
      </c>
      <c r="F210" s="22" t="s">
        <v>529</v>
      </c>
      <c r="G210" s="22"/>
      <c r="H210" s="16">
        <v>208</v>
      </c>
      <c r="I210" s="8" t="s">
        <v>199</v>
      </c>
      <c r="J210" s="10"/>
    </row>
    <row r="211" spans="1:10">
      <c r="A211" s="5">
        <v>209</v>
      </c>
      <c r="B211" t="str">
        <f>LEFT(Table3[[#This Row],[EPI_DGN_ANTIC]],1)</f>
        <v>K</v>
      </c>
      <c r="C211" t="str">
        <f>LEFT(Table3[[#This Row],[EPI_DGN_ANTIC]],2)</f>
        <v>KM</v>
      </c>
      <c r="D211" s="8" t="s">
        <v>530</v>
      </c>
      <c r="E211" s="10">
        <v>1</v>
      </c>
      <c r="F211" s="22" t="s">
        <v>531</v>
      </c>
      <c r="G211" s="22"/>
      <c r="H211" s="16">
        <v>209</v>
      </c>
      <c r="I211" s="8" t="s">
        <v>199</v>
      </c>
      <c r="J211" s="10"/>
    </row>
    <row r="212" spans="1:10">
      <c r="A212" s="5">
        <v>210</v>
      </c>
      <c r="B212" t="str">
        <f>LEFT(Table3[[#This Row],[EPI_DGN_ANTIC]],1)</f>
        <v>K</v>
      </c>
      <c r="C212" t="str">
        <f>LEFT(Table3[[#This Row],[EPI_DGN_ANTIC]],2)</f>
        <v>KM</v>
      </c>
      <c r="D212" s="8" t="s">
        <v>532</v>
      </c>
      <c r="E212" s="10">
        <v>1</v>
      </c>
      <c r="F212" s="22" t="s">
        <v>533</v>
      </c>
      <c r="G212" s="22"/>
      <c r="H212" s="16">
        <v>210</v>
      </c>
      <c r="I212" s="8" t="s">
        <v>534</v>
      </c>
      <c r="J212" s="10"/>
    </row>
    <row r="213" spans="1:10">
      <c r="A213" s="5">
        <v>211</v>
      </c>
      <c r="B213" t="str">
        <f>LEFT(Table3[[#This Row],[EPI_DGN_ANTIC]],1)</f>
        <v>K</v>
      </c>
      <c r="C213" t="str">
        <f>LEFT(Table3[[#This Row],[EPI_DGN_ANTIC]],2)</f>
        <v>KM</v>
      </c>
      <c r="D213" s="8" t="s">
        <v>535</v>
      </c>
      <c r="E213" s="10">
        <v>1</v>
      </c>
      <c r="F213" s="22" t="s">
        <v>536</v>
      </c>
      <c r="G213" s="22"/>
      <c r="H213" s="16">
        <v>211</v>
      </c>
      <c r="I213" s="8" t="s">
        <v>537</v>
      </c>
      <c r="J213" s="10"/>
    </row>
    <row r="214" spans="1:10">
      <c r="A214" s="5">
        <v>212</v>
      </c>
      <c r="B214" t="str">
        <f>LEFT(Table3[[#This Row],[EPI_DGN_ANTIC]],1)</f>
        <v>K</v>
      </c>
      <c r="C214" t="str">
        <f>LEFT(Table3[[#This Row],[EPI_DGN_ANTIC]],2)</f>
        <v>KS</v>
      </c>
      <c r="D214" s="8" t="s">
        <v>538</v>
      </c>
      <c r="E214" s="10">
        <v>1</v>
      </c>
      <c r="F214" s="22" t="s">
        <v>455</v>
      </c>
      <c r="G214" s="22"/>
      <c r="H214" s="16">
        <v>212</v>
      </c>
      <c r="I214" s="8" t="s">
        <v>539</v>
      </c>
      <c r="J214" s="10"/>
    </row>
    <row r="215" spans="1:10">
      <c r="A215" s="5">
        <v>213</v>
      </c>
      <c r="B215" t="str">
        <f>LEFT(Table3[[#This Row],[EPI_DGN_ANTIC]],1)</f>
        <v>K</v>
      </c>
      <c r="C215" t="str">
        <f>LEFT(Table3[[#This Row],[EPI_DGN_ANTIC]],2)</f>
        <v>KS</v>
      </c>
      <c r="D215" s="8" t="s">
        <v>540</v>
      </c>
      <c r="E215" s="10">
        <v>1</v>
      </c>
      <c r="F215" s="22" t="s">
        <v>457</v>
      </c>
      <c r="G215" s="22"/>
      <c r="H215" s="16">
        <v>213</v>
      </c>
      <c r="I215" s="8" t="s">
        <v>117</v>
      </c>
      <c r="J215" s="10"/>
    </row>
    <row r="216" spans="1:10">
      <c r="A216" s="5">
        <v>214</v>
      </c>
      <c r="B216" t="str">
        <f>LEFT(Table3[[#This Row],[EPI_DGN_ANTIC]],1)</f>
        <v>K</v>
      </c>
      <c r="C216" t="str">
        <f>LEFT(Table3[[#This Row],[EPI_DGN_ANTIC]],2)</f>
        <v>KS</v>
      </c>
      <c r="D216" s="8" t="s">
        <v>541</v>
      </c>
      <c r="E216" s="10">
        <v>1</v>
      </c>
      <c r="F216" s="22" t="s">
        <v>542</v>
      </c>
      <c r="G216" s="22"/>
      <c r="H216" s="16">
        <v>214</v>
      </c>
      <c r="I216" s="8" t="s">
        <v>543</v>
      </c>
      <c r="J216" s="10"/>
    </row>
    <row r="217" spans="1:10">
      <c r="A217" s="5">
        <v>215</v>
      </c>
      <c r="B217" t="str">
        <f>LEFT(Table3[[#This Row],[EPI_DGN_ANTIC]],1)</f>
        <v>K</v>
      </c>
      <c r="C217" t="str">
        <f>LEFT(Table3[[#This Row],[EPI_DGN_ANTIC]],2)</f>
        <v>KS</v>
      </c>
      <c r="D217" s="8" t="s">
        <v>544</v>
      </c>
      <c r="E217" s="10">
        <v>1</v>
      </c>
      <c r="F217" s="22" t="s">
        <v>545</v>
      </c>
      <c r="G217" s="22"/>
      <c r="H217" s="16">
        <v>215</v>
      </c>
      <c r="I217" s="8" t="s">
        <v>253</v>
      </c>
      <c r="J217" s="10"/>
    </row>
    <row r="218" spans="1:10">
      <c r="A218" s="5">
        <v>216</v>
      </c>
      <c r="B218" t="str">
        <f>LEFT(Table3[[#This Row],[EPI_DGN_ANTIC]],1)</f>
        <v>K</v>
      </c>
      <c r="C218" t="str">
        <f>LEFT(Table3[[#This Row],[EPI_DGN_ANTIC]],2)</f>
        <v>KS</v>
      </c>
      <c r="D218" s="8" t="s">
        <v>546</v>
      </c>
      <c r="E218" s="10">
        <v>1</v>
      </c>
      <c r="F218" t="s">
        <v>470</v>
      </c>
      <c r="H218" s="16">
        <v>216</v>
      </c>
      <c r="I218" s="8" t="s">
        <v>242</v>
      </c>
      <c r="J218" s="10"/>
    </row>
    <row r="219" spans="1:10">
      <c r="A219" s="5">
        <v>217</v>
      </c>
      <c r="B219" t="str">
        <f>LEFT(Table3[[#This Row],[EPI_DGN_ANTIC]],1)</f>
        <v>K</v>
      </c>
      <c r="C219" t="str">
        <f>LEFT(Table3[[#This Row],[EPI_DGN_ANTIC]],2)</f>
        <v>KS</v>
      </c>
      <c r="D219" s="8" t="s">
        <v>547</v>
      </c>
      <c r="E219" s="10">
        <v>1</v>
      </c>
      <c r="F219" t="s">
        <v>467</v>
      </c>
      <c r="H219" s="16">
        <v>217</v>
      </c>
      <c r="I219" s="8" t="s">
        <v>548</v>
      </c>
      <c r="J219" s="10"/>
    </row>
    <row r="220" spans="1:10">
      <c r="A220" s="5">
        <v>218</v>
      </c>
      <c r="B220" t="str">
        <f>LEFT(Table3[[#This Row],[EPI_DGN_ANTIC]],1)</f>
        <v>Z</v>
      </c>
      <c r="C220" t="str">
        <f>LEFT(Table3[[#This Row],[EPI_DGN_ANTIC]],3)</f>
        <v>ZOb</v>
      </c>
      <c r="D220" s="8" t="s">
        <v>549</v>
      </c>
      <c r="E220" s="10">
        <v>1</v>
      </c>
      <c r="F220" s="22" t="s">
        <v>550</v>
      </c>
      <c r="G220" s="22"/>
      <c r="H220" s="16">
        <v>218</v>
      </c>
      <c r="I220" s="8" t="s">
        <v>293</v>
      </c>
      <c r="J220" s="10"/>
    </row>
    <row r="221" spans="1:10">
      <c r="A221" s="5">
        <v>219</v>
      </c>
      <c r="B221" t="s">
        <v>350</v>
      </c>
      <c r="C221" t="s">
        <v>354</v>
      </c>
      <c r="D221" s="8" t="s">
        <v>551</v>
      </c>
      <c r="E221" s="10">
        <v>1</v>
      </c>
      <c r="F221" s="22" t="s">
        <v>552</v>
      </c>
      <c r="G221" s="22"/>
      <c r="H221" s="16">
        <v>219</v>
      </c>
      <c r="I221" s="8" t="s">
        <v>253</v>
      </c>
      <c r="J221" s="10"/>
    </row>
    <row r="222" spans="1:10">
      <c r="A222" s="5">
        <v>220</v>
      </c>
      <c r="B222" t="str">
        <f>LEFT(Table3[[#This Row],[EPI_DGN_ANTIC]],1)</f>
        <v>Z</v>
      </c>
      <c r="C222" t="str">
        <f>LEFT(Table3[[#This Row],[EPI_DGN_ANTIC]],3)</f>
        <v>ZOc</v>
      </c>
      <c r="D222" s="8" t="s">
        <v>553</v>
      </c>
      <c r="E222" s="10">
        <v>1</v>
      </c>
      <c r="F222" s="22" t="s">
        <v>554</v>
      </c>
      <c r="G222" s="22"/>
      <c r="H222" s="16">
        <v>220</v>
      </c>
      <c r="I222" s="8" t="s">
        <v>253</v>
      </c>
      <c r="J222" s="10"/>
    </row>
    <row r="223" spans="1:10">
      <c r="A223" s="5">
        <v>221</v>
      </c>
      <c r="B223" t="str">
        <f>LEFT(Table3[[#This Row],[EPI_DGN_ANTIC]],1)</f>
        <v>Z</v>
      </c>
      <c r="C223" t="str">
        <f>LEFT(Table3[[#This Row],[EPI_DGN_ANTIC]],3)</f>
        <v>ZOc</v>
      </c>
      <c r="D223" s="8" t="s">
        <v>555</v>
      </c>
      <c r="E223" s="10">
        <v>1</v>
      </c>
      <c r="F223" s="22" t="s">
        <v>556</v>
      </c>
      <c r="G223" s="22"/>
      <c r="H223" s="16">
        <v>221</v>
      </c>
      <c r="I223" s="8" t="s">
        <v>242</v>
      </c>
      <c r="J223" s="10"/>
    </row>
    <row r="224" spans="1:10">
      <c r="A224" s="5">
        <v>222</v>
      </c>
      <c r="B224" t="str">
        <f>LEFT(Table3[[#This Row],[EPI_DGN_ANTIC]],1)</f>
        <v>Z</v>
      </c>
      <c r="C224" t="str">
        <f>LEFT(Table3[[#This Row],[EPI_DGN_ANTIC]],3)</f>
        <v>ZOg</v>
      </c>
      <c r="D224" s="8" t="s">
        <v>557</v>
      </c>
      <c r="E224" s="10">
        <v>1</v>
      </c>
      <c r="F224" s="22" t="s">
        <v>554</v>
      </c>
      <c r="G224" s="22"/>
      <c r="H224" s="16">
        <v>222</v>
      </c>
      <c r="I224" s="8" t="s">
        <v>558</v>
      </c>
      <c r="J224" s="10"/>
    </row>
    <row r="225" spans="1:10">
      <c r="A225" s="5">
        <v>223</v>
      </c>
      <c r="B225" t="s">
        <v>350</v>
      </c>
      <c r="C225" t="s">
        <v>559</v>
      </c>
      <c r="D225" s="8" t="s">
        <v>560</v>
      </c>
      <c r="E225" s="10">
        <v>1</v>
      </c>
      <c r="F225" s="22" t="s">
        <v>363</v>
      </c>
      <c r="G225" s="22"/>
      <c r="H225" s="16">
        <v>223</v>
      </c>
      <c r="I225" s="8" t="s">
        <v>561</v>
      </c>
      <c r="J225" s="10"/>
    </row>
    <row r="226" spans="1:10">
      <c r="A226" s="5">
        <v>224</v>
      </c>
      <c r="B226" t="s">
        <v>350</v>
      </c>
      <c r="C226" t="s">
        <v>559</v>
      </c>
      <c r="D226" s="8" t="s">
        <v>562</v>
      </c>
      <c r="E226" s="10">
        <v>1</v>
      </c>
      <c r="F226" s="22" t="s">
        <v>363</v>
      </c>
      <c r="G226" s="22"/>
      <c r="H226" s="16">
        <v>224</v>
      </c>
      <c r="I226" s="8" t="s">
        <v>563</v>
      </c>
      <c r="J226" s="10"/>
    </row>
    <row r="227" spans="1:10">
      <c r="A227" s="5">
        <v>225</v>
      </c>
      <c r="B227" t="s">
        <v>350</v>
      </c>
      <c r="C227" t="s">
        <v>559</v>
      </c>
      <c r="D227" s="8" t="s">
        <v>564</v>
      </c>
      <c r="E227" s="10">
        <v>1</v>
      </c>
      <c r="F227" s="22" t="s">
        <v>363</v>
      </c>
      <c r="G227" s="22"/>
      <c r="H227" s="16">
        <v>225</v>
      </c>
      <c r="I227" s="8" t="s">
        <v>565</v>
      </c>
      <c r="J227" s="10"/>
    </row>
    <row r="228" spans="1:10">
      <c r="A228" s="5">
        <v>226</v>
      </c>
      <c r="B228" t="s">
        <v>350</v>
      </c>
      <c r="C228" t="s">
        <v>559</v>
      </c>
      <c r="D228" s="8" t="s">
        <v>566</v>
      </c>
      <c r="E228" s="10">
        <v>1</v>
      </c>
      <c r="F228" s="22" t="s">
        <v>363</v>
      </c>
      <c r="G228" s="22"/>
      <c r="H228" s="16">
        <v>226</v>
      </c>
      <c r="I228" s="8" t="s">
        <v>567</v>
      </c>
      <c r="J228" s="10"/>
    </row>
    <row r="229" spans="1:10">
      <c r="A229" s="5">
        <v>227</v>
      </c>
      <c r="B229" t="str">
        <f>LEFT(Table3[[#This Row],[EPI_DGN_ANTIC]],1)</f>
        <v>K</v>
      </c>
      <c r="C229" t="str">
        <f>LEFT(Table3[[#This Row],[EPI_DGN_ANTIC]],2)</f>
        <v>Kl</v>
      </c>
      <c r="D229" s="8" t="s">
        <v>568</v>
      </c>
      <c r="E229" s="10">
        <v>1</v>
      </c>
      <c r="F229" s="22" t="s">
        <v>569</v>
      </c>
      <c r="G229" s="22"/>
      <c r="H229" s="16">
        <v>227</v>
      </c>
      <c r="I229" s="8" t="s">
        <v>570</v>
      </c>
      <c r="J229" s="10"/>
    </row>
    <row r="230" spans="1:10">
      <c r="A230" s="5">
        <v>228</v>
      </c>
      <c r="B230" t="str">
        <f>LEFT(Table3[[#This Row],[EPI_DGN_ANTIC]],1)</f>
        <v>C</v>
      </c>
      <c r="C230" t="str">
        <f>LEFT(Table3[[#This Row],[EPI_DGN_ANTIC]],3)</f>
        <v>CAP</v>
      </c>
      <c r="D230" s="8" t="s">
        <v>571</v>
      </c>
      <c r="E230" s="10">
        <v>0</v>
      </c>
      <c r="F230" s="22"/>
      <c r="G230" s="22"/>
      <c r="H230" s="16">
        <v>228</v>
      </c>
      <c r="I230" s="8" t="s">
        <v>570</v>
      </c>
      <c r="J230" s="10"/>
    </row>
    <row r="231" spans="1:10">
      <c r="A231" s="5">
        <v>229</v>
      </c>
      <c r="B231" t="str">
        <f>LEFT(Table3[[#This Row],[EPI_DGN_ANTIC]],1)</f>
        <v>J</v>
      </c>
      <c r="C231" t="str">
        <f>LEFT(Table3[[#This Row],[EPI_DGN_ANTIC]],2)</f>
        <v>JL</v>
      </c>
      <c r="D231" s="8" t="s">
        <v>275</v>
      </c>
      <c r="E231" s="10">
        <v>0</v>
      </c>
      <c r="F231" s="22"/>
      <c r="G231" s="22"/>
      <c r="H231" s="16">
        <v>229</v>
      </c>
      <c r="I231" s="8" t="s">
        <v>570</v>
      </c>
      <c r="J231" s="10"/>
    </row>
    <row r="232" spans="1:10">
      <c r="A232" s="5">
        <v>230</v>
      </c>
      <c r="B232" t="str">
        <f>LEFT(Table3[[#This Row],[EPI_DGN_ANTIC]],1)</f>
        <v>J</v>
      </c>
      <c r="C232" t="str">
        <f>LEFT(Table3[[#This Row],[EPI_DGN_ANTIC]],2)</f>
        <v>JL</v>
      </c>
      <c r="D232" s="8" t="s">
        <v>572</v>
      </c>
      <c r="E232" s="10">
        <v>1</v>
      </c>
      <c r="F232" s="22" t="s">
        <v>573</v>
      </c>
      <c r="G232" t="s">
        <v>90</v>
      </c>
      <c r="H232" s="16">
        <v>230</v>
      </c>
      <c r="I232" s="8" t="s">
        <v>570</v>
      </c>
      <c r="J232" s="10"/>
    </row>
    <row r="233" spans="1:10">
      <c r="A233" s="5">
        <v>231</v>
      </c>
      <c r="B233" t="str">
        <f>LEFT(Table3[[#This Row],[EPI_DGN_ANTIC]],1)</f>
        <v>E</v>
      </c>
      <c r="C233" t="str">
        <f>LEFT(Table3[[#This Row],[EPI_DGN_ANTIC]],2)</f>
        <v>EI</v>
      </c>
      <c r="D233" s="8" t="s">
        <v>574</v>
      </c>
      <c r="E233" s="10">
        <v>1</v>
      </c>
      <c r="F233" s="22" t="s">
        <v>111</v>
      </c>
      <c r="G233" s="22"/>
      <c r="H233" s="16">
        <v>231</v>
      </c>
      <c r="I233" s="8" t="s">
        <v>48</v>
      </c>
      <c r="J233" s="10"/>
    </row>
    <row r="234" spans="1:10">
      <c r="A234" s="5">
        <v>232</v>
      </c>
      <c r="B234" t="str">
        <f>LEFT(Table3[[#This Row],[EPI_DGN_ANTIC]],1)</f>
        <v>E</v>
      </c>
      <c r="C234" t="str">
        <f>LEFT(Table3[[#This Row],[EPI_DGN_ANTIC]],3)</f>
        <v>ECl</v>
      </c>
      <c r="D234" s="8" t="s">
        <v>575</v>
      </c>
      <c r="E234" s="10">
        <v>1</v>
      </c>
      <c r="F234" s="22" t="s">
        <v>435</v>
      </c>
      <c r="G234" s="22"/>
      <c r="H234" s="16">
        <v>232</v>
      </c>
      <c r="I234" s="8" t="s">
        <v>576</v>
      </c>
      <c r="J234" s="10"/>
    </row>
    <row r="235" spans="1:10">
      <c r="A235" s="5">
        <v>233</v>
      </c>
      <c r="B235" t="str">
        <f>LEFT(Table3[[#This Row],[EPI_DGN_ANTIC]],1)</f>
        <v>E</v>
      </c>
      <c r="C235" t="str">
        <f>LEFT(Table3[[#This Row],[EPI_DGN_ANTIC]],3)</f>
        <v>ECl</v>
      </c>
      <c r="D235" s="8" t="s">
        <v>577</v>
      </c>
      <c r="E235" s="10">
        <v>1</v>
      </c>
      <c r="F235" s="22" t="s">
        <v>578</v>
      </c>
      <c r="G235" s="22"/>
      <c r="H235" s="16">
        <v>233</v>
      </c>
      <c r="I235" s="8" t="s">
        <v>579</v>
      </c>
      <c r="J235" s="10"/>
    </row>
    <row r="236" spans="1:10">
      <c r="A236" s="5">
        <v>234</v>
      </c>
      <c r="B236" t="str">
        <f>LEFT(Table3[[#This Row],[EPI_DGN_ANTIC]],1)</f>
        <v>E</v>
      </c>
      <c r="C236" t="str">
        <f>LEFT(Table3[[#This Row],[EPI_DGN_ANTIC]],3)</f>
        <v>ECl</v>
      </c>
      <c r="D236" s="8" t="s">
        <v>580</v>
      </c>
      <c r="E236" s="10">
        <v>1</v>
      </c>
      <c r="F236" s="22" t="s">
        <v>435</v>
      </c>
      <c r="G236" s="22"/>
      <c r="H236" s="16">
        <v>234</v>
      </c>
      <c r="I236" s="8" t="s">
        <v>172</v>
      </c>
      <c r="J236" s="10"/>
    </row>
    <row r="237" spans="1:10">
      <c r="A237" s="5">
        <v>235</v>
      </c>
      <c r="B237" t="str">
        <f>LEFT(Table3[[#This Row],[EPI_DGN_ANTIC]],1)</f>
        <v>E</v>
      </c>
      <c r="C237" t="str">
        <f>LEFT(Table3[[#This Row],[EPI_DGN_ANTIC]],3)</f>
        <v>ECg</v>
      </c>
      <c r="D237" s="8" t="s">
        <v>581</v>
      </c>
      <c r="E237" s="10">
        <v>1</v>
      </c>
      <c r="F237" s="22" t="s">
        <v>427</v>
      </c>
      <c r="G237" s="22"/>
      <c r="H237" s="16">
        <v>235</v>
      </c>
      <c r="I237" s="8" t="s">
        <v>582</v>
      </c>
      <c r="J237" s="10"/>
    </row>
    <row r="238" spans="1:10">
      <c r="A238" s="5">
        <v>236</v>
      </c>
      <c r="B238" t="str">
        <f>LEFT(Table3[[#This Row],[EPI_DGN_ANTIC]],1)</f>
        <v>E</v>
      </c>
      <c r="C238" t="str">
        <f>LEFT(Table3[[#This Row],[EPI_DGN_ANTIC]],3)</f>
        <v>ECl</v>
      </c>
      <c r="D238" s="8" t="s">
        <v>583</v>
      </c>
      <c r="E238" s="10">
        <v>1</v>
      </c>
      <c r="F238" s="22" t="s">
        <v>441</v>
      </c>
      <c r="G238" s="22"/>
      <c r="H238" s="16">
        <v>236</v>
      </c>
      <c r="I238" s="8" t="s">
        <v>584</v>
      </c>
      <c r="J238" s="10"/>
    </row>
    <row r="239" spans="1:10">
      <c r="A239" s="5">
        <v>237</v>
      </c>
      <c r="B239" t="str">
        <f>LEFT(Table3[[#This Row],[EPI_DGN_ANTIC]],1)</f>
        <v>E</v>
      </c>
      <c r="C239" t="str">
        <f>LEFT(Table3[[#This Row],[EPI_DGN_ANTIC]],3)</f>
        <v>ECl</v>
      </c>
      <c r="D239" s="8" t="s">
        <v>585</v>
      </c>
      <c r="E239" s="10">
        <v>1</v>
      </c>
      <c r="F239" s="22" t="s">
        <v>441</v>
      </c>
      <c r="G239" s="22"/>
      <c r="H239" s="16">
        <v>237</v>
      </c>
      <c r="I239" s="8" t="s">
        <v>584</v>
      </c>
      <c r="J239" s="10"/>
    </row>
    <row r="240" spans="1:10">
      <c r="A240" s="5">
        <v>238</v>
      </c>
      <c r="B240" t="str">
        <f>LEFT(Table3[[#This Row],[EPI_DGN_ANTIC]],1)</f>
        <v>E</v>
      </c>
      <c r="C240" t="str">
        <f>LEFT(Table3[[#This Row],[EPI_DGN_ANTIC]],3)</f>
        <v>ECl</v>
      </c>
      <c r="D240" s="8" t="s">
        <v>586</v>
      </c>
      <c r="E240" s="10">
        <v>1</v>
      </c>
      <c r="F240" s="22" t="s">
        <v>435</v>
      </c>
      <c r="G240" s="22"/>
      <c r="H240" s="16">
        <v>238</v>
      </c>
      <c r="I240" s="8" t="s">
        <v>325</v>
      </c>
      <c r="J240" s="10"/>
    </row>
    <row r="241" spans="1:10">
      <c r="A241" s="5">
        <v>239</v>
      </c>
      <c r="B241" t="str">
        <f>LEFT(Table3[[#This Row],[EPI_DGN_ANTIC]],1)</f>
        <v>E</v>
      </c>
      <c r="C241" t="str">
        <f>LEFT(Table3[[#This Row],[EPI_DGN_ANTIC]],3)</f>
        <v>ECl</v>
      </c>
      <c r="D241" s="8" t="s">
        <v>587</v>
      </c>
      <c r="E241" s="10">
        <v>1</v>
      </c>
      <c r="F241" s="22" t="s">
        <v>435</v>
      </c>
      <c r="G241" s="22"/>
      <c r="H241" s="16">
        <v>239</v>
      </c>
      <c r="I241" s="8" t="s">
        <v>478</v>
      </c>
      <c r="J241" s="10"/>
    </row>
    <row r="242" spans="1:10">
      <c r="A242" s="5">
        <v>240</v>
      </c>
      <c r="B242" t="str">
        <f>LEFT(Table3[[#This Row],[EPI_DGN_ANTIC]],1)</f>
        <v>E</v>
      </c>
      <c r="C242" t="str">
        <f>LEFT(Table3[[#This Row],[EPI_DGN_ANTIC]],2)</f>
        <v>EI</v>
      </c>
      <c r="D242" s="8" t="s">
        <v>588</v>
      </c>
      <c r="E242" s="10">
        <v>1</v>
      </c>
      <c r="F242" s="22" t="s">
        <v>589</v>
      </c>
      <c r="G242" s="22"/>
      <c r="H242" s="16">
        <v>240</v>
      </c>
      <c r="I242" s="8" t="s">
        <v>590</v>
      </c>
      <c r="J242" s="10"/>
    </row>
    <row r="243" spans="1:10">
      <c r="A243" s="5">
        <v>241</v>
      </c>
      <c r="B243" t="str">
        <f>LEFT(Table3[[#This Row],[EPI_DGN_ANTIC]],1)</f>
        <v>E</v>
      </c>
      <c r="C243" t="str">
        <f>LEFT(Table3[[#This Row],[EPI_DGN_ANTIC]],2)</f>
        <v>EI</v>
      </c>
      <c r="D243" s="8" t="s">
        <v>591</v>
      </c>
      <c r="E243" s="10">
        <v>1</v>
      </c>
      <c r="F243" s="22" t="s">
        <v>592</v>
      </c>
      <c r="G243" s="22"/>
      <c r="H243" s="16">
        <v>241</v>
      </c>
      <c r="I243" s="8" t="s">
        <v>593</v>
      </c>
      <c r="J243" s="10"/>
    </row>
    <row r="244" spans="1:10">
      <c r="A244" s="5">
        <v>242</v>
      </c>
      <c r="B244" t="str">
        <f>LEFT(Table3[[#This Row],[EPI_DGN_ANTIC]],1)</f>
        <v>E</v>
      </c>
      <c r="C244" t="str">
        <f>LEFT(Table3[[#This Row],[EPI_DGN_ANTIC]],3)</f>
        <v>EBc</v>
      </c>
      <c r="D244" s="8" t="s">
        <v>594</v>
      </c>
      <c r="E244" s="10">
        <v>1</v>
      </c>
      <c r="F244" s="22" t="s">
        <v>595</v>
      </c>
      <c r="G244" s="22"/>
      <c r="H244" s="16">
        <v>242</v>
      </c>
      <c r="I244" s="8" t="s">
        <v>596</v>
      </c>
      <c r="J244" s="10"/>
    </row>
    <row r="245" spans="1:10">
      <c r="A245" s="5">
        <v>243</v>
      </c>
      <c r="B245" t="str">
        <f>LEFT(Table3[[#This Row],[EPI_DGN_ANTIC]],1)</f>
        <v>E</v>
      </c>
      <c r="C245" t="str">
        <f>LEFT(Table3[[#This Row],[EPI_DGN_ANTIC]],3)</f>
        <v>EBl</v>
      </c>
      <c r="D245" s="8" t="s">
        <v>597</v>
      </c>
      <c r="E245" s="10">
        <v>1</v>
      </c>
      <c r="F245" s="22" t="s">
        <v>598</v>
      </c>
      <c r="G245" s="22"/>
      <c r="H245" s="16">
        <v>243</v>
      </c>
      <c r="I245" s="8" t="s">
        <v>599</v>
      </c>
      <c r="J245" s="10"/>
    </row>
    <row r="246" spans="1:10">
      <c r="A246" s="5">
        <v>244</v>
      </c>
      <c r="B246" t="str">
        <f>LEFT(Table3[[#This Row],[EPI_DGN_ANTIC]],1)</f>
        <v>E</v>
      </c>
      <c r="C246" t="str">
        <f>LEFT(Table3[[#This Row],[EPI_DGN_ANTIC]],3)</f>
        <v>EBl</v>
      </c>
      <c r="D246" s="8" t="s">
        <v>600</v>
      </c>
      <c r="E246" s="10">
        <v>1</v>
      </c>
      <c r="F246" s="22" t="s">
        <v>47</v>
      </c>
      <c r="G246" s="22"/>
      <c r="H246" s="16">
        <v>244</v>
      </c>
      <c r="I246" s="8" t="s">
        <v>601</v>
      </c>
      <c r="J246" s="10"/>
    </row>
    <row r="247" spans="1:10">
      <c r="A247" s="5">
        <v>245</v>
      </c>
      <c r="B247" t="str">
        <f>LEFT(Table3[[#This Row],[EPI_DGN_ANTIC]],1)</f>
        <v>E</v>
      </c>
      <c r="C247" t="str">
        <f>LEFT(Table3[[#This Row],[EPI_DGN_ANTIC]],3)</f>
        <v>EBl</v>
      </c>
      <c r="D247" s="8" t="s">
        <v>602</v>
      </c>
      <c r="E247" s="10">
        <v>1</v>
      </c>
      <c r="F247" s="22" t="s">
        <v>603</v>
      </c>
      <c r="G247" s="22"/>
      <c r="H247" s="16">
        <v>245</v>
      </c>
      <c r="I247" s="8" t="s">
        <v>604</v>
      </c>
      <c r="J247" s="10"/>
    </row>
    <row r="248" spans="1:10">
      <c r="A248" s="5">
        <v>246</v>
      </c>
      <c r="B248" t="str">
        <f>LEFT(Table3[[#This Row],[EPI_DGN_ANTIC]],1)</f>
        <v>G</v>
      </c>
      <c r="C248" t="str">
        <f>LEFT(Table3[[#This Row],[EPI_DGN_ANTIC]],2)</f>
        <v>Gm</v>
      </c>
      <c r="D248" s="8" t="s">
        <v>605</v>
      </c>
      <c r="E248" s="10">
        <v>1</v>
      </c>
      <c r="F248" s="22" t="s">
        <v>310</v>
      </c>
      <c r="G248" t="s">
        <v>90</v>
      </c>
      <c r="H248" s="16">
        <v>246</v>
      </c>
      <c r="I248" s="8" t="s">
        <v>606</v>
      </c>
      <c r="J248" s="10"/>
    </row>
    <row r="249" spans="1:10">
      <c r="A249" s="5">
        <v>247</v>
      </c>
      <c r="B249" t="str">
        <f>LEFT(Table3[[#This Row],[EPI_DGN_ANTIC]],1)</f>
        <v>G</v>
      </c>
      <c r="C249" t="str">
        <f>LEFT(Table3[[#This Row],[EPI_DGN_ANTIC]],2)</f>
        <v>Gg</v>
      </c>
      <c r="D249" s="8" t="s">
        <v>607</v>
      </c>
      <c r="E249" s="10">
        <v>1</v>
      </c>
      <c r="F249" s="22" t="s">
        <v>454</v>
      </c>
      <c r="G249" s="22"/>
      <c r="H249" s="16">
        <v>247</v>
      </c>
      <c r="I249" s="8" t="s">
        <v>608</v>
      </c>
      <c r="J249" s="10"/>
    </row>
    <row r="250" spans="1:10">
      <c r="A250" s="5">
        <v>248</v>
      </c>
      <c r="B250" t="str">
        <f>LEFT(Table3[[#This Row],[EPI_DGN_ANTIC]],1)</f>
        <v>G</v>
      </c>
      <c r="C250" t="str">
        <f>LEFT(Table3[[#This Row],[EPI_DGN_ANTIC]],2)</f>
        <v>Gp</v>
      </c>
      <c r="D250" s="8" t="s">
        <v>609</v>
      </c>
      <c r="E250" s="10">
        <v>1</v>
      </c>
      <c r="F250" s="22" t="s">
        <v>610</v>
      </c>
      <c r="G250" s="22" t="s">
        <v>486</v>
      </c>
      <c r="H250" s="16">
        <v>248</v>
      </c>
      <c r="I250" s="8" t="s">
        <v>611</v>
      </c>
      <c r="J250" s="10"/>
    </row>
    <row r="251" spans="1:10">
      <c r="A251" s="5">
        <v>249</v>
      </c>
      <c r="B251" t="str">
        <f>LEFT(Table3[[#This Row],[EPI_DGN_ANTIC]],1)</f>
        <v>G</v>
      </c>
      <c r="C251" t="str">
        <f>LEFT(Table3[[#This Row],[EPI_DGN_ANTIC]],2)</f>
        <v>Gp</v>
      </c>
      <c r="D251" s="8" t="s">
        <v>612</v>
      </c>
      <c r="E251" s="10">
        <v>1</v>
      </c>
      <c r="F251" s="22" t="s">
        <v>333</v>
      </c>
      <c r="G251" t="s">
        <v>90</v>
      </c>
      <c r="H251" s="16">
        <v>249</v>
      </c>
      <c r="I251" s="8" t="s">
        <v>613</v>
      </c>
      <c r="J251" s="10"/>
    </row>
    <row r="252" spans="1:10">
      <c r="A252" s="5">
        <v>250</v>
      </c>
      <c r="B252" t="str">
        <f>LEFT(Table3[[#This Row],[EPI_DGN_ANTIC]],1)</f>
        <v>G</v>
      </c>
      <c r="C252" t="str">
        <f>LEFT(Table3[[#This Row],[EPI_DGN_ANTIC]],2)</f>
        <v>Gm</v>
      </c>
      <c r="D252" s="8" t="s">
        <v>614</v>
      </c>
      <c r="E252" s="10">
        <v>1</v>
      </c>
      <c r="F252" s="22" t="s">
        <v>310</v>
      </c>
      <c r="G252" t="s">
        <v>486</v>
      </c>
      <c r="H252" s="16">
        <v>250</v>
      </c>
      <c r="I252" s="8" t="s">
        <v>615</v>
      </c>
      <c r="J252" s="10"/>
    </row>
    <row r="253" spans="1:10">
      <c r="A253" s="5">
        <v>251</v>
      </c>
      <c r="B253" t="str">
        <f>LEFT(Table3[[#This Row],[EPI_DGN_ANTIC]],1)</f>
        <v>G</v>
      </c>
      <c r="C253" t="str">
        <f>LEFT(Table3[[#This Row],[EPI_DGN_ANTIC]],2)</f>
        <v>Gm</v>
      </c>
      <c r="D253" s="8" t="s">
        <v>616</v>
      </c>
      <c r="E253" s="10">
        <v>1</v>
      </c>
      <c r="F253" s="22" t="s">
        <v>310</v>
      </c>
      <c r="G253" t="s">
        <v>90</v>
      </c>
      <c r="H253" s="16">
        <v>251</v>
      </c>
      <c r="I253" s="8" t="s">
        <v>79</v>
      </c>
      <c r="J253" s="10"/>
    </row>
    <row r="254" spans="1:10">
      <c r="A254" s="5">
        <v>252</v>
      </c>
      <c r="B254" t="str">
        <f>LEFT(Table3[[#This Row],[EPI_DGN_ANTIC]],1)</f>
        <v>G</v>
      </c>
      <c r="C254" t="str">
        <f>LEFT(Table3[[#This Row],[EPI_DGN_ANTIC]],2)</f>
        <v>Gg</v>
      </c>
      <c r="D254" s="8" t="s">
        <v>617</v>
      </c>
      <c r="E254" s="10">
        <v>1</v>
      </c>
      <c r="F254" s="22" t="s">
        <v>454</v>
      </c>
      <c r="G254" s="22"/>
      <c r="H254" s="16">
        <v>252</v>
      </c>
      <c r="I254" s="8" t="s">
        <v>618</v>
      </c>
      <c r="J254" s="10"/>
    </row>
    <row r="255" spans="1:10">
      <c r="A255" s="5">
        <v>253</v>
      </c>
      <c r="B255" t="str">
        <f>LEFT(Table3[[#This Row],[EPI_DGN_ANTIC]],1)</f>
        <v>G</v>
      </c>
      <c r="C255" t="str">
        <f>LEFT(Table3[[#This Row],[EPI_DGN_ANTIC]],2)</f>
        <v>Gf</v>
      </c>
      <c r="D255" s="8" t="s">
        <v>619</v>
      </c>
      <c r="E255" s="10">
        <v>1</v>
      </c>
      <c r="F255" s="22" t="s">
        <v>620</v>
      </c>
      <c r="G255" s="22"/>
      <c r="H255" s="16">
        <v>253</v>
      </c>
      <c r="I255" s="8" t="s">
        <v>606</v>
      </c>
      <c r="J255" s="10"/>
    </row>
    <row r="256" spans="1:10">
      <c r="A256" s="5">
        <v>254</v>
      </c>
      <c r="B256" t="str">
        <f>LEFT(Table3[[#This Row],[EPI_DGN_ANTIC]],1)</f>
        <v>D</v>
      </c>
      <c r="C256" t="s">
        <v>621</v>
      </c>
      <c r="D256" s="8" t="s">
        <v>622</v>
      </c>
      <c r="E256" s="10">
        <v>0</v>
      </c>
      <c r="F256" s="22"/>
      <c r="G256" s="22"/>
      <c r="H256" s="16">
        <v>254</v>
      </c>
      <c r="I256" s="8" t="s">
        <v>611</v>
      </c>
      <c r="J256" s="10"/>
    </row>
    <row r="257" spans="1:10">
      <c r="A257" s="5">
        <v>255</v>
      </c>
      <c r="B257" t="str">
        <f>LEFT(Table3[[#This Row],[EPI_DGN_ANTIC]],1)</f>
        <v>D</v>
      </c>
      <c r="C257" t="str">
        <f>LEFT(Table3[[#This Row],[EPI_DGN_ANTIC]],2)</f>
        <v>Dm</v>
      </c>
      <c r="D257" s="8" t="s">
        <v>623</v>
      </c>
      <c r="E257" s="10">
        <v>1</v>
      </c>
      <c r="F257" s="22" t="s">
        <v>624</v>
      </c>
      <c r="G257" s="22"/>
      <c r="H257" s="16">
        <v>255</v>
      </c>
      <c r="I257" s="8" t="s">
        <v>625</v>
      </c>
      <c r="J257" s="10"/>
    </row>
    <row r="258" spans="1:10">
      <c r="A258" s="5">
        <v>256</v>
      </c>
      <c r="B258" t="str">
        <f>LEFT(Table3[[#This Row],[EPI_DGN_ANTIC]],1)</f>
        <v>G</v>
      </c>
      <c r="C258" t="str">
        <f>LEFT(Table3[[#This Row],[EPI_DGN_ANTIC]],2)</f>
        <v>Gp</v>
      </c>
      <c r="D258" s="8" t="s">
        <v>626</v>
      </c>
      <c r="E258" s="10">
        <v>1</v>
      </c>
      <c r="F258" s="22" t="s">
        <v>627</v>
      </c>
      <c r="G258" t="s">
        <v>90</v>
      </c>
      <c r="H258" s="16">
        <v>256</v>
      </c>
      <c r="I258" s="8" t="s">
        <v>146</v>
      </c>
      <c r="J258" s="10"/>
    </row>
    <row r="259" spans="1:10">
      <c r="A259" s="5">
        <v>257</v>
      </c>
      <c r="B259" t="str">
        <f>LEFT(Table3[[#This Row],[EPI_DGN_ANTIC]],1)</f>
        <v>Z</v>
      </c>
      <c r="C259" t="str">
        <f>LEFT(Table3[[#This Row],[EPI_DGN_ANTIC]],3)</f>
        <v>ZO</v>
      </c>
      <c r="D259" s="8" t="s">
        <v>352</v>
      </c>
      <c r="E259" s="10">
        <v>1</v>
      </c>
      <c r="F259" s="22" t="s">
        <v>628</v>
      </c>
      <c r="G259" s="22"/>
      <c r="H259" s="16">
        <v>257</v>
      </c>
      <c r="I259" s="8" t="s">
        <v>629</v>
      </c>
      <c r="J259" s="10"/>
    </row>
    <row r="260" spans="1:10">
      <c r="A260" s="5">
        <v>258</v>
      </c>
      <c r="B260" t="str">
        <f>LEFT(Table3[[#This Row],[EPI_DGN_ANTIC]],1)</f>
        <v>Z</v>
      </c>
      <c r="C260" t="str">
        <f>LEFT(Table3[[#This Row],[EPI_DGN_ANTIC]],3)</f>
        <v>Z</v>
      </c>
      <c r="D260" s="8" t="s">
        <v>350</v>
      </c>
      <c r="E260" s="10">
        <v>0</v>
      </c>
      <c r="F260" s="22"/>
      <c r="G260" s="22"/>
      <c r="H260" s="16">
        <v>258</v>
      </c>
      <c r="I260" s="8" t="s">
        <v>630</v>
      </c>
      <c r="J260" s="10"/>
    </row>
    <row r="261" spans="1:10">
      <c r="A261" s="5">
        <v>259</v>
      </c>
      <c r="B261" t="s">
        <v>350</v>
      </c>
      <c r="C261" t="s">
        <v>352</v>
      </c>
      <c r="D261" s="8" t="s">
        <v>631</v>
      </c>
      <c r="E261" s="10">
        <v>1</v>
      </c>
      <c r="F261" s="22" t="s">
        <v>628</v>
      </c>
      <c r="G261" s="22"/>
      <c r="H261" s="16">
        <v>259</v>
      </c>
      <c r="I261" s="8" t="s">
        <v>632</v>
      </c>
      <c r="J261" s="10"/>
    </row>
    <row r="262" spans="1:10">
      <c r="A262" s="5">
        <v>260</v>
      </c>
      <c r="B262" t="s">
        <v>350</v>
      </c>
      <c r="C262" t="s">
        <v>352</v>
      </c>
      <c r="D262" s="8" t="s">
        <v>633</v>
      </c>
      <c r="E262" s="10">
        <v>1</v>
      </c>
      <c r="F262" s="22" t="s">
        <v>628</v>
      </c>
      <c r="G262" s="22"/>
      <c r="H262" s="16">
        <v>260</v>
      </c>
      <c r="I262" s="8" t="s">
        <v>634</v>
      </c>
      <c r="J262" s="10"/>
    </row>
    <row r="263" spans="1:10">
      <c r="A263" s="5">
        <v>261</v>
      </c>
      <c r="B263" t="str">
        <f>LEFT(Table3[[#This Row],[EPI_DGN_ANTIC]],1)</f>
        <v>C</v>
      </c>
      <c r="C263" t="str">
        <f>LEFT(Table3[[#This Row],[EPI_DGN_ANTIC]],2)</f>
        <v>C</v>
      </c>
      <c r="D263" s="8" t="s">
        <v>229</v>
      </c>
      <c r="E263" s="10">
        <v>0</v>
      </c>
      <c r="F263" s="22"/>
      <c r="G263" s="22"/>
      <c r="H263" s="16">
        <v>261</v>
      </c>
      <c r="I263" s="8" t="s">
        <v>635</v>
      </c>
      <c r="J263" s="10"/>
    </row>
    <row r="264" spans="1:10">
      <c r="A264" s="5">
        <v>262</v>
      </c>
      <c r="B264" t="str">
        <f>LEFT(Table3[[#This Row],[EPI_DGN_ANTIC]],1)</f>
        <v>C</v>
      </c>
      <c r="C264" t="str">
        <f>LEFT(Table3[[#This Row],[EPI_DGN_ANTIC]],2)</f>
        <v>Ca</v>
      </c>
      <c r="D264" s="8" t="s">
        <v>636</v>
      </c>
      <c r="E264" s="10">
        <v>0</v>
      </c>
      <c r="F264" s="22"/>
      <c r="G264" s="22"/>
      <c r="H264" s="16">
        <v>262</v>
      </c>
      <c r="I264" s="8" t="s">
        <v>637</v>
      </c>
      <c r="J264" s="10"/>
    </row>
    <row r="265" spans="1:10">
      <c r="A265" s="5">
        <v>263</v>
      </c>
      <c r="B265" t="str">
        <f>LEFT(Table3[[#This Row],[EPI_DGN_ANTIC]],1)</f>
        <v>D</v>
      </c>
      <c r="C265" t="str">
        <f>LEFT(Table3[[#This Row],[EPI_DGN_ANTIC]],2)</f>
        <v>D</v>
      </c>
      <c r="D265" s="8" t="s">
        <v>378</v>
      </c>
      <c r="E265" s="10">
        <v>0</v>
      </c>
      <c r="F265" s="22"/>
      <c r="G265" s="22"/>
      <c r="H265" s="16">
        <v>263</v>
      </c>
      <c r="I265" s="8" t="s">
        <v>637</v>
      </c>
      <c r="J265" s="10"/>
    </row>
    <row r="266" spans="1:10">
      <c r="A266" s="5">
        <v>264</v>
      </c>
      <c r="B266" t="str">
        <f>LEFT(Table3[[#This Row],[EPI_DGN_ANTIC]],1)</f>
        <v>E</v>
      </c>
      <c r="D266" s="8" t="s">
        <v>10</v>
      </c>
      <c r="E266" s="10">
        <v>0</v>
      </c>
      <c r="F266" s="22"/>
      <c r="G266" s="22"/>
      <c r="H266" s="16">
        <v>264</v>
      </c>
      <c r="I266" s="8" t="s">
        <v>638</v>
      </c>
      <c r="J266" s="10"/>
    </row>
    <row r="267" spans="1:10">
      <c r="A267" s="5">
        <v>265</v>
      </c>
      <c r="B267" t="str">
        <f>LEFT(Table3[[#This Row],[EPI_DGN_ANTIC]],1)</f>
        <v>G</v>
      </c>
      <c r="C267" t="str">
        <f>LEFT(Table3[[#This Row],[EPI_DGN_ANTIC]],2)</f>
        <v>Gd</v>
      </c>
      <c r="D267" s="8" t="s">
        <v>639</v>
      </c>
      <c r="E267" s="10">
        <v>0</v>
      </c>
      <c r="F267" s="22"/>
      <c r="G267" s="22"/>
      <c r="H267" s="16">
        <v>265</v>
      </c>
      <c r="I267" s="8" t="s">
        <v>640</v>
      </c>
      <c r="J267" s="10"/>
    </row>
    <row r="268" spans="1:10">
      <c r="A268" s="5">
        <v>266</v>
      </c>
      <c r="B268" t="str">
        <f>LEFT(Table3[[#This Row],[EPI_DGN_ANTIC]],1)</f>
        <v>G</v>
      </c>
      <c r="C268" t="str">
        <f>LEFT(Table3[[#This Row],[EPI_DGN_ANTIC]],2)</f>
        <v>Gn</v>
      </c>
      <c r="D268" s="8" t="s">
        <v>342</v>
      </c>
      <c r="E268" s="10">
        <v>1</v>
      </c>
      <c r="F268" s="22" t="s">
        <v>641</v>
      </c>
      <c r="G268" s="22"/>
      <c r="H268" s="16">
        <v>266</v>
      </c>
      <c r="I268" s="8" t="s">
        <v>642</v>
      </c>
      <c r="J268" s="10"/>
    </row>
    <row r="269" spans="1:10">
      <c r="A269" s="5">
        <v>267</v>
      </c>
      <c r="B269" t="s">
        <v>292</v>
      </c>
      <c r="C269" t="s">
        <v>342</v>
      </c>
      <c r="D269" s="8" t="s">
        <v>643</v>
      </c>
      <c r="E269" s="10">
        <v>1</v>
      </c>
      <c r="F269" s="22" t="s">
        <v>641</v>
      </c>
      <c r="G269" s="22"/>
      <c r="H269" s="16">
        <v>267</v>
      </c>
      <c r="I269" s="8" t="s">
        <v>644</v>
      </c>
      <c r="J269" s="10"/>
    </row>
    <row r="270" spans="1:10">
      <c r="A270" s="5">
        <v>268</v>
      </c>
      <c r="B270" t="str">
        <f>LEFT(Table3[[#This Row],[EPI_DGN_ANTIC]],1)</f>
        <v>J</v>
      </c>
      <c r="C270" t="str">
        <f>LEFT(Table3[[#This Row],[EPI_DGN_ANTIC]],2)</f>
        <v>J</v>
      </c>
      <c r="D270" s="8" t="s">
        <v>270</v>
      </c>
      <c r="E270" s="10">
        <v>0</v>
      </c>
      <c r="F270" s="22"/>
      <c r="G270" s="22"/>
      <c r="H270" s="16">
        <v>268</v>
      </c>
      <c r="I270" s="8" t="s">
        <v>645</v>
      </c>
      <c r="J270" s="10"/>
    </row>
    <row r="271" spans="1:10">
      <c r="A271" s="5">
        <v>269</v>
      </c>
      <c r="B271" t="str">
        <f>LEFT(Table3[[#This Row],[EPI_DGN_ANTIC]],1)</f>
        <v>K</v>
      </c>
      <c r="C271" t="str">
        <f>LEFT(Table3[[#This Row],[EPI_DGN_ANTIC]],2)</f>
        <v>K</v>
      </c>
      <c r="D271" s="8" t="s">
        <v>128</v>
      </c>
      <c r="E271" s="10">
        <v>0</v>
      </c>
      <c r="F271" s="22"/>
      <c r="G271" s="22"/>
      <c r="H271" s="16">
        <v>269</v>
      </c>
      <c r="I271" s="8" t="s">
        <v>168</v>
      </c>
      <c r="J271" s="10"/>
    </row>
    <row r="272" spans="1:10">
      <c r="A272" s="5">
        <v>270</v>
      </c>
      <c r="B272" t="str">
        <f>LEFT(Table3[[#This Row],[EPI_DGN_ANTIC]],1)</f>
        <v>K</v>
      </c>
      <c r="C272" t="str">
        <f>LEFT(Table3[[#This Row],[EPI_DGN_ANTIC]],2)</f>
        <v>KP</v>
      </c>
      <c r="D272" s="8" t="s">
        <v>203</v>
      </c>
      <c r="E272" s="10">
        <v>1</v>
      </c>
      <c r="F272" s="22" t="s">
        <v>646</v>
      </c>
      <c r="G272" s="22"/>
      <c r="H272" s="16">
        <v>270</v>
      </c>
      <c r="I272" s="8" t="s">
        <v>407</v>
      </c>
      <c r="J272" s="10"/>
    </row>
    <row r="273" spans="1:10">
      <c r="A273" s="5">
        <v>271</v>
      </c>
      <c r="B273" t="str">
        <f>LEFT(Table3[[#This Row],[EPI_DGN_ANTIC]],1)</f>
        <v>C</v>
      </c>
      <c r="C273" t="str">
        <f>LEFT(Table3[[#This Row],[EPI_DGN_ANTIC]],3)</f>
        <v>CAc</v>
      </c>
      <c r="D273" s="8" t="s">
        <v>647</v>
      </c>
      <c r="E273" s="10">
        <v>1</v>
      </c>
      <c r="F273" s="22" t="s">
        <v>648</v>
      </c>
      <c r="G273" s="22"/>
      <c r="H273" s="16">
        <v>271</v>
      </c>
      <c r="I273" s="8" t="s">
        <v>649</v>
      </c>
      <c r="J273" s="10"/>
    </row>
    <row r="274" spans="1:10">
      <c r="A274" s="5">
        <v>272</v>
      </c>
      <c r="B274" t="str">
        <f>LEFT(Table3[[#This Row],[EPI_DGN_ANTIC]],1)</f>
        <v>C</v>
      </c>
      <c r="C274" t="str">
        <f>LEFT(Table3[[#This Row],[EPI_DGN_ANTIC]],3)</f>
        <v>CAc</v>
      </c>
      <c r="D274" s="8" t="s">
        <v>650</v>
      </c>
      <c r="E274" s="10">
        <v>1</v>
      </c>
      <c r="F274" s="22" t="s">
        <v>651</v>
      </c>
      <c r="G274" s="22"/>
      <c r="H274" s="16">
        <v>272</v>
      </c>
      <c r="I274" s="8" t="s">
        <v>652</v>
      </c>
      <c r="J274" s="10"/>
    </row>
    <row r="275" spans="1:10">
      <c r="A275" s="5">
        <v>273</v>
      </c>
      <c r="B275" t="str">
        <f>LEFT(Table3[[#This Row],[EPI_DGN_ANTIC]],1)</f>
        <v>C</v>
      </c>
      <c r="C275" t="str">
        <f>LEFT(Table3[[#This Row],[EPI_DGN_ANTIC]],3)</f>
        <v>CAc</v>
      </c>
      <c r="D275" s="8" t="s">
        <v>653</v>
      </c>
      <c r="E275" s="10">
        <v>1</v>
      </c>
      <c r="F275" s="22" t="s">
        <v>654</v>
      </c>
      <c r="G275" s="22"/>
      <c r="H275" s="16">
        <v>273</v>
      </c>
      <c r="I275" s="8" t="s">
        <v>655</v>
      </c>
      <c r="J275" s="10"/>
    </row>
    <row r="276" spans="1:10">
      <c r="A276" s="5">
        <v>274</v>
      </c>
      <c r="B276" t="str">
        <f>LEFT(Table3[[#This Row],[EPI_DGN_ANTIC]],1)</f>
        <v>C</v>
      </c>
      <c r="C276" t="str">
        <f>LEFT(Table3[[#This Row],[EPI_DGN_ANTIC]],3)</f>
        <v>CAg</v>
      </c>
      <c r="D276" s="8" t="s">
        <v>656</v>
      </c>
      <c r="E276" s="10">
        <v>0</v>
      </c>
      <c r="F276" s="22"/>
      <c r="G276" s="22"/>
      <c r="H276" s="16">
        <v>274</v>
      </c>
      <c r="I276" s="8" t="s">
        <v>657</v>
      </c>
      <c r="J276" s="10"/>
    </row>
    <row r="277" spans="1:10">
      <c r="A277" s="5">
        <v>275</v>
      </c>
      <c r="B277" t="str">
        <f>LEFT(Table3[[#This Row],[EPI_DGN_ANTIC]],1)</f>
        <v>C</v>
      </c>
      <c r="C277" t="str">
        <f>LEFT(Table3[[#This Row],[EPI_DGN_ANTIC]],3)</f>
        <v>CAl</v>
      </c>
      <c r="D277" s="8" t="s">
        <v>658</v>
      </c>
      <c r="E277" s="10">
        <v>0</v>
      </c>
      <c r="F277" s="22"/>
      <c r="G277" s="22"/>
      <c r="H277" s="16">
        <v>275</v>
      </c>
      <c r="I277" s="8" t="s">
        <v>659</v>
      </c>
      <c r="J277" s="10"/>
    </row>
    <row r="278" spans="1:10">
      <c r="A278" s="5">
        <v>276</v>
      </c>
      <c r="B278" t="str">
        <f>LEFT(Table3[[#This Row],[EPI_DGN_ANTIC]],1)</f>
        <v>C</v>
      </c>
      <c r="C278" t="str">
        <f>LEFT(Table3[[#This Row],[EPI_DGN_ANTIC]],3)</f>
        <v>CaM</v>
      </c>
      <c r="D278" s="8" t="s">
        <v>660</v>
      </c>
      <c r="E278" s="10">
        <v>1</v>
      </c>
      <c r="F278" s="22" t="s">
        <v>661</v>
      </c>
      <c r="G278" s="22"/>
      <c r="H278" s="16">
        <v>276</v>
      </c>
      <c r="I278" s="8" t="s">
        <v>576</v>
      </c>
      <c r="J278" s="10"/>
    </row>
    <row r="279" spans="1:10">
      <c r="A279" s="5">
        <v>277</v>
      </c>
      <c r="B279" t="str">
        <f>LEFT(Table3[[#This Row],[EPI_DGN_ANTIC]],1)</f>
        <v>C</v>
      </c>
      <c r="C279" t="str">
        <f>LEFT(Table3[[#This Row],[EPI_DGN_ANTIC]],3)</f>
        <v>CAm</v>
      </c>
      <c r="D279" s="8" t="s">
        <v>662</v>
      </c>
      <c r="E279" s="10">
        <v>1</v>
      </c>
      <c r="F279" s="22" t="s">
        <v>663</v>
      </c>
      <c r="G279" s="22"/>
      <c r="H279" s="16">
        <v>277</v>
      </c>
      <c r="I279" s="8" t="s">
        <v>664</v>
      </c>
      <c r="J279" s="10"/>
    </row>
    <row r="280" spans="1:10">
      <c r="A280" s="5">
        <v>278</v>
      </c>
      <c r="B280" t="str">
        <f>LEFT(Table3[[#This Row],[EPI_DGN_ANTIC]],1)</f>
        <v>C</v>
      </c>
      <c r="C280" t="str">
        <f>LEFT(Table3[[#This Row],[EPI_DGN_ANTIC]],3)</f>
        <v>CaM</v>
      </c>
      <c r="D280" s="8" t="s">
        <v>665</v>
      </c>
      <c r="E280" s="10">
        <v>1</v>
      </c>
      <c r="F280" s="22" t="s">
        <v>666</v>
      </c>
      <c r="G280" s="22"/>
      <c r="H280" s="16">
        <v>278</v>
      </c>
      <c r="I280" s="8" t="s">
        <v>664</v>
      </c>
      <c r="J280" s="10"/>
    </row>
    <row r="281" spans="1:10">
      <c r="A281" s="5">
        <v>279</v>
      </c>
      <c r="B281" t="s">
        <v>229</v>
      </c>
      <c r="C281" t="s">
        <v>667</v>
      </c>
      <c r="D281" s="8" t="s">
        <v>668</v>
      </c>
      <c r="E281" s="10">
        <v>1</v>
      </c>
      <c r="F281" s="22" t="s">
        <v>669</v>
      </c>
      <c r="G281" s="22"/>
      <c r="H281" s="16">
        <v>279</v>
      </c>
      <c r="I281" s="8" t="s">
        <v>670</v>
      </c>
      <c r="J281" s="10"/>
    </row>
    <row r="282" spans="1:10">
      <c r="A282" s="5">
        <v>280</v>
      </c>
      <c r="B282" t="str">
        <f>LEFT(Table3[[#This Row],[EPI_DGN_ANTIC]],1)</f>
        <v>C</v>
      </c>
      <c r="C282" t="str">
        <f>LEFT(Table3[[#This Row],[EPI_DGN_ANTIC]],3)</f>
        <v>CAp</v>
      </c>
      <c r="D282" s="8" t="s">
        <v>671</v>
      </c>
      <c r="E282" s="10">
        <v>1</v>
      </c>
      <c r="F282" s="22" t="s">
        <v>672</v>
      </c>
      <c r="G282" s="22"/>
      <c r="H282" s="16">
        <v>280</v>
      </c>
      <c r="I282" s="8" t="s">
        <v>673</v>
      </c>
      <c r="J282" s="10"/>
    </row>
    <row r="283" spans="1:10">
      <c r="A283" s="5">
        <v>281</v>
      </c>
      <c r="B283" t="str">
        <f>LEFT(Table3[[#This Row],[EPI_DGN_ANTIC]],1)</f>
        <v>C</v>
      </c>
      <c r="C283" t="str">
        <f>LEFT(Table3[[#This Row],[EPI_DGN_ANTIC]],2)</f>
        <v>CK</v>
      </c>
      <c r="D283" s="8" t="s">
        <v>674</v>
      </c>
      <c r="E283" s="10">
        <v>1</v>
      </c>
      <c r="F283" s="22" t="s">
        <v>384</v>
      </c>
      <c r="G283" s="22"/>
      <c r="H283" s="16">
        <v>281</v>
      </c>
      <c r="I283" s="8" t="s">
        <v>637</v>
      </c>
      <c r="J283" s="10"/>
    </row>
    <row r="284" spans="1:10">
      <c r="A284" s="5">
        <v>282</v>
      </c>
      <c r="B284" t="str">
        <f>LEFT(Table3[[#This Row],[EPI_DGN_ANTIC]],1)</f>
        <v>C</v>
      </c>
      <c r="C284" t="str">
        <f>LEFT(Table3[[#This Row],[EPI_DGN_ANTIC]],2)</f>
        <v>CK</v>
      </c>
      <c r="D284" s="8" t="s">
        <v>675</v>
      </c>
      <c r="E284" s="10">
        <v>1</v>
      </c>
      <c r="F284" s="22" t="s">
        <v>676</v>
      </c>
      <c r="G284" s="22"/>
      <c r="H284" s="16">
        <v>282</v>
      </c>
      <c r="I284" s="8" t="s">
        <v>637</v>
      </c>
      <c r="J284" s="10"/>
    </row>
    <row r="285" spans="1:10">
      <c r="A285" s="5">
        <v>283</v>
      </c>
      <c r="B285" t="s">
        <v>229</v>
      </c>
      <c r="C285" t="s">
        <v>667</v>
      </c>
      <c r="D285" s="8" t="s">
        <v>677</v>
      </c>
      <c r="E285" s="10">
        <v>1</v>
      </c>
      <c r="F285" s="22" t="s">
        <v>661</v>
      </c>
      <c r="G285" s="22"/>
      <c r="H285" s="16">
        <v>283</v>
      </c>
      <c r="I285" s="8" t="s">
        <v>678</v>
      </c>
      <c r="J285" s="10"/>
    </row>
    <row r="286" spans="1:10">
      <c r="A286" s="5">
        <v>284</v>
      </c>
      <c r="B286" t="s">
        <v>229</v>
      </c>
      <c r="C286" t="s">
        <v>667</v>
      </c>
      <c r="D286" s="8" t="s">
        <v>679</v>
      </c>
      <c r="E286" s="10">
        <v>1</v>
      </c>
      <c r="F286" s="22" t="s">
        <v>680</v>
      </c>
      <c r="G286" s="22"/>
      <c r="H286" s="16">
        <v>284</v>
      </c>
      <c r="I286" s="8" t="s">
        <v>681</v>
      </c>
      <c r="J286" s="10"/>
    </row>
    <row r="287" spans="1:10">
      <c r="A287" s="5">
        <v>285</v>
      </c>
      <c r="B287" t="str">
        <f>LEFT(Table3[[#This Row],[EPI_DGN_ANTIC]],1)</f>
        <v>C</v>
      </c>
      <c r="C287" t="str">
        <f>LEFT(Table3[[#This Row],[EPI_DGN_ANTIC]],3)</f>
        <v>CaM</v>
      </c>
      <c r="D287" s="8" t="s">
        <v>682</v>
      </c>
      <c r="E287" s="10">
        <v>1</v>
      </c>
      <c r="F287" s="22" t="s">
        <v>683</v>
      </c>
      <c r="G287" s="22"/>
      <c r="H287" s="16">
        <v>285</v>
      </c>
      <c r="I287" s="8" t="s">
        <v>684</v>
      </c>
      <c r="J287" s="10"/>
    </row>
    <row r="288" spans="1:10">
      <c r="A288" s="5">
        <v>286</v>
      </c>
      <c r="B288" t="str">
        <f>LEFT(Table3[[#This Row],[EPI_DGN_ANTIC]],1)</f>
        <v>E</v>
      </c>
      <c r="C288" t="str">
        <f>LEFT(Table3[[#This Row],[EPI_DGN_ANTIC]],3)</f>
        <v>ECc</v>
      </c>
      <c r="D288" s="8" t="s">
        <v>685</v>
      </c>
      <c r="E288" s="10">
        <v>0</v>
      </c>
      <c r="F288" s="22"/>
      <c r="G288" s="22"/>
      <c r="H288" s="16">
        <v>286</v>
      </c>
      <c r="I288" s="8" t="s">
        <v>686</v>
      </c>
      <c r="J288" s="10"/>
    </row>
    <row r="289" spans="1:10">
      <c r="A289" s="5">
        <v>287</v>
      </c>
      <c r="B289" t="str">
        <f>LEFT(Table3[[#This Row],[EPI_DGN_ANTIC]],1)</f>
        <v>G</v>
      </c>
      <c r="C289" t="str">
        <f>LEFT(Table3[[#This Row],[EPI_DGN_ANTIC]],2)</f>
        <v>Gg</v>
      </c>
      <c r="D289" s="8" t="s">
        <v>687</v>
      </c>
      <c r="E289" s="10">
        <v>1</v>
      </c>
      <c r="F289" s="22" t="s">
        <v>688</v>
      </c>
      <c r="G289" s="22"/>
      <c r="H289" s="16">
        <v>287</v>
      </c>
      <c r="I289" s="8" t="s">
        <v>689</v>
      </c>
      <c r="J289" s="10"/>
    </row>
    <row r="290" spans="1:10">
      <c r="A290" s="5">
        <v>288</v>
      </c>
      <c r="B290" t="str">
        <f>LEFT(Table3[[#This Row],[EPI_DGN_ANTIC]],1)</f>
        <v>G</v>
      </c>
      <c r="C290" t="str">
        <f>LEFT(Table3[[#This Row],[EPI_DGN_ANTIC]],2)</f>
        <v>Gg</v>
      </c>
      <c r="D290" s="8" t="s">
        <v>690</v>
      </c>
      <c r="E290" s="10">
        <v>0</v>
      </c>
      <c r="F290" s="22"/>
      <c r="G290" s="22"/>
      <c r="H290" s="16">
        <v>288</v>
      </c>
      <c r="I290" s="8" t="s">
        <v>691</v>
      </c>
      <c r="J290" s="10"/>
    </row>
    <row r="291" spans="1:10">
      <c r="A291" s="5">
        <v>289</v>
      </c>
      <c r="B291" t="str">
        <f>LEFT(Table3[[#This Row],[EPI_DGN_ANTIC]],1)</f>
        <v>G</v>
      </c>
      <c r="C291" t="str">
        <f>LEFT(Table3[[#This Row],[EPI_DGN_ANTIC]],2)</f>
        <v>Gm</v>
      </c>
      <c r="D291" s="8" t="s">
        <v>692</v>
      </c>
      <c r="E291" s="10">
        <v>0</v>
      </c>
      <c r="F291" s="22"/>
      <c r="G291" s="22"/>
      <c r="H291" s="16">
        <v>289</v>
      </c>
      <c r="I291" s="8" t="s">
        <v>693</v>
      </c>
      <c r="J291" s="10"/>
    </row>
    <row r="292" spans="1:10">
      <c r="A292" s="5">
        <v>290</v>
      </c>
      <c r="B292" t="str">
        <f>LEFT(Table3[[#This Row],[EPI_DGN_ANTIC]],1)</f>
        <v>G</v>
      </c>
      <c r="C292" t="str">
        <f>LEFT(Table3[[#This Row],[EPI_DGN_ANTIC]],2)</f>
        <v>G</v>
      </c>
      <c r="D292" s="8" t="s">
        <v>292</v>
      </c>
      <c r="E292" s="10">
        <v>0</v>
      </c>
      <c r="F292" s="22"/>
      <c r="G292" s="22"/>
      <c r="H292" s="16">
        <v>290</v>
      </c>
      <c r="I292" s="8" t="s">
        <v>694</v>
      </c>
      <c r="J292" s="10"/>
    </row>
    <row r="293" spans="1:10">
      <c r="A293" s="5">
        <v>291</v>
      </c>
      <c r="B293" t="str">
        <f>LEFT(Table3[[#This Row],[EPI_DGN_ANTIC]],1)</f>
        <v>G</v>
      </c>
      <c r="C293" t="str">
        <f>LEFT(Table3[[#This Row],[EPI_DGN_ANTIC]],2)</f>
        <v>Gq</v>
      </c>
      <c r="D293" s="8" t="s">
        <v>695</v>
      </c>
      <c r="E293" s="10">
        <v>0</v>
      </c>
      <c r="F293" s="22"/>
      <c r="G293" s="22"/>
      <c r="H293" s="16">
        <v>291</v>
      </c>
      <c r="I293" s="8" t="s">
        <v>696</v>
      </c>
      <c r="J293" s="10"/>
    </row>
    <row r="294" spans="1:10">
      <c r="A294" s="5">
        <v>292</v>
      </c>
      <c r="B294" t="str">
        <f>LEFT(Table3[[#This Row],[EPI_DGN_ANTIC]],1)</f>
        <v>G</v>
      </c>
      <c r="C294" t="str">
        <f>LEFT(Table3[[#This Row],[EPI_DGN_ANTIC]],2)</f>
        <v>Gq</v>
      </c>
      <c r="D294" s="8" t="s">
        <v>697</v>
      </c>
      <c r="E294" s="10">
        <v>1</v>
      </c>
      <c r="F294" s="22" t="s">
        <v>698</v>
      </c>
      <c r="G294" s="22" t="s">
        <v>486</v>
      </c>
      <c r="H294" s="16">
        <v>292</v>
      </c>
      <c r="I294" s="8" t="s">
        <v>634</v>
      </c>
      <c r="J294" s="10"/>
    </row>
    <row r="295" spans="1:10">
      <c r="A295" s="5">
        <v>293</v>
      </c>
      <c r="B295" t="str">
        <f>LEFT(Table3[[#This Row],[EPI_DGN_ANTIC]],1)</f>
        <v>G</v>
      </c>
      <c r="C295" t="str">
        <f>LEFT(Table3[[#This Row],[EPI_DGN_ANTIC]],2)</f>
        <v>Gq</v>
      </c>
      <c r="D295" s="8" t="s">
        <v>699</v>
      </c>
      <c r="E295" s="10">
        <v>1</v>
      </c>
      <c r="F295" s="22" t="s">
        <v>700</v>
      </c>
      <c r="G295" s="22" t="s">
        <v>486</v>
      </c>
      <c r="H295" s="16">
        <v>293</v>
      </c>
      <c r="I295" s="8" t="s">
        <v>634</v>
      </c>
      <c r="J295" s="10"/>
    </row>
    <row r="296" spans="1:10">
      <c r="A296" s="5">
        <v>294</v>
      </c>
      <c r="B296" t="str">
        <f>LEFT(Table3[[#This Row],[EPI_DGN_ANTIC]],1)</f>
        <v>G</v>
      </c>
      <c r="C296" t="str">
        <f>LEFT(Table3[[#This Row],[EPI_DGN_ANTIC]],2)</f>
        <v>Gr</v>
      </c>
      <c r="D296" s="8" t="s">
        <v>701</v>
      </c>
      <c r="E296" s="10">
        <v>0</v>
      </c>
      <c r="F296" s="22"/>
      <c r="G296" s="22"/>
      <c r="H296" s="16">
        <v>294</v>
      </c>
      <c r="I296" s="8" t="s">
        <v>634</v>
      </c>
      <c r="J296" s="10"/>
    </row>
    <row r="297" spans="1:10">
      <c r="A297" s="5">
        <v>295</v>
      </c>
      <c r="B297" t="str">
        <f>LEFT(Table3[[#This Row],[EPI_DGN_ANTIC]],1)</f>
        <v>G</v>
      </c>
      <c r="C297" t="str">
        <f>LEFT(Table3[[#This Row],[EPI_DGN_ANTIC]],2)</f>
        <v>Gq</v>
      </c>
      <c r="D297" s="8" t="s">
        <v>702</v>
      </c>
      <c r="E297" s="10">
        <v>1</v>
      </c>
      <c r="F297" s="22" t="s">
        <v>703</v>
      </c>
      <c r="G297" s="22" t="s">
        <v>486</v>
      </c>
      <c r="H297" s="16">
        <v>295</v>
      </c>
      <c r="I297" s="8" t="s">
        <v>634</v>
      </c>
      <c r="J297" s="10"/>
    </row>
    <row r="298" spans="1:10">
      <c r="A298" s="5">
        <v>296</v>
      </c>
      <c r="B298" t="str">
        <f>LEFT(Table3[[#This Row],[EPI_DGN_ANTIC]],1)</f>
        <v>G</v>
      </c>
      <c r="C298" t="str">
        <f>LEFT(Table3[[#This Row],[EPI_DGN_ANTIC]],2)</f>
        <v>Gr</v>
      </c>
      <c r="D298" s="8" t="s">
        <v>701</v>
      </c>
      <c r="E298" s="10">
        <v>1</v>
      </c>
      <c r="F298" s="22" t="s">
        <v>704</v>
      </c>
      <c r="G298" t="s">
        <v>90</v>
      </c>
      <c r="H298" s="16">
        <v>296</v>
      </c>
      <c r="I298" s="8" t="s">
        <v>696</v>
      </c>
      <c r="J298" s="10"/>
    </row>
    <row r="299" spans="1:10">
      <c r="A299" s="5">
        <v>297</v>
      </c>
      <c r="B299" t="str">
        <f>LEFT(Table3[[#This Row],[EPI_DGN_ANTIC]],1)</f>
        <v>G</v>
      </c>
      <c r="C299" t="str">
        <f>LEFT(Table3[[#This Row],[EPI_DGN_ANTIC]],2)</f>
        <v>Gm</v>
      </c>
      <c r="D299" s="8" t="s">
        <v>705</v>
      </c>
      <c r="E299" s="10">
        <v>1</v>
      </c>
      <c r="F299" s="22" t="s">
        <v>706</v>
      </c>
      <c r="G299" t="s">
        <v>90</v>
      </c>
      <c r="H299" s="16">
        <v>297</v>
      </c>
      <c r="I299" s="8" t="s">
        <v>707</v>
      </c>
      <c r="J299" s="10"/>
    </row>
    <row r="300" spans="1:10">
      <c r="A300" s="5">
        <v>298</v>
      </c>
      <c r="B300" t="str">
        <f>LEFT(Table3[[#This Row],[EPI_DGN_ANTIC]],1)</f>
        <v>G</v>
      </c>
      <c r="C300" t="str">
        <f>LEFT(Table3[[#This Row],[EPI_DGN_ANTIC]],2)</f>
        <v>Gm</v>
      </c>
      <c r="D300" s="8" t="s">
        <v>708</v>
      </c>
      <c r="E300" s="10">
        <v>1</v>
      </c>
      <c r="F300" s="22" t="s">
        <v>706</v>
      </c>
      <c r="G300" t="s">
        <v>486</v>
      </c>
      <c r="H300" s="16">
        <v>298</v>
      </c>
      <c r="I300" s="8" t="s">
        <v>709</v>
      </c>
      <c r="J300" s="10"/>
    </row>
    <row r="301" spans="1:10">
      <c r="A301" s="5">
        <v>299</v>
      </c>
      <c r="B301" t="str">
        <f>LEFT(Table3[[#This Row],[EPI_DGN_ANTIC]],1)</f>
        <v>K</v>
      </c>
      <c r="C301" t="str">
        <f>LEFT(Table3[[#This Row],[EPI_DGN_ANTIC]],2)</f>
        <v>KC</v>
      </c>
      <c r="D301" s="8" t="s">
        <v>710</v>
      </c>
      <c r="E301" s="10">
        <v>1</v>
      </c>
      <c r="F301" s="22" t="s">
        <v>711</v>
      </c>
      <c r="G301" s="22"/>
      <c r="H301" s="16">
        <v>299</v>
      </c>
      <c r="I301" s="8" t="s">
        <v>712</v>
      </c>
      <c r="J301" s="10"/>
    </row>
    <row r="302" spans="1:10">
      <c r="A302" s="5">
        <v>300</v>
      </c>
      <c r="B302" t="str">
        <f>LEFT(Table3[[#This Row],[EPI_DGN_ANTIC]],1)</f>
        <v>K</v>
      </c>
      <c r="C302" t="str">
        <f>LEFT(Table3[[#This Row],[EPI_DGN_ANTIC]],2)</f>
        <v>KC</v>
      </c>
      <c r="D302" s="8" t="s">
        <v>713</v>
      </c>
      <c r="E302" s="10">
        <v>1</v>
      </c>
      <c r="F302" s="22" t="s">
        <v>714</v>
      </c>
      <c r="G302" s="22"/>
      <c r="H302" s="16">
        <v>300</v>
      </c>
      <c r="I302" s="8" t="s">
        <v>715</v>
      </c>
      <c r="J302" s="10"/>
    </row>
    <row r="303" spans="1:10">
      <c r="A303" s="5">
        <v>301</v>
      </c>
      <c r="B303" t="str">
        <f>LEFT(Table3[[#This Row],[EPI_DGN_ANTIC]],1)</f>
        <v>K</v>
      </c>
      <c r="C303" t="str">
        <f>LEFT(Table3[[#This Row],[EPI_DGN_ANTIC]],2)</f>
        <v>KC</v>
      </c>
      <c r="D303" s="8" t="s">
        <v>716</v>
      </c>
      <c r="E303" s="10">
        <v>1</v>
      </c>
      <c r="F303" s="22" t="s">
        <v>717</v>
      </c>
      <c r="G303" s="22"/>
      <c r="H303" s="16">
        <v>301</v>
      </c>
      <c r="I303" s="8" t="s">
        <v>718</v>
      </c>
      <c r="J303" s="10"/>
    </row>
    <row r="304" spans="1:10">
      <c r="A304" s="5">
        <v>302</v>
      </c>
      <c r="B304" t="str">
        <f>LEFT(Table3[[#This Row],[EPI_DGN_ANTIC]],1)</f>
        <v>K</v>
      </c>
      <c r="C304" t="str">
        <f>LEFT(Table3[[#This Row],[EPI_DGN_ANTIC]],3)</f>
        <v>KCo</v>
      </c>
      <c r="D304" s="8" t="s">
        <v>719</v>
      </c>
      <c r="E304" s="10">
        <v>1</v>
      </c>
      <c r="F304" s="22" t="s">
        <v>720</v>
      </c>
      <c r="G304" s="22"/>
      <c r="H304" s="16">
        <v>302</v>
      </c>
      <c r="I304" s="8" t="s">
        <v>721</v>
      </c>
      <c r="J304" s="10"/>
    </row>
    <row r="305" spans="1:10">
      <c r="A305" s="5">
        <v>303</v>
      </c>
      <c r="B305" t="str">
        <f>LEFT(Table3[[#This Row],[EPI_DGN_ANTIC]],1)</f>
        <v>K</v>
      </c>
      <c r="C305" t="str">
        <f>LEFT(Table3[[#This Row],[EPI_DGN_ANTIC]],3)</f>
        <v>KCo</v>
      </c>
      <c r="D305" s="8" t="s">
        <v>722</v>
      </c>
      <c r="E305" s="10">
        <v>1</v>
      </c>
      <c r="F305" s="22" t="s">
        <v>723</v>
      </c>
      <c r="G305" s="22"/>
      <c r="H305" s="16">
        <v>303</v>
      </c>
      <c r="I305" s="8" t="s">
        <v>724</v>
      </c>
      <c r="J305" s="10"/>
    </row>
    <row r="306" spans="1:10">
      <c r="A306" s="5">
        <v>304</v>
      </c>
      <c r="B306" t="str">
        <f>LEFT(Table3[[#This Row],[EPI_DGN_ANTIC]],1)</f>
        <v>K</v>
      </c>
      <c r="C306" t="str">
        <f>LEFT(Table3[[#This Row],[EPI_DGN_ANTIC]],2)</f>
        <v>KM</v>
      </c>
      <c r="D306" s="8" t="s">
        <v>725</v>
      </c>
      <c r="E306" s="10">
        <v>1</v>
      </c>
      <c r="F306" s="22" t="s">
        <v>187</v>
      </c>
      <c r="G306" t="s">
        <v>90</v>
      </c>
      <c r="H306" s="16">
        <v>304</v>
      </c>
      <c r="I306" s="8" t="s">
        <v>234</v>
      </c>
      <c r="J306" s="10"/>
    </row>
    <row r="307" spans="1:10">
      <c r="A307" s="5">
        <v>305</v>
      </c>
      <c r="B307" t="str">
        <f>LEFT(Table3[[#This Row],[EPI_DGN_ANTIC]],1)</f>
        <v>K</v>
      </c>
      <c r="C307" t="str">
        <f>LEFT(Table3[[#This Row],[EPI_DGN_ANTIC]],2)</f>
        <v>KP</v>
      </c>
      <c r="D307" s="8" t="s">
        <v>726</v>
      </c>
      <c r="E307" s="10">
        <v>1</v>
      </c>
      <c r="F307" s="22" t="s">
        <v>526</v>
      </c>
      <c r="G307" t="s">
        <v>90</v>
      </c>
      <c r="H307" s="16">
        <v>305</v>
      </c>
      <c r="I307" s="8" t="s">
        <v>727</v>
      </c>
      <c r="J307" s="10"/>
    </row>
    <row r="308" spans="1:10">
      <c r="A308" s="5">
        <v>306</v>
      </c>
      <c r="B308" t="str">
        <f>LEFT(Table3[[#This Row],[EPI_DGN_ANTIC]],1)</f>
        <v>K</v>
      </c>
      <c r="C308" t="str">
        <f>LEFT(Table3[[#This Row],[EPI_DGN_ANTIC]],2)</f>
        <v>KS</v>
      </c>
      <c r="D308" s="8" t="s">
        <v>728</v>
      </c>
      <c r="E308" s="10">
        <v>1</v>
      </c>
      <c r="F308" s="22" t="s">
        <v>729</v>
      </c>
      <c r="G308" s="22"/>
      <c r="H308" s="16">
        <v>306</v>
      </c>
      <c r="I308" s="8" t="s">
        <v>730</v>
      </c>
      <c r="J308" s="10"/>
    </row>
    <row r="309" spans="1:10">
      <c r="A309" s="5">
        <v>307</v>
      </c>
      <c r="B309" t="str">
        <f>LEFT(Table3[[#This Row],[EPI_DGN_ANTIC]],1)</f>
        <v>K</v>
      </c>
      <c r="C309" t="str">
        <f>LEFT(Table3[[#This Row],[EPI_DGN_ANTIC]],2)</f>
        <v>KS</v>
      </c>
      <c r="D309" s="8" t="s">
        <v>731</v>
      </c>
      <c r="E309" s="10">
        <v>1</v>
      </c>
      <c r="F309" s="22" t="s">
        <v>732</v>
      </c>
      <c r="G309" s="22"/>
      <c r="H309" s="16">
        <v>307</v>
      </c>
      <c r="I309" s="8" t="s">
        <v>733</v>
      </c>
      <c r="J309" s="10"/>
    </row>
    <row r="310" spans="1:10">
      <c r="A310" s="5">
        <v>308</v>
      </c>
      <c r="B310" t="str">
        <f>LEFT(Table3[[#This Row],[EPI_DGN_ANTIC]],1)</f>
        <v>K</v>
      </c>
      <c r="C310" t="str">
        <f>LEFT(Table3[[#This Row],[EPI_DGN_ANTIC]],2)</f>
        <v>KS</v>
      </c>
      <c r="D310" s="8" t="s">
        <v>734</v>
      </c>
      <c r="E310" s="10">
        <v>1</v>
      </c>
      <c r="F310" s="22" t="s">
        <v>735</v>
      </c>
      <c r="G310" s="22"/>
      <c r="H310" s="16">
        <v>308</v>
      </c>
      <c r="I310" s="8" t="s">
        <v>736</v>
      </c>
      <c r="J310" s="10"/>
    </row>
    <row r="311" spans="1:10">
      <c r="A311" s="5">
        <v>309</v>
      </c>
      <c r="B311" t="str">
        <f>LEFT(Table3[[#This Row],[EPI_DGN_ANTIC]],1)</f>
        <v>K</v>
      </c>
      <c r="C311" t="str">
        <f>LEFT(Table3[[#This Row],[EPI_DGN_ANTIC]],2)</f>
        <v>KT</v>
      </c>
      <c r="D311" s="8" t="s">
        <v>737</v>
      </c>
      <c r="E311" s="10">
        <v>1</v>
      </c>
      <c r="F311" s="22" t="s">
        <v>738</v>
      </c>
      <c r="G311" s="22"/>
      <c r="H311" s="16">
        <v>309</v>
      </c>
      <c r="I311" s="8" t="s">
        <v>739</v>
      </c>
      <c r="J311" s="10"/>
    </row>
    <row r="312" spans="1:10">
      <c r="A312" s="5">
        <v>310</v>
      </c>
      <c r="B312" t="str">
        <f>LEFT(Table3[[#This Row],[EPI_DGN_ANTIC]],1)</f>
        <v>K</v>
      </c>
      <c r="C312" t="str">
        <f>LEFT(Table3[[#This Row],[EPI_DGN_ANTIC]],2)</f>
        <v>KT</v>
      </c>
      <c r="D312" s="8" t="s">
        <v>740</v>
      </c>
      <c r="E312" s="10">
        <v>1</v>
      </c>
      <c r="F312" s="22" t="s">
        <v>741</v>
      </c>
      <c r="G312" s="22"/>
      <c r="H312" s="16">
        <v>310</v>
      </c>
      <c r="I312" s="8" t="s">
        <v>742</v>
      </c>
      <c r="J312" s="10"/>
    </row>
    <row r="313" spans="1:10">
      <c r="A313" s="5">
        <v>311</v>
      </c>
      <c r="B313" t="s">
        <v>229</v>
      </c>
      <c r="C313" t="s">
        <v>636</v>
      </c>
      <c r="D313" s="8" t="s">
        <v>743</v>
      </c>
      <c r="E313" s="10">
        <v>1</v>
      </c>
      <c r="F313" s="22" t="s">
        <v>744</v>
      </c>
      <c r="G313" s="22"/>
      <c r="H313" s="16">
        <v>311</v>
      </c>
      <c r="I313" s="8" t="s">
        <v>745</v>
      </c>
      <c r="J313" s="10"/>
    </row>
    <row r="314" spans="1:10">
      <c r="A314" s="5">
        <v>312</v>
      </c>
      <c r="B314" t="str">
        <f>LEFT(Table3[[#This Row],[EPI_DGN_ANTIC]],1)</f>
        <v>C</v>
      </c>
      <c r="C314" t="str">
        <f>LEFT(Table3[[#This Row],[EPI_DGN_ANTIC]],3)</f>
        <v>CaM</v>
      </c>
      <c r="D314" s="8" t="s">
        <v>746</v>
      </c>
      <c r="E314" s="10">
        <v>1</v>
      </c>
      <c r="F314" s="22" t="s">
        <v>747</v>
      </c>
      <c r="G314" s="22"/>
      <c r="H314" s="16">
        <v>312</v>
      </c>
      <c r="I314" s="8" t="s">
        <v>748</v>
      </c>
      <c r="J314" s="10"/>
    </row>
    <row r="315" spans="1:10">
      <c r="A315" s="5">
        <v>313</v>
      </c>
      <c r="B315" t="s">
        <v>229</v>
      </c>
      <c r="C315" t="s">
        <v>667</v>
      </c>
      <c r="D315" s="8" t="s">
        <v>749</v>
      </c>
      <c r="E315" s="10">
        <v>1</v>
      </c>
      <c r="F315" s="22" t="s">
        <v>661</v>
      </c>
      <c r="G315" s="22"/>
      <c r="H315" s="16">
        <v>313</v>
      </c>
      <c r="I315" s="8" t="s">
        <v>750</v>
      </c>
      <c r="J315" s="10"/>
    </row>
    <row r="316" spans="1:10">
      <c r="A316" s="5">
        <v>314</v>
      </c>
      <c r="B316" t="str">
        <f>LEFT(Table3[[#This Row],[EPI_DGN_ANTIC]],1)</f>
        <v>G</v>
      </c>
      <c r="C316" t="str">
        <f>LEFT(Table3[[#This Row],[EPI_DGN_ANTIC]],2)</f>
        <v>Gg</v>
      </c>
      <c r="D316" s="8" t="s">
        <v>751</v>
      </c>
      <c r="E316" s="10">
        <v>1</v>
      </c>
      <c r="F316" s="22" t="s">
        <v>752</v>
      </c>
      <c r="G316" s="22"/>
      <c r="H316" s="16">
        <v>314</v>
      </c>
      <c r="I316" s="8" t="s">
        <v>753</v>
      </c>
      <c r="J316" s="10"/>
    </row>
    <row r="317" spans="1:10">
      <c r="A317" s="5">
        <v>315</v>
      </c>
      <c r="B317" t="str">
        <f>LEFT(Table3[[#This Row],[EPI_DGN_ANTIC]],1)</f>
        <v>G</v>
      </c>
      <c r="C317" t="str">
        <f>LEFT(Table3[[#This Row],[EPI_DGN_ANTIC]],2)</f>
        <v>Gg</v>
      </c>
      <c r="D317" s="8" t="s">
        <v>754</v>
      </c>
      <c r="E317" s="10">
        <v>1</v>
      </c>
      <c r="F317" s="22" t="s">
        <v>755</v>
      </c>
      <c r="G317" s="22"/>
      <c r="H317" s="16">
        <v>315</v>
      </c>
      <c r="I317" s="8" t="s">
        <v>756</v>
      </c>
      <c r="J317" s="10"/>
    </row>
    <row r="318" spans="1:10">
      <c r="A318" s="5">
        <v>316</v>
      </c>
      <c r="B318" t="str">
        <f>LEFT(Table3[[#This Row],[EPI_DGN_ANTIC]],1)</f>
        <v>G</v>
      </c>
      <c r="C318" t="str">
        <f>LEFT(Table3[[#This Row],[EPI_DGN_ANTIC]],2)</f>
        <v>Gm</v>
      </c>
      <c r="D318" s="8" t="s">
        <v>757</v>
      </c>
      <c r="E318" s="10">
        <v>1</v>
      </c>
      <c r="F318" s="22" t="s">
        <v>706</v>
      </c>
      <c r="G318" t="s">
        <v>90</v>
      </c>
      <c r="H318" s="16">
        <v>316</v>
      </c>
      <c r="I318" s="8" t="s">
        <v>715</v>
      </c>
      <c r="J318" s="10"/>
    </row>
    <row r="319" spans="1:10">
      <c r="A319" s="5">
        <v>317</v>
      </c>
      <c r="B319" t="str">
        <f>LEFT(Table3[[#This Row],[EPI_DGN_ANTIC]],1)</f>
        <v>G</v>
      </c>
      <c r="C319" t="str">
        <f>LEFT(Table3[[#This Row],[EPI_DGN_ANTIC]],2)</f>
        <v>Gm</v>
      </c>
      <c r="D319" s="8" t="s">
        <v>758</v>
      </c>
      <c r="E319" s="10">
        <v>1</v>
      </c>
      <c r="F319" s="22" t="s">
        <v>706</v>
      </c>
      <c r="G319" t="s">
        <v>90</v>
      </c>
      <c r="H319" s="16">
        <v>317</v>
      </c>
      <c r="I319" s="8" t="s">
        <v>759</v>
      </c>
      <c r="J319" s="10"/>
    </row>
    <row r="320" spans="1:10">
      <c r="A320" s="5">
        <v>318</v>
      </c>
      <c r="B320" t="str">
        <f>LEFT(Table3[[#This Row],[EPI_DGN_ANTIC]],1)</f>
        <v>C</v>
      </c>
      <c r="C320" t="str">
        <f>LEFT(Table3[[#This Row],[EPI_DGN_ANTIC]],3)</f>
        <v>CaM</v>
      </c>
      <c r="D320" s="8" t="s">
        <v>760</v>
      </c>
      <c r="E320" s="10">
        <v>1</v>
      </c>
      <c r="F320" s="22" t="s">
        <v>761</v>
      </c>
      <c r="G320" s="22"/>
      <c r="H320" s="16">
        <v>318</v>
      </c>
      <c r="I320" s="8" t="s">
        <v>762</v>
      </c>
      <c r="J320" s="10"/>
    </row>
    <row r="321" spans="1:10">
      <c r="A321" s="5">
        <v>319</v>
      </c>
      <c r="B321" t="str">
        <f>LEFT(Table3[[#This Row],[EPI_DGN_ANTIC]],1)</f>
        <v>C</v>
      </c>
      <c r="C321" t="str">
        <f>LEFT(Table3[[#This Row],[EPI_DGN_ANTIC]],3)</f>
        <v>CAc</v>
      </c>
      <c r="D321" s="8" t="s">
        <v>763</v>
      </c>
      <c r="E321" s="10">
        <v>1</v>
      </c>
      <c r="F321" s="22" t="s">
        <v>764</v>
      </c>
      <c r="G321" s="22"/>
      <c r="H321" s="16">
        <v>319</v>
      </c>
      <c r="I321" s="8" t="s">
        <v>765</v>
      </c>
      <c r="J321" s="10"/>
    </row>
    <row r="322" spans="1:10">
      <c r="A322" s="5">
        <v>320</v>
      </c>
      <c r="B322" t="str">
        <f>LEFT(Table3[[#This Row],[EPI_DGN_ANTIC]],1)</f>
        <v>C</v>
      </c>
      <c r="C322" t="str">
        <f>LEFT(Table3[[#This Row],[EPI_DGN_ANTIC]],2)</f>
        <v>CA</v>
      </c>
      <c r="D322" s="8" t="s">
        <v>766</v>
      </c>
      <c r="E322" s="10">
        <v>1</v>
      </c>
      <c r="F322" s="22" t="s">
        <v>767</v>
      </c>
      <c r="G322" s="22"/>
      <c r="H322" s="16">
        <v>320</v>
      </c>
      <c r="I322" s="8" t="s">
        <v>768</v>
      </c>
      <c r="J322" s="10"/>
    </row>
    <row r="323" spans="1:10">
      <c r="A323" s="5">
        <v>321</v>
      </c>
      <c r="B323" t="str">
        <f>LEFT(Table3[[#This Row],[EPI_DGN_ANTIC]],1)</f>
        <v>D</v>
      </c>
      <c r="C323" t="str">
        <f>LEFT(Table3[[#This Row],[EPI_DGN_ANTIC]],2)</f>
        <v>D1</v>
      </c>
      <c r="D323" s="8" t="s">
        <v>769</v>
      </c>
      <c r="E323" s="10">
        <v>1</v>
      </c>
      <c r="F323" s="22" t="s">
        <v>770</v>
      </c>
      <c r="G323" s="22"/>
      <c r="H323" s="16">
        <v>321</v>
      </c>
      <c r="I323" s="8" t="s">
        <v>771</v>
      </c>
      <c r="J323" s="10"/>
    </row>
    <row r="324" spans="1:10">
      <c r="A324" s="5">
        <v>322</v>
      </c>
      <c r="B324" t="str">
        <f>LEFT(Table3[[#This Row],[EPI_DGN_ANTIC]],1)</f>
        <v>D</v>
      </c>
      <c r="C324" t="str">
        <f>LEFT(Table3[[#This Row],[EPI_DGN_ANTIC]],2)</f>
        <v>D1</v>
      </c>
      <c r="D324" s="8" t="s">
        <v>772</v>
      </c>
      <c r="E324" s="10">
        <v>1</v>
      </c>
      <c r="F324" s="22" t="s">
        <v>773</v>
      </c>
      <c r="G324" s="22"/>
      <c r="H324" s="16">
        <v>322</v>
      </c>
      <c r="I324" s="8" t="s">
        <v>774</v>
      </c>
      <c r="J324" s="10"/>
    </row>
    <row r="325" spans="1:10">
      <c r="A325" s="5">
        <v>323</v>
      </c>
      <c r="B325" t="str">
        <f>LEFT(Table3[[#This Row],[EPI_DGN_ANTIC]],1)</f>
        <v>J</v>
      </c>
      <c r="C325" t="str">
        <f>LEFT(Table3[[#This Row],[EPI_DGN_ANTIC]],2)</f>
        <v>JD</v>
      </c>
      <c r="D325" s="8" t="s">
        <v>775</v>
      </c>
      <c r="E325" s="10">
        <v>1</v>
      </c>
      <c r="F325" s="22" t="s">
        <v>776</v>
      </c>
      <c r="G325" s="22"/>
      <c r="H325" s="16">
        <v>323</v>
      </c>
      <c r="I325" s="8" t="s">
        <v>765</v>
      </c>
      <c r="J325" s="10"/>
    </row>
    <row r="326" spans="1:10">
      <c r="A326" s="5">
        <v>324</v>
      </c>
      <c r="B326" t="str">
        <f>LEFT(Table3[[#This Row],[EPI_DGN_ANTIC]],1)</f>
        <v>J</v>
      </c>
      <c r="C326" t="str">
        <f>LEFT(Table3[[#This Row],[EPI_DGN_ANTIC]],2)</f>
        <v>JM</v>
      </c>
      <c r="D326" s="8" t="s">
        <v>777</v>
      </c>
      <c r="E326" s="10">
        <v>1</v>
      </c>
      <c r="F326" s="22" t="s">
        <v>778</v>
      </c>
      <c r="G326" s="22"/>
      <c r="H326" s="16">
        <v>324</v>
      </c>
      <c r="I326" s="8" t="s">
        <v>779</v>
      </c>
      <c r="J326" s="10"/>
    </row>
    <row r="327" spans="1:10">
      <c r="A327" s="5">
        <v>325</v>
      </c>
      <c r="B327" t="str">
        <f>LEFT(Table3[[#This Row],[EPI_DGN_ANTIC]],1)</f>
        <v>E</v>
      </c>
      <c r="C327" t="str">
        <f>LEFT(Table3[[#This Row],[EPI_DGN_ANTIC]],3)</f>
        <v>EBc</v>
      </c>
      <c r="D327" s="8" t="s">
        <v>780</v>
      </c>
      <c r="E327" s="10">
        <v>1</v>
      </c>
      <c r="F327" s="22" t="s">
        <v>781</v>
      </c>
      <c r="G327" s="22"/>
      <c r="H327" s="16">
        <v>325</v>
      </c>
      <c r="I327" s="8" t="s">
        <v>782</v>
      </c>
      <c r="J327" s="10"/>
    </row>
    <row r="328" spans="1:10">
      <c r="A328" s="5">
        <v>326</v>
      </c>
      <c r="B328" t="str">
        <f>LEFT(Table3[[#This Row],[EPI_DGN_ANTIC]],1)</f>
        <v>E</v>
      </c>
      <c r="D328" s="8" t="s">
        <v>10</v>
      </c>
      <c r="E328" s="10">
        <v>0</v>
      </c>
      <c r="F328" s="22"/>
      <c r="G328" s="22"/>
      <c r="H328" s="16">
        <v>326</v>
      </c>
      <c r="I328" s="8" t="s">
        <v>783</v>
      </c>
      <c r="J328" s="10"/>
    </row>
    <row r="329" spans="1:10">
      <c r="A329" s="5">
        <v>327</v>
      </c>
      <c r="B329" t="str">
        <f>LEFT(Table3[[#This Row],[EPI_DGN_ANTIC]],1)</f>
        <v>E</v>
      </c>
      <c r="D329" s="8" t="s">
        <v>10</v>
      </c>
      <c r="E329" s="10">
        <v>0</v>
      </c>
      <c r="F329" s="22"/>
      <c r="G329" s="22"/>
      <c r="H329" s="16">
        <v>327</v>
      </c>
      <c r="I329" s="8" t="s">
        <v>25</v>
      </c>
      <c r="J329" s="10"/>
    </row>
    <row r="330" spans="1:10">
      <c r="A330" s="5">
        <v>328</v>
      </c>
      <c r="B330" t="str">
        <f>LEFT(Table3[[#This Row],[EPI_DGN_ANTIC]],1)</f>
        <v>K</v>
      </c>
      <c r="C330" t="str">
        <f>LEFT(Table3[[#This Row],[EPI_DGN_ANTIC]],2)</f>
        <v>K</v>
      </c>
      <c r="D330" s="8" t="s">
        <v>128</v>
      </c>
      <c r="E330" s="10">
        <v>1</v>
      </c>
      <c r="F330" s="22" t="s">
        <v>220</v>
      </c>
      <c r="G330" s="22"/>
      <c r="H330" s="16">
        <v>328</v>
      </c>
      <c r="I330" s="8" t="s">
        <v>584</v>
      </c>
      <c r="J330" s="10"/>
    </row>
    <row r="331" spans="1:10">
      <c r="A331" s="5">
        <v>329</v>
      </c>
      <c r="B331" t="str">
        <f>LEFT(Table3[[#This Row],[EPI_DGN_ANTIC]],1)</f>
        <v>M</v>
      </c>
      <c r="C331" t="str">
        <f>LEFT(Table3[[#This Row],[EPI_DGN_ANTIC]],1)</f>
        <v>M</v>
      </c>
      <c r="D331" s="8" t="s">
        <v>784</v>
      </c>
      <c r="E331" s="10">
        <v>0</v>
      </c>
      <c r="F331" s="22"/>
      <c r="G331" s="22"/>
      <c r="H331" s="16">
        <v>329</v>
      </c>
      <c r="I331" s="8" t="s">
        <v>634</v>
      </c>
      <c r="J331" s="10"/>
    </row>
    <row r="332" spans="1:10">
      <c r="A332" s="5">
        <v>330</v>
      </c>
      <c r="B332" t="str">
        <f>LEFT(Table3[[#This Row],[EPI_DGN_ANTIC]],1)</f>
        <v>M</v>
      </c>
      <c r="C332" t="str">
        <f>LEFT(Table3[[#This Row],[EPI_DGN_ANTIC]],2)</f>
        <v>MC</v>
      </c>
      <c r="D332" s="8" t="s">
        <v>785</v>
      </c>
      <c r="E332" s="10">
        <v>0</v>
      </c>
      <c r="F332" s="22"/>
      <c r="G332" s="22"/>
      <c r="H332" s="16">
        <v>330</v>
      </c>
      <c r="I332" s="8" t="s">
        <v>584</v>
      </c>
      <c r="J332" s="10"/>
    </row>
    <row r="333" spans="1:10">
      <c r="A333" s="5">
        <v>331</v>
      </c>
      <c r="B333" t="str">
        <f>LEFT(Table3[[#This Row],[EPI_DGN_ANTIC]],1)</f>
        <v>M</v>
      </c>
      <c r="C333" t="str">
        <f>LEFT(Table3[[#This Row],[EPI_DGN_ANTIC]],2)</f>
        <v>MC</v>
      </c>
      <c r="D333" s="8" t="s">
        <v>785</v>
      </c>
      <c r="E333" s="10">
        <v>1</v>
      </c>
      <c r="F333" s="22" t="s">
        <v>486</v>
      </c>
      <c r="G333" s="22" t="s">
        <v>786</v>
      </c>
      <c r="H333" s="16">
        <v>331</v>
      </c>
      <c r="I333" s="8" t="s">
        <v>280</v>
      </c>
      <c r="J333" s="10"/>
    </row>
    <row r="334" spans="1:10">
      <c r="A334" s="5">
        <v>332</v>
      </c>
      <c r="B334" t="str">
        <f>LEFT(Table3[[#This Row],[EPI_DGN_ANTIC]],1)</f>
        <v>M</v>
      </c>
      <c r="C334" t="s">
        <v>787</v>
      </c>
      <c r="D334" s="8" t="s">
        <v>788</v>
      </c>
      <c r="E334" s="10">
        <v>1</v>
      </c>
      <c r="F334" s="22" t="s">
        <v>486</v>
      </c>
      <c r="G334" s="22" t="s">
        <v>704</v>
      </c>
      <c r="H334" s="16">
        <v>332</v>
      </c>
      <c r="I334" s="8" t="s">
        <v>280</v>
      </c>
      <c r="J334" s="10"/>
    </row>
    <row r="335" spans="1:10">
      <c r="A335" s="5">
        <v>333</v>
      </c>
      <c r="B335" t="str">
        <f>LEFT(Table3[[#This Row],[EPI_DGN_ANTIC]],1)</f>
        <v>M</v>
      </c>
      <c r="C335" t="s">
        <v>787</v>
      </c>
      <c r="D335" s="8" t="s">
        <v>789</v>
      </c>
      <c r="E335" s="10">
        <v>1</v>
      </c>
      <c r="F335" s="22" t="s">
        <v>486</v>
      </c>
      <c r="G335" s="22" t="s">
        <v>704</v>
      </c>
      <c r="H335" s="16">
        <v>333</v>
      </c>
      <c r="I335" s="8" t="s">
        <v>790</v>
      </c>
      <c r="J335" s="10"/>
    </row>
    <row r="336" spans="1:10">
      <c r="A336" s="5">
        <v>334</v>
      </c>
      <c r="B336" t="str">
        <f>LEFT(Table3[[#This Row],[EPI_DGN_ANTIC]],1)</f>
        <v>M</v>
      </c>
      <c r="C336" t="s">
        <v>787</v>
      </c>
      <c r="D336" s="8" t="s">
        <v>791</v>
      </c>
      <c r="E336" s="10">
        <v>1</v>
      </c>
      <c r="F336" s="22" t="s">
        <v>486</v>
      </c>
      <c r="G336" s="22" t="s">
        <v>704</v>
      </c>
      <c r="H336" s="16">
        <v>334</v>
      </c>
      <c r="I336" s="8" t="s">
        <v>790</v>
      </c>
      <c r="J336" s="10"/>
    </row>
    <row r="337" spans="1:10">
      <c r="A337" s="5">
        <v>335</v>
      </c>
      <c r="B337" t="str">
        <f>LEFT(Table3[[#This Row],[EPI_DGN_ANTIC]],1)</f>
        <v>M</v>
      </c>
      <c r="C337" t="s">
        <v>787</v>
      </c>
      <c r="D337" s="8" t="s">
        <v>792</v>
      </c>
      <c r="E337" s="10">
        <v>1</v>
      </c>
      <c r="F337" s="22" t="s">
        <v>486</v>
      </c>
      <c r="G337" s="22" t="s">
        <v>704</v>
      </c>
      <c r="H337" s="16">
        <v>335</v>
      </c>
      <c r="I337" s="8" t="s">
        <v>790</v>
      </c>
      <c r="J337" s="10"/>
    </row>
    <row r="338" spans="1:10">
      <c r="A338" s="5">
        <v>336</v>
      </c>
      <c r="B338" t="str">
        <f>LEFT(Table3[[#This Row],[EPI_DGN_ANTIC]],1)</f>
        <v>M</v>
      </c>
      <c r="C338" t="s">
        <v>785</v>
      </c>
      <c r="D338" s="8" t="s">
        <v>793</v>
      </c>
      <c r="E338" s="10">
        <v>1</v>
      </c>
      <c r="F338" s="22" t="s">
        <v>486</v>
      </c>
      <c r="G338" s="22" t="s">
        <v>786</v>
      </c>
      <c r="H338" s="16">
        <v>336</v>
      </c>
      <c r="I338" s="8" t="s">
        <v>790</v>
      </c>
      <c r="J338" s="10"/>
    </row>
    <row r="339" spans="1:10">
      <c r="A339" s="5">
        <v>337</v>
      </c>
      <c r="B339" t="str">
        <f>LEFT(Table3[[#This Row],[EPI_DGN_ANTIC]],1)</f>
        <v>M</v>
      </c>
      <c r="C339" t="s">
        <v>787</v>
      </c>
      <c r="D339" s="8" t="s">
        <v>787</v>
      </c>
      <c r="E339" s="10">
        <v>0</v>
      </c>
      <c r="F339" s="22"/>
      <c r="G339" s="22"/>
      <c r="H339" s="16">
        <v>337</v>
      </c>
      <c r="I339" s="8" t="s">
        <v>570</v>
      </c>
      <c r="J339" s="10"/>
    </row>
    <row r="340" spans="1:10">
      <c r="A340" s="5">
        <v>338</v>
      </c>
      <c r="B340" t="str">
        <f>LEFT(Table3[[#This Row],[EPI_DGN_ANTIC]],1)</f>
        <v>M</v>
      </c>
      <c r="C340" t="str">
        <f>LEFT(Table3[[#This Row],[EPI_DGN_ANTIC]],1)</f>
        <v>M</v>
      </c>
      <c r="D340" s="8" t="s">
        <v>784</v>
      </c>
      <c r="E340" s="10">
        <v>0</v>
      </c>
      <c r="F340" s="22"/>
      <c r="G340" s="22"/>
      <c r="H340" s="16">
        <v>338</v>
      </c>
      <c r="I340" s="8" t="s">
        <v>20</v>
      </c>
      <c r="J340" s="10"/>
    </row>
    <row r="341" spans="1:10">
      <c r="A341" s="5">
        <v>339</v>
      </c>
      <c r="B341" t="str">
        <f>LEFT(Table3[[#This Row],[EPI_DGN_ANTIC]],1)</f>
        <v>M</v>
      </c>
      <c r="C341" t="str">
        <f>LEFT(Table3[[#This Row],[EPI_DGN_ANTIC]],1)</f>
        <v>M</v>
      </c>
      <c r="D341" s="8" t="s">
        <v>784</v>
      </c>
      <c r="E341" s="10">
        <v>1</v>
      </c>
      <c r="F341" s="22" t="s">
        <v>794</v>
      </c>
      <c r="G341" s="22"/>
      <c r="H341" s="16">
        <v>339</v>
      </c>
      <c r="I341" s="8" t="s">
        <v>570</v>
      </c>
      <c r="J341" s="10"/>
    </row>
    <row r="342" spans="1:10">
      <c r="A342" s="5">
        <v>340</v>
      </c>
      <c r="B342" t="str">
        <f>LEFT(Table3[[#This Row],[EPI_DGN_ANTIC]],1)</f>
        <v>M</v>
      </c>
      <c r="C342" t="s">
        <v>795</v>
      </c>
      <c r="D342" s="8" t="s">
        <v>795</v>
      </c>
      <c r="E342" s="10">
        <v>0</v>
      </c>
      <c r="F342" s="22"/>
      <c r="G342" s="22"/>
      <c r="H342" s="16">
        <v>340</v>
      </c>
      <c r="I342" s="8" t="s">
        <v>570</v>
      </c>
      <c r="J342" s="10"/>
    </row>
    <row r="343" spans="1:10">
      <c r="A343" s="5">
        <v>341</v>
      </c>
      <c r="B343" t="str">
        <f>LEFT(Table3[[#This Row],[EPI_DGN_ANTIC]],1)</f>
        <v>M</v>
      </c>
      <c r="C343" t="s">
        <v>795</v>
      </c>
      <c r="D343" s="8" t="s">
        <v>796</v>
      </c>
      <c r="E343" s="10">
        <v>1</v>
      </c>
      <c r="F343" s="22" t="s">
        <v>797</v>
      </c>
      <c r="G343" s="22"/>
      <c r="H343" s="16">
        <v>341</v>
      </c>
      <c r="I343" s="8" t="s">
        <v>570</v>
      </c>
      <c r="J343" s="10"/>
    </row>
    <row r="344" spans="1:10">
      <c r="A344" s="5">
        <v>342</v>
      </c>
      <c r="B344" t="str">
        <f>LEFT(Table3[[#This Row],[EPI_DGN_ANTIC]],1)</f>
        <v>F</v>
      </c>
      <c r="C344" t="str">
        <f>LEFT(Table3[[#This Row],[EPI_DGN_ANTIC]],2)</f>
        <v>F</v>
      </c>
      <c r="D344" s="8" t="s">
        <v>798</v>
      </c>
      <c r="E344" s="10">
        <v>0</v>
      </c>
      <c r="F344" s="22"/>
      <c r="G344" s="22"/>
      <c r="H344" s="16">
        <v>342</v>
      </c>
      <c r="I344" s="8" t="s">
        <v>570</v>
      </c>
      <c r="J344" s="10"/>
    </row>
    <row r="345" spans="1:10">
      <c r="A345" s="5">
        <v>343</v>
      </c>
      <c r="B345" t="str">
        <f>LEFT(Table3[[#This Row],[EPI_DGN_ANTIC]],1)</f>
        <v>f</v>
      </c>
      <c r="C345" t="str">
        <f>LEFT(Table3[[#This Row],[EPI_DGN_ANTIC]],2)</f>
        <v>ff</v>
      </c>
      <c r="D345" s="8" t="s">
        <v>799</v>
      </c>
      <c r="E345" s="10">
        <v>0</v>
      </c>
      <c r="F345" s="22"/>
      <c r="G345" s="22"/>
      <c r="H345" s="16">
        <v>343</v>
      </c>
      <c r="I345" s="8" t="s">
        <v>28</v>
      </c>
      <c r="J345" s="10"/>
    </row>
    <row r="346" spans="1:10">
      <c r="A346" s="5">
        <v>344</v>
      </c>
      <c r="B346" t="str">
        <f>LEFT(Table3[[#This Row],[EPI_DGN_ANTIC]],1)</f>
        <v>f</v>
      </c>
      <c r="C346" t="str">
        <f>LEFT(Table3[[#This Row],[EPI_DGN_ANTIC]],2)</f>
        <v>ff</v>
      </c>
      <c r="D346" s="8" t="s">
        <v>799</v>
      </c>
      <c r="E346" s="10">
        <v>1</v>
      </c>
      <c r="F346" s="22" t="s">
        <v>800</v>
      </c>
      <c r="G346" s="22"/>
      <c r="H346" s="16">
        <v>344</v>
      </c>
      <c r="I346" s="8" t="s">
        <v>28</v>
      </c>
      <c r="J346" s="10"/>
    </row>
    <row r="347" spans="1:10">
      <c r="A347" s="5">
        <v>345</v>
      </c>
      <c r="B347" t="str">
        <f>LEFT(Table3[[#This Row],[EPI_DGN_ANTIC]],1)</f>
        <v>f</v>
      </c>
      <c r="C347" t="str">
        <f>LEFT(Table3[[#This Row],[EPI_DGN_ANTIC]],2)</f>
        <v>fh</v>
      </c>
      <c r="D347" s="8" t="s">
        <v>801</v>
      </c>
      <c r="E347" s="10">
        <v>1</v>
      </c>
      <c r="F347" s="22" t="s">
        <v>802</v>
      </c>
      <c r="G347" s="22"/>
      <c r="H347" s="16">
        <v>345</v>
      </c>
      <c r="I347" s="8" t="s">
        <v>20</v>
      </c>
      <c r="J347" s="10"/>
    </row>
    <row r="348" spans="1:10">
      <c r="A348" s="5">
        <v>346</v>
      </c>
      <c r="B348" t="str">
        <f>LEFT(Table3[[#This Row],[EPI_DGN_ANTIC]],1)</f>
        <v>H</v>
      </c>
      <c r="C348" t="str">
        <f>LEFT(Table3[[#This Row],[EPI_DGN_ANTIC]],2)</f>
        <v>H</v>
      </c>
      <c r="D348" s="8" t="s">
        <v>803</v>
      </c>
      <c r="E348" s="10">
        <v>0</v>
      </c>
      <c r="F348" s="22"/>
      <c r="G348" s="22"/>
      <c r="H348" s="16">
        <v>346</v>
      </c>
      <c r="I348" s="8" t="s">
        <v>25</v>
      </c>
      <c r="J348" s="10"/>
    </row>
    <row r="349" spans="1:10">
      <c r="A349" s="5">
        <v>347</v>
      </c>
      <c r="B349" t="str">
        <f>LEFT(Table3[[#This Row],[EPI_DGN_ANTIC]],1)</f>
        <v>M</v>
      </c>
      <c r="C349" t="s">
        <v>785</v>
      </c>
      <c r="D349" s="8" t="s">
        <v>804</v>
      </c>
      <c r="E349" s="10">
        <v>1</v>
      </c>
      <c r="F349" s="22" t="s">
        <v>486</v>
      </c>
      <c r="G349" s="22" t="s">
        <v>805</v>
      </c>
      <c r="H349" s="16">
        <v>347</v>
      </c>
      <c r="I349" s="8" t="s">
        <v>25</v>
      </c>
      <c r="J349" s="10"/>
    </row>
    <row r="350" spans="1:10">
      <c r="A350" s="5">
        <v>348</v>
      </c>
      <c r="B350" t="str">
        <f>LEFT(Table3[[#This Row],[EPI_DGN_ANTIC]],1)</f>
        <v>J</v>
      </c>
      <c r="C350" t="str">
        <f>LEFT(Table3[[#This Row],[EPI_DGN_ANTIC]],2)</f>
        <v>J</v>
      </c>
      <c r="D350" s="8" t="s">
        <v>270</v>
      </c>
      <c r="E350" s="10">
        <v>1</v>
      </c>
      <c r="F350" s="22" t="s">
        <v>284</v>
      </c>
      <c r="G350" s="22"/>
      <c r="H350" s="16">
        <v>348</v>
      </c>
      <c r="I350" s="8" t="s">
        <v>774</v>
      </c>
      <c r="J350" s="10"/>
    </row>
    <row r="351" spans="1:10">
      <c r="A351" s="5">
        <v>349</v>
      </c>
      <c r="B351" t="str">
        <f>LEFT(Table3[[#This Row],[EPI_DGN_ANTIC]],1)</f>
        <v>L</v>
      </c>
      <c r="C351" t="str">
        <f>LEFT(Table3[[#This Row],[EPI_DGN_ANTIC]],2)</f>
        <v>L</v>
      </c>
      <c r="D351" s="8" t="s">
        <v>340</v>
      </c>
      <c r="E351" s="10">
        <v>0</v>
      </c>
      <c r="F351" s="22"/>
      <c r="G351" s="22"/>
      <c r="H351" s="16">
        <v>349</v>
      </c>
      <c r="I351" s="8" t="s">
        <v>774</v>
      </c>
      <c r="J351" s="10"/>
    </row>
    <row r="352" spans="1:10">
      <c r="A352" s="5">
        <v>350</v>
      </c>
      <c r="B352" t="str">
        <f>LEFT(Table3[[#This Row],[EPI_DGN_ANTIC]],1)</f>
        <v>m</v>
      </c>
      <c r="C352" t="str">
        <f>LEFT(Table3[[#This Row],[EPI_DGN_ANTIC]],1)</f>
        <v>m</v>
      </c>
      <c r="D352" s="8" t="s">
        <v>806</v>
      </c>
      <c r="E352" s="10">
        <v>0</v>
      </c>
      <c r="F352" s="22"/>
      <c r="G352" s="22"/>
      <c r="H352" s="16">
        <v>350</v>
      </c>
      <c r="I352" s="8" t="s">
        <v>807</v>
      </c>
      <c r="J352" s="10"/>
    </row>
    <row r="353" spans="1:10">
      <c r="A353" s="5">
        <v>351</v>
      </c>
      <c r="B353" t="str">
        <f>LEFT(Table3[[#This Row],[EPI_DGN_ANTIC]],1)</f>
        <v>L</v>
      </c>
      <c r="C353" t="str">
        <f>LEFT(Table3[[#This Row],[EPI_DGN_ANTIC]],1)</f>
        <v>L</v>
      </c>
      <c r="D353" s="8" t="s">
        <v>808</v>
      </c>
      <c r="E353" s="10">
        <v>1</v>
      </c>
      <c r="F353" s="22" t="s">
        <v>809</v>
      </c>
      <c r="G353" s="22" t="s">
        <v>486</v>
      </c>
      <c r="H353" s="16">
        <v>351</v>
      </c>
      <c r="I353" s="8" t="s">
        <v>810</v>
      </c>
      <c r="J353" s="10"/>
    </row>
    <row r="354" spans="1:10">
      <c r="A354" s="5">
        <v>352</v>
      </c>
      <c r="B354" t="str">
        <f>LEFT(Table3[[#This Row],[EPI_DGN_ANTIC]],1)</f>
        <v>G</v>
      </c>
      <c r="C354" t="str">
        <f>LEFT(Table3[[#This Row],[EPI_DGN_ANTIC]],2)</f>
        <v>Gl</v>
      </c>
      <c r="D354" s="8" t="s">
        <v>811</v>
      </c>
      <c r="E354" s="10">
        <v>1</v>
      </c>
      <c r="F354" s="22" t="s">
        <v>812</v>
      </c>
      <c r="G354" t="s">
        <v>90</v>
      </c>
      <c r="H354" s="16">
        <v>352</v>
      </c>
      <c r="I354" s="8" t="s">
        <v>813</v>
      </c>
      <c r="J354" s="10"/>
    </row>
    <row r="355" spans="1:10">
      <c r="A355" s="5">
        <v>353</v>
      </c>
      <c r="B355" t="str">
        <f>LEFT(Table3[[#This Row],[EPI_DGN_ANTIC]],1)</f>
        <v>G</v>
      </c>
      <c r="C355" t="str">
        <f>LEFT(Table3[[#This Row],[EPI_DGN_ANTIC]],2)</f>
        <v>Ga</v>
      </c>
      <c r="D355" s="8" t="s">
        <v>814</v>
      </c>
      <c r="E355" s="10">
        <v>1</v>
      </c>
      <c r="F355" s="22" t="s">
        <v>449</v>
      </c>
      <c r="G355" s="22"/>
      <c r="H355" s="16">
        <v>353</v>
      </c>
      <c r="I355" s="8" t="s">
        <v>815</v>
      </c>
      <c r="J355" s="10"/>
    </row>
    <row r="356" spans="1:10">
      <c r="A356" s="5">
        <v>354</v>
      </c>
      <c r="B356" t="str">
        <f>LEFT(Table3[[#This Row],[EPI_DGN_ANTIC]],1)</f>
        <v>G</v>
      </c>
      <c r="C356" t="str">
        <f>LEFT(Table3[[#This Row],[EPI_DGN_ANTIC]],2)</f>
        <v>Gl</v>
      </c>
      <c r="D356" s="8" t="s">
        <v>816</v>
      </c>
      <c r="E356" s="10">
        <v>1</v>
      </c>
      <c r="F356" s="22" t="s">
        <v>817</v>
      </c>
      <c r="G356" t="s">
        <v>90</v>
      </c>
      <c r="H356" s="16">
        <v>354</v>
      </c>
      <c r="I356" s="8" t="s">
        <v>815</v>
      </c>
      <c r="J356" s="10"/>
    </row>
    <row r="357" spans="1:10">
      <c r="A357" s="5">
        <v>355</v>
      </c>
      <c r="B357" t="str">
        <f>LEFT(Table3[[#This Row],[EPI_DGN_ANTIC]],1)</f>
        <v>G</v>
      </c>
      <c r="C357" t="str">
        <f>LEFT(Table3[[#This Row],[EPI_DGN_ANTIC]],2)</f>
        <v>Gl</v>
      </c>
      <c r="D357" s="8" t="s">
        <v>818</v>
      </c>
      <c r="E357" s="10">
        <v>1</v>
      </c>
      <c r="F357" s="22" t="s">
        <v>819</v>
      </c>
      <c r="G357" t="s">
        <v>90</v>
      </c>
      <c r="H357" s="16">
        <v>355</v>
      </c>
      <c r="I357" s="8" t="s">
        <v>820</v>
      </c>
      <c r="J357" s="10"/>
    </row>
    <row r="358" spans="1:10">
      <c r="A358" s="5">
        <v>356</v>
      </c>
      <c r="B358" t="str">
        <f>LEFT(Table3[[#This Row],[EPI_DGN_ANTIC]],1)</f>
        <v>D</v>
      </c>
      <c r="C358" t="str">
        <f>LEFT(Table3[[#This Row],[EPI_DGN_ANTIC]],2)</f>
        <v>Dd</v>
      </c>
      <c r="D358" s="8" t="s">
        <v>821</v>
      </c>
      <c r="E358" s="10">
        <v>1</v>
      </c>
      <c r="F358" s="22" t="s">
        <v>822</v>
      </c>
      <c r="G358" s="22"/>
      <c r="H358" s="16">
        <v>356</v>
      </c>
      <c r="I358" s="8" t="s">
        <v>820</v>
      </c>
      <c r="J358" s="10"/>
    </row>
    <row r="359" spans="1:10">
      <c r="A359" s="5">
        <v>357</v>
      </c>
      <c r="B359" t="str">
        <f>LEFT(Table3[[#This Row],[EPI_DGN_ANTIC]],1)</f>
        <v>D</v>
      </c>
      <c r="C359" t="str">
        <f>LEFT(Table3[[#This Row],[EPI_DGN_ANTIC]],2)</f>
        <v>Dg</v>
      </c>
      <c r="D359" s="8" t="s">
        <v>823</v>
      </c>
      <c r="E359" s="10">
        <v>1</v>
      </c>
      <c r="F359" s="22" t="s">
        <v>824</v>
      </c>
      <c r="G359" s="22"/>
      <c r="H359" s="16">
        <v>357</v>
      </c>
      <c r="I359" s="8" t="s">
        <v>825</v>
      </c>
      <c r="J359" s="10"/>
    </row>
    <row r="360" spans="1:10">
      <c r="A360" s="5">
        <v>358</v>
      </c>
      <c r="B360" t="str">
        <f>LEFT(Table3[[#This Row],[EPI_DGN_ANTIC]],1)</f>
        <v>E</v>
      </c>
      <c r="C360" t="str">
        <f>LEFT(Table3[[#This Row],[EPI_DGN_ANTIC]],3)</f>
        <v>EBc</v>
      </c>
      <c r="D360" s="8" t="s">
        <v>826</v>
      </c>
      <c r="E360" s="10">
        <v>0</v>
      </c>
      <c r="F360" s="22"/>
      <c r="G360" s="22"/>
      <c r="H360" s="16">
        <v>358</v>
      </c>
      <c r="I360" s="8" t="s">
        <v>827</v>
      </c>
      <c r="J360" s="10"/>
    </row>
    <row r="361" spans="1:10">
      <c r="A361" s="5">
        <v>359</v>
      </c>
      <c r="B361" t="str">
        <f>LEFT(Table3[[#This Row],[EPI_DGN_ANTIC]],1)</f>
        <v>E</v>
      </c>
      <c r="C361" t="str">
        <f>LEFT(Table3[[#This Row],[EPI_DGN_ANTIC]],3)</f>
        <v>ECg</v>
      </c>
      <c r="D361" s="8" t="s">
        <v>828</v>
      </c>
      <c r="E361" s="10">
        <v>1</v>
      </c>
      <c r="F361" s="22" t="s">
        <v>829</v>
      </c>
      <c r="G361" s="22"/>
      <c r="H361" s="16">
        <v>359</v>
      </c>
      <c r="I361" s="8" t="s">
        <v>830</v>
      </c>
      <c r="J361" s="10"/>
    </row>
    <row r="362" spans="1:10">
      <c r="A362" s="5">
        <v>360</v>
      </c>
      <c r="B362" t="str">
        <f>LEFT(Table3[[#This Row],[EPI_DGN_ANTIC]],1)</f>
        <v>E</v>
      </c>
      <c r="C362" t="str">
        <f>LEFT(Table3[[#This Row],[EPI_DGN_ANTIC]],3)</f>
        <v>ECL</v>
      </c>
      <c r="D362" s="8" t="s">
        <v>831</v>
      </c>
      <c r="E362" s="10">
        <v>1</v>
      </c>
      <c r="F362" s="22" t="s">
        <v>832</v>
      </c>
      <c r="G362" s="22"/>
      <c r="H362" s="16">
        <v>360</v>
      </c>
      <c r="I362" s="8" t="s">
        <v>833</v>
      </c>
      <c r="J362" s="10"/>
    </row>
    <row r="363" spans="1:10">
      <c r="A363" s="5">
        <v>361</v>
      </c>
      <c r="B363" t="str">
        <f>LEFT(Table3[[#This Row],[EPI_DGN_ANTIC]],1)</f>
        <v>E</v>
      </c>
      <c r="C363" t="str">
        <f>LEFT(Table3[[#This Row],[EPI_DGN_ANTIC]],3)</f>
        <v>ECL</v>
      </c>
      <c r="D363" s="8" t="s">
        <v>834</v>
      </c>
      <c r="E363" s="10">
        <v>1</v>
      </c>
      <c r="F363" s="22" t="s">
        <v>835</v>
      </c>
      <c r="G363" s="22"/>
      <c r="H363" s="16">
        <v>361</v>
      </c>
      <c r="I363" s="8" t="s">
        <v>836</v>
      </c>
      <c r="J363" s="10"/>
    </row>
    <row r="364" spans="1:10">
      <c r="A364" s="5">
        <v>362</v>
      </c>
      <c r="B364" t="str">
        <f>LEFT(Table3[[#This Row],[EPI_DGN_ANTIC]],1)</f>
        <v>E</v>
      </c>
      <c r="C364" t="str">
        <f>LEFT(Table3[[#This Row],[EPI_DGN_ANTIC]],2)</f>
        <v>EI</v>
      </c>
      <c r="D364" s="8" t="s">
        <v>837</v>
      </c>
      <c r="E364" s="10">
        <v>1</v>
      </c>
      <c r="F364" s="22" t="s">
        <v>838</v>
      </c>
      <c r="G364" s="22"/>
      <c r="H364" s="16">
        <v>362</v>
      </c>
      <c r="I364" s="8" t="s">
        <v>28</v>
      </c>
      <c r="J364" s="10"/>
    </row>
    <row r="365" spans="1:10">
      <c r="A365" s="5">
        <v>363</v>
      </c>
      <c r="B365" t="str">
        <f>LEFT(Table3[[#This Row],[EPI_DGN_ANTIC]],1)</f>
        <v>E</v>
      </c>
      <c r="C365" t="str">
        <f>LEFT(Table3[[#This Row],[EPI_DGN_ANTIC]],3)</f>
        <v>ECL</v>
      </c>
      <c r="D365" s="8" t="s">
        <v>839</v>
      </c>
      <c r="E365" s="10">
        <v>1</v>
      </c>
      <c r="F365" s="22" t="s">
        <v>840</v>
      </c>
      <c r="G365" s="22"/>
      <c r="H365" s="16">
        <v>363</v>
      </c>
      <c r="I365" s="8" t="s">
        <v>570</v>
      </c>
      <c r="J365" s="10"/>
    </row>
    <row r="366" spans="1:10">
      <c r="A366" s="5">
        <v>364</v>
      </c>
      <c r="B366" t="str">
        <f>LEFT(Table3[[#This Row],[EPI_DGN_ANTIC]],1)</f>
        <v>f</v>
      </c>
      <c r="C366" t="str">
        <f>LEFT(Table3[[#This Row],[EPI_DGN_ANTIC]],2)</f>
        <v>fq</v>
      </c>
      <c r="D366" s="8" t="s">
        <v>841</v>
      </c>
      <c r="E366" s="10">
        <v>0</v>
      </c>
      <c r="F366" s="22"/>
      <c r="G366" s="22"/>
      <c r="H366" s="16">
        <v>364</v>
      </c>
      <c r="I366" s="8" t="s">
        <v>842</v>
      </c>
      <c r="J366" s="10"/>
    </row>
    <row r="367" spans="1:10">
      <c r="A367" s="5">
        <v>365</v>
      </c>
      <c r="B367" t="str">
        <f>LEFT(Table3[[#This Row],[EPI_DGN_ANTIC]],1)</f>
        <v>K</v>
      </c>
      <c r="C367" t="str">
        <f>LEFT(Table3[[#This Row],[EPI_DGN_ANTIC]],3)</f>
        <v>KCm</v>
      </c>
      <c r="D367" s="8" t="s">
        <v>843</v>
      </c>
      <c r="E367" s="10">
        <v>1</v>
      </c>
      <c r="F367" s="22" t="s">
        <v>844</v>
      </c>
      <c r="G367" s="22"/>
      <c r="H367" s="16">
        <v>365</v>
      </c>
      <c r="I367" s="8" t="s">
        <v>845</v>
      </c>
      <c r="J367" s="10"/>
    </row>
    <row r="368" spans="1:10">
      <c r="A368" s="5">
        <v>366</v>
      </c>
      <c r="B368" t="s">
        <v>784</v>
      </c>
      <c r="C368" t="s">
        <v>806</v>
      </c>
      <c r="D368" s="8" t="s">
        <v>846</v>
      </c>
      <c r="E368" s="10">
        <v>1</v>
      </c>
      <c r="F368" s="22" t="s">
        <v>847</v>
      </c>
      <c r="G368" s="22" t="s">
        <v>486</v>
      </c>
      <c r="H368" s="16">
        <v>366</v>
      </c>
      <c r="I368" s="8" t="s">
        <v>848</v>
      </c>
      <c r="J368" s="10"/>
    </row>
    <row r="369" spans="1:10">
      <c r="A369" s="5">
        <v>367</v>
      </c>
      <c r="B369" t="str">
        <f>LEFT(Table3[[#This Row],[EPI_DGN_ANTIC]],1)</f>
        <v>Z</v>
      </c>
      <c r="C369" t="str">
        <f>LEFT(Table3[[#This Row],[EPI_DGN_ANTIC]],3)</f>
        <v>ZOb</v>
      </c>
      <c r="D369" s="8" t="s">
        <v>849</v>
      </c>
      <c r="E369" s="10">
        <v>0</v>
      </c>
      <c r="F369" s="22"/>
      <c r="G369" s="22"/>
      <c r="H369" s="16">
        <v>367</v>
      </c>
      <c r="I369" s="8" t="s">
        <v>845</v>
      </c>
      <c r="J369" s="10"/>
    </row>
    <row r="370" spans="1:10">
      <c r="A370" s="5">
        <v>368</v>
      </c>
      <c r="B370" t="str">
        <f>LEFT(Table3[[#This Row],[EPI_DGN_ANTIC]],1)</f>
        <v>Z</v>
      </c>
      <c r="C370" t="str">
        <f>LEFT(Table3[[#This Row],[EPI_DGN_ANTIC]],3)</f>
        <v>Zc</v>
      </c>
      <c r="D370" s="8" t="s">
        <v>850</v>
      </c>
      <c r="E370" s="10">
        <v>0</v>
      </c>
      <c r="F370" s="22"/>
      <c r="G370" s="22"/>
      <c r="H370" s="16">
        <v>368</v>
      </c>
      <c r="I370" s="8" t="s">
        <v>845</v>
      </c>
      <c r="J370" s="10"/>
    </row>
    <row r="371" spans="1:10">
      <c r="A371" s="5">
        <v>369</v>
      </c>
      <c r="B371" t="str">
        <f>LEFT(Table3[[#This Row],[EPI_DGN_ANTIC]],1)</f>
        <v>Z</v>
      </c>
      <c r="C371" t="str">
        <f>LEFT(Table3[[#This Row],[EPI_DGN_ANTIC]],3)</f>
        <v>ZOc</v>
      </c>
      <c r="D371" s="8" t="s">
        <v>354</v>
      </c>
      <c r="E371" s="10">
        <v>1</v>
      </c>
      <c r="F371" s="22" t="s">
        <v>552</v>
      </c>
      <c r="G371" s="22"/>
      <c r="H371" s="16">
        <v>369</v>
      </c>
      <c r="I371" s="8" t="s">
        <v>851</v>
      </c>
      <c r="J371" s="10"/>
    </row>
    <row r="372" spans="1:10">
      <c r="A372" s="5">
        <v>370</v>
      </c>
      <c r="B372" t="str">
        <f>LEFT(Table3[[#This Row],[EPI_DGN_ANTIC]],1)</f>
        <v>Z</v>
      </c>
      <c r="C372" t="str">
        <f>LEFT(Table3[[#This Row],[EPI_DGN_ANTIC]],3)</f>
        <v>Z</v>
      </c>
      <c r="D372" s="8" t="s">
        <v>350</v>
      </c>
      <c r="E372" s="10">
        <v>0</v>
      </c>
      <c r="F372" s="22"/>
      <c r="G372" s="22"/>
      <c r="H372" s="16">
        <v>370</v>
      </c>
      <c r="I372" s="8" t="s">
        <v>852</v>
      </c>
      <c r="J372" s="10"/>
    </row>
    <row r="373" spans="1:10">
      <c r="A373" s="5">
        <v>371</v>
      </c>
      <c r="B373" t="str">
        <f>LEFT(Table3[[#This Row],[EPI_DGN_ANTIC]],1)</f>
        <v>Z</v>
      </c>
      <c r="C373" t="str">
        <f>LEFT(Table3[[#This Row],[EPI_DGN_ANTIC]],3)</f>
        <v>ZOp</v>
      </c>
      <c r="D373" s="8" t="s">
        <v>853</v>
      </c>
      <c r="E373" s="10">
        <v>1</v>
      </c>
      <c r="F373" s="22" t="s">
        <v>854</v>
      </c>
      <c r="G373" s="22"/>
      <c r="H373" s="16">
        <v>371</v>
      </c>
      <c r="I373" s="8" t="s">
        <v>855</v>
      </c>
      <c r="J373" s="10"/>
    </row>
    <row r="374" spans="1:10">
      <c r="A374" s="5">
        <v>372</v>
      </c>
      <c r="B374" t="str">
        <f>LEFT(Table3[[#This Row],[EPI_DGN_ANTIC]],1)</f>
        <v>Z</v>
      </c>
      <c r="C374" t="str">
        <f>LEFT(Table3[[#This Row],[EPI_DGN_ANTIC]],3)</f>
        <v>ZOt</v>
      </c>
      <c r="D374" s="8" t="s">
        <v>856</v>
      </c>
      <c r="E374" s="10">
        <v>1</v>
      </c>
      <c r="F374" s="22" t="s">
        <v>857</v>
      </c>
      <c r="G374" s="22"/>
      <c r="H374" s="16">
        <v>372</v>
      </c>
      <c r="I374" s="8" t="s">
        <v>858</v>
      </c>
      <c r="J374" s="10"/>
    </row>
    <row r="375" spans="1:10">
      <c r="A375" s="5">
        <v>373</v>
      </c>
      <c r="B375" t="str">
        <f>LEFT(Table3[[#This Row],[EPI_DGN_ANTIC]],1)</f>
        <v>Z</v>
      </c>
      <c r="C375" t="str">
        <f>LEFT(Table3[[#This Row],[EPI_DGN_ANTIC]],3)</f>
        <v>ZOv</v>
      </c>
      <c r="D375" s="8" t="s">
        <v>859</v>
      </c>
      <c r="E375" s="10">
        <v>1</v>
      </c>
      <c r="F375" s="22" t="s">
        <v>860</v>
      </c>
      <c r="G375" s="22"/>
      <c r="H375" s="16">
        <v>373</v>
      </c>
      <c r="I375" s="8" t="s">
        <v>861</v>
      </c>
      <c r="J375" s="10"/>
    </row>
    <row r="376" spans="1:10">
      <c r="A376" s="5">
        <v>374</v>
      </c>
      <c r="B376" t="str">
        <f>LEFT(Table3[[#This Row],[EPI_DGN_ANTIC]],1)</f>
        <v>Z</v>
      </c>
      <c r="C376" t="str">
        <f>LEFT(Table3[[#This Row],[EPI_DGN_ANTIC]],3)</f>
        <v>ZOv</v>
      </c>
      <c r="D376" s="8" t="s">
        <v>862</v>
      </c>
      <c r="E376" s="10">
        <v>1</v>
      </c>
      <c r="F376" s="22" t="s">
        <v>863</v>
      </c>
      <c r="G376" s="22"/>
      <c r="H376" s="16">
        <v>374</v>
      </c>
      <c r="I376" s="8" t="s">
        <v>864</v>
      </c>
      <c r="J376" s="10"/>
    </row>
    <row r="377" spans="1:10">
      <c r="A377" s="5">
        <v>375</v>
      </c>
      <c r="B377" t="s">
        <v>350</v>
      </c>
      <c r="C377" t="s">
        <v>559</v>
      </c>
      <c r="D377" s="8" t="s">
        <v>865</v>
      </c>
      <c r="E377" s="10">
        <v>1</v>
      </c>
      <c r="F377" s="22" t="s">
        <v>854</v>
      </c>
      <c r="G377" s="22"/>
      <c r="H377" s="16">
        <v>375</v>
      </c>
      <c r="I377" s="8" t="s">
        <v>866</v>
      </c>
      <c r="J377" s="10"/>
    </row>
    <row r="378" spans="1:10">
      <c r="A378" s="5">
        <v>376</v>
      </c>
      <c r="B378" t="str">
        <f>LEFT(Table3[[#This Row],[EPI_DGN_ANTIC]],1)</f>
        <v>Z</v>
      </c>
      <c r="C378" t="str">
        <f>LEFT(Table3[[#This Row],[EPI_DGN_ANTIC]],3)</f>
        <v>ZOq</v>
      </c>
      <c r="D378" s="8" t="s">
        <v>867</v>
      </c>
      <c r="E378" s="10">
        <v>1</v>
      </c>
      <c r="F378" s="22" t="s">
        <v>868</v>
      </c>
      <c r="G378" s="22"/>
      <c r="H378" s="16">
        <v>376</v>
      </c>
      <c r="I378" s="8" t="s">
        <v>869</v>
      </c>
      <c r="J378" s="10"/>
    </row>
    <row r="379" spans="1:10">
      <c r="A379" s="5">
        <v>377</v>
      </c>
      <c r="B379" t="str">
        <f>LEFT(Table3[[#This Row],[EPI_DGN_ANTIC]],1)</f>
        <v>Z</v>
      </c>
      <c r="C379" t="str">
        <f>LEFT(Table3[[#This Row],[EPI_DGN_ANTIC]],3)</f>
        <v>ZOs</v>
      </c>
      <c r="D379" s="8" t="s">
        <v>870</v>
      </c>
      <c r="E379" s="10">
        <v>1</v>
      </c>
      <c r="F379" s="22" t="s">
        <v>871</v>
      </c>
      <c r="G379" s="22"/>
      <c r="H379" s="16">
        <v>377</v>
      </c>
      <c r="I379" s="8" t="s">
        <v>872</v>
      </c>
      <c r="J379" s="10"/>
    </row>
    <row r="380" spans="1:10">
      <c r="A380" s="5">
        <v>378</v>
      </c>
      <c r="B380" t="str">
        <f>LEFT(Table3[[#This Row],[EPI_DGN_ANTIC]],1)</f>
        <v>Z</v>
      </c>
      <c r="C380" t="str">
        <f>LEFT(Table3[[#This Row],[EPI_DGN_ANTIC]],3)</f>
        <v>ZOp</v>
      </c>
      <c r="D380" s="8" t="s">
        <v>873</v>
      </c>
      <c r="E380" s="10">
        <v>0</v>
      </c>
      <c r="F380" s="22"/>
      <c r="G380" s="22"/>
      <c r="H380" s="16">
        <v>378</v>
      </c>
      <c r="I380" s="8" t="s">
        <v>874</v>
      </c>
      <c r="J380" s="10"/>
    </row>
    <row r="381" spans="1:10">
      <c r="A381" s="5">
        <v>379</v>
      </c>
      <c r="B381" t="str">
        <f>LEFT(Table3[[#This Row],[EPI_DGN_ANTIC]],1)</f>
        <v>Z</v>
      </c>
      <c r="C381" t="str">
        <f>LEFT(Table3[[#This Row],[EPI_DGN_ANTIC]],3)</f>
        <v>ZOv</v>
      </c>
      <c r="D381" s="8" t="s">
        <v>875</v>
      </c>
      <c r="E381" s="10">
        <v>0</v>
      </c>
      <c r="F381" s="22"/>
      <c r="G381" s="22"/>
      <c r="H381" s="16">
        <v>379</v>
      </c>
      <c r="I381" s="8" t="s">
        <v>876</v>
      </c>
      <c r="J381" s="10"/>
    </row>
    <row r="382" spans="1:10">
      <c r="A382" s="5">
        <v>380</v>
      </c>
      <c r="B382" t="str">
        <f>LEFT(Table3[[#This Row],[EPI_DGN_ANTIC]],1)</f>
        <v>Z</v>
      </c>
      <c r="C382" t="str">
        <f>LEFT(Table3[[#This Row],[EPI_DGN_ANTIC]],3)</f>
        <v>ZOd</v>
      </c>
      <c r="D382" s="8" t="s">
        <v>877</v>
      </c>
      <c r="E382" s="10">
        <v>0</v>
      </c>
      <c r="F382" s="22"/>
      <c r="G382" s="22"/>
      <c r="H382" s="16">
        <v>380</v>
      </c>
      <c r="I382" s="8" t="s">
        <v>878</v>
      </c>
      <c r="J382" s="10"/>
    </row>
    <row r="383" spans="1:10">
      <c r="A383" s="5">
        <v>381</v>
      </c>
      <c r="B383" t="str">
        <f>LEFT(Table3[[#This Row],[EPI_DGN_ANTIC]],1)</f>
        <v>Z</v>
      </c>
      <c r="C383" t="str">
        <f>LEFT(Table3[[#This Row],[EPI_DGN_ANTIC]],3)</f>
        <v>ZOg</v>
      </c>
      <c r="D383" s="8" t="s">
        <v>559</v>
      </c>
      <c r="E383" s="10">
        <v>0</v>
      </c>
      <c r="F383" s="22"/>
      <c r="G383" s="22"/>
      <c r="H383" s="16">
        <v>381</v>
      </c>
      <c r="I383" s="8" t="s">
        <v>879</v>
      </c>
      <c r="J383" s="10"/>
    </row>
    <row r="384" spans="1:10">
      <c r="A384" s="5">
        <v>382</v>
      </c>
      <c r="B384" t="str">
        <f>LEFT(Table3[[#This Row],[EPI_DGN_ANTIC]],1)</f>
        <v>Z</v>
      </c>
      <c r="C384" t="str">
        <f>LEFT(Table3[[#This Row],[EPI_DGN_ANTIC]],3)</f>
        <v>ZOs</v>
      </c>
      <c r="D384" s="8" t="s">
        <v>880</v>
      </c>
      <c r="E384" s="10">
        <v>0</v>
      </c>
      <c r="F384" s="22"/>
      <c r="G384" s="22"/>
      <c r="H384" s="16">
        <v>382</v>
      </c>
      <c r="I384" s="8" t="s">
        <v>848</v>
      </c>
      <c r="J384" s="10"/>
    </row>
    <row r="385" spans="1:10">
      <c r="A385" s="5">
        <v>383</v>
      </c>
      <c r="B385" t="str">
        <f>LEFT(Table3[[#This Row],[EPI_DGN_ANTIC]],1)</f>
        <v>Z</v>
      </c>
      <c r="C385" t="str">
        <f>LEFT(Table3[[#This Row],[EPI_DGN_ANTIC]],3)</f>
        <v>ZOt</v>
      </c>
      <c r="D385" s="8" t="s">
        <v>881</v>
      </c>
      <c r="E385" s="10">
        <v>0</v>
      </c>
      <c r="F385" s="22"/>
      <c r="G385" s="22"/>
      <c r="H385" s="16">
        <v>383</v>
      </c>
      <c r="I385" s="8" t="s">
        <v>882</v>
      </c>
      <c r="J385" s="10"/>
    </row>
    <row r="386" spans="1:10">
      <c r="A386" s="5">
        <v>384</v>
      </c>
      <c r="B386" t="str">
        <f>LEFT(Table3[[#This Row],[EPI_DGN_ANTIC]],1)</f>
        <v>Z</v>
      </c>
      <c r="C386" t="str">
        <f>LEFT(Table3[[#This Row],[EPI_DGN_ANTIC]],3)</f>
        <v>ZOv</v>
      </c>
      <c r="D386" s="8" t="s">
        <v>875</v>
      </c>
      <c r="E386" s="10">
        <v>1</v>
      </c>
      <c r="F386" s="22" t="s">
        <v>883</v>
      </c>
      <c r="G386" s="22"/>
      <c r="H386" s="16">
        <v>384</v>
      </c>
      <c r="I386" s="8" t="s">
        <v>884</v>
      </c>
      <c r="J386" s="10"/>
    </row>
    <row r="387" spans="1:10">
      <c r="A387" s="5">
        <v>385</v>
      </c>
      <c r="B387" t="s">
        <v>350</v>
      </c>
      <c r="C387" t="s">
        <v>559</v>
      </c>
      <c r="D387" s="8" t="s">
        <v>885</v>
      </c>
      <c r="E387" s="10">
        <v>1</v>
      </c>
      <c r="F387" s="22" t="s">
        <v>360</v>
      </c>
      <c r="G387" s="22"/>
      <c r="H387" s="16">
        <v>385</v>
      </c>
      <c r="I387" s="8" t="s">
        <v>886</v>
      </c>
      <c r="J387" s="10"/>
    </row>
    <row r="388" spans="1:10">
      <c r="A388" s="5">
        <v>386</v>
      </c>
      <c r="B388" t="str">
        <f>LEFT(Table3[[#This Row],[EPI_DGN_ANTIC]],1)</f>
        <v>C</v>
      </c>
      <c r="C388" t="str">
        <f>LEFT(Table3[[#This Row],[EPI_DGN_ANTIC]],2)</f>
        <v>Ca</v>
      </c>
      <c r="D388" s="8" t="s">
        <v>636</v>
      </c>
      <c r="E388" s="10">
        <v>1</v>
      </c>
      <c r="F388" s="22" t="s">
        <v>744</v>
      </c>
      <c r="G388" s="22"/>
      <c r="H388" s="16">
        <v>386</v>
      </c>
      <c r="I388" s="8" t="s">
        <v>887</v>
      </c>
      <c r="J388" s="10"/>
    </row>
    <row r="389" spans="1:10">
      <c r="A389" s="5">
        <v>387</v>
      </c>
      <c r="B389" t="s">
        <v>292</v>
      </c>
      <c r="C389" t="s">
        <v>342</v>
      </c>
      <c r="D389" s="8" t="s">
        <v>888</v>
      </c>
      <c r="E389" s="10">
        <v>1</v>
      </c>
      <c r="F389" s="22" t="s">
        <v>641</v>
      </c>
      <c r="G389" s="22"/>
      <c r="H389" s="16">
        <v>387</v>
      </c>
      <c r="I389" s="8" t="s">
        <v>889</v>
      </c>
      <c r="J389" s="10"/>
    </row>
    <row r="390" spans="1:10">
      <c r="A390" s="5">
        <v>388</v>
      </c>
      <c r="B390" t="str">
        <f>LEFT(Table3[[#This Row],[EPI_DGN_ANTIC]],1)</f>
        <v>M</v>
      </c>
      <c r="C390" t="s">
        <v>787</v>
      </c>
      <c r="D390" s="8" t="s">
        <v>787</v>
      </c>
      <c r="E390" s="10">
        <v>1</v>
      </c>
      <c r="F390" s="22" t="s">
        <v>486</v>
      </c>
      <c r="G390" s="22" t="s">
        <v>704</v>
      </c>
      <c r="H390" s="16">
        <v>388</v>
      </c>
      <c r="I390" s="8" t="s">
        <v>890</v>
      </c>
      <c r="J390" s="10"/>
    </row>
    <row r="391" spans="1:10">
      <c r="A391" s="5">
        <v>389</v>
      </c>
      <c r="B391" t="s">
        <v>292</v>
      </c>
      <c r="C391" t="s">
        <v>342</v>
      </c>
      <c r="D391" s="8" t="s">
        <v>891</v>
      </c>
      <c r="E391" s="10">
        <v>1</v>
      </c>
      <c r="F391" s="22" t="s">
        <v>641</v>
      </c>
      <c r="G391" s="22"/>
      <c r="H391" s="16">
        <v>389</v>
      </c>
      <c r="I391" s="8" t="s">
        <v>892</v>
      </c>
      <c r="J391" s="10"/>
    </row>
    <row r="392" spans="1:10">
      <c r="A392" s="5">
        <v>390</v>
      </c>
      <c r="B392" t="s">
        <v>292</v>
      </c>
      <c r="C392" t="s">
        <v>342</v>
      </c>
      <c r="D392" s="8" t="s">
        <v>893</v>
      </c>
      <c r="E392" s="10">
        <v>1</v>
      </c>
      <c r="F392" s="22" t="s">
        <v>345</v>
      </c>
      <c r="G392" s="22"/>
      <c r="H392" s="16">
        <v>390</v>
      </c>
      <c r="I392" s="8" t="s">
        <v>892</v>
      </c>
      <c r="J392" s="10"/>
    </row>
    <row r="393" spans="1:10">
      <c r="A393" s="5">
        <v>391</v>
      </c>
      <c r="B393" t="s">
        <v>292</v>
      </c>
      <c r="C393" t="s">
        <v>342</v>
      </c>
      <c r="D393" s="8" t="s">
        <v>894</v>
      </c>
      <c r="E393" s="10">
        <v>1</v>
      </c>
      <c r="F393" s="22" t="s">
        <v>345</v>
      </c>
      <c r="G393" s="22"/>
      <c r="H393" s="16">
        <v>391</v>
      </c>
      <c r="I393" s="8" t="s">
        <v>892</v>
      </c>
      <c r="J393" s="10"/>
    </row>
    <row r="394" spans="1:10">
      <c r="A394" s="5">
        <v>392</v>
      </c>
      <c r="B394" t="str">
        <f>LEFT(Table3[[#This Row],[EPI_DGN_ANTIC]],1)</f>
        <v>M</v>
      </c>
      <c r="D394" s="8" t="s">
        <v>895</v>
      </c>
      <c r="E394" s="10">
        <v>0</v>
      </c>
      <c r="F394" s="22"/>
      <c r="G394" s="22"/>
      <c r="H394" s="16">
        <v>392</v>
      </c>
      <c r="I394" s="8" t="s">
        <v>896</v>
      </c>
      <c r="J394" s="10"/>
    </row>
    <row r="395" spans="1:10">
      <c r="A395" s="5">
        <v>393</v>
      </c>
      <c r="B395" t="str">
        <f>LEFT(Table3[[#This Row],[EPI_DGN_ANTIC]],1)</f>
        <v>M</v>
      </c>
      <c r="C395" t="s">
        <v>895</v>
      </c>
      <c r="D395" s="8" t="s">
        <v>895</v>
      </c>
      <c r="E395" s="10">
        <v>1</v>
      </c>
      <c r="F395" s="22" t="s">
        <v>486</v>
      </c>
      <c r="G395" s="22" t="s">
        <v>897</v>
      </c>
      <c r="H395" s="16">
        <v>393</v>
      </c>
      <c r="I395" s="8" t="s">
        <v>898</v>
      </c>
      <c r="J395" s="10"/>
    </row>
    <row r="396" spans="1:10">
      <c r="A396" s="5">
        <v>394</v>
      </c>
      <c r="B396" t="str">
        <f>LEFT(Table3[[#This Row],[EPI_DGN_ANTIC]],1)</f>
        <v>M</v>
      </c>
      <c r="C396" t="s">
        <v>895</v>
      </c>
      <c r="D396" s="8" t="s">
        <v>899</v>
      </c>
      <c r="E396" s="10">
        <v>1</v>
      </c>
      <c r="F396" s="22" t="s">
        <v>486</v>
      </c>
      <c r="G396" s="22" t="s">
        <v>897</v>
      </c>
      <c r="H396" s="16">
        <v>394</v>
      </c>
      <c r="I396" s="8" t="s">
        <v>900</v>
      </c>
      <c r="J396" s="10"/>
    </row>
    <row r="397" spans="1:10">
      <c r="A397" s="5">
        <v>395</v>
      </c>
      <c r="B397" t="str">
        <f>LEFT(Table3[[#This Row],[EPI_DGN_ANTIC]],1)</f>
        <v>M</v>
      </c>
      <c r="C397" t="s">
        <v>895</v>
      </c>
      <c r="D397" s="8" t="s">
        <v>901</v>
      </c>
      <c r="E397" s="10">
        <v>1</v>
      </c>
      <c r="F397" s="22" t="s">
        <v>486</v>
      </c>
      <c r="G397" s="22" t="s">
        <v>897</v>
      </c>
      <c r="H397" s="16">
        <v>395</v>
      </c>
      <c r="I397" s="8" t="s">
        <v>902</v>
      </c>
      <c r="J397" s="10"/>
    </row>
    <row r="398" spans="1:10">
      <c r="A398" s="5">
        <v>396</v>
      </c>
      <c r="B398" t="str">
        <f>LEFT(Table3[[#This Row],[EPI_DGN_ANTIC]],1)</f>
        <v>M</v>
      </c>
      <c r="C398" t="s">
        <v>895</v>
      </c>
      <c r="D398" s="8" t="s">
        <v>903</v>
      </c>
      <c r="E398" s="10">
        <v>1</v>
      </c>
      <c r="F398" s="22" t="s">
        <v>486</v>
      </c>
      <c r="G398" s="22" t="s">
        <v>897</v>
      </c>
      <c r="H398" s="16">
        <v>396</v>
      </c>
      <c r="I398" s="8" t="s">
        <v>904</v>
      </c>
      <c r="J398" s="10"/>
    </row>
    <row r="399" spans="1:10">
      <c r="A399" s="5">
        <v>397</v>
      </c>
      <c r="B399" t="s">
        <v>350</v>
      </c>
      <c r="C399" t="s">
        <v>352</v>
      </c>
      <c r="D399" s="8" t="s">
        <v>905</v>
      </c>
      <c r="E399" s="10">
        <v>1</v>
      </c>
      <c r="F399" s="22" t="s">
        <v>628</v>
      </c>
      <c r="G399" s="22"/>
      <c r="H399" s="16">
        <v>397</v>
      </c>
      <c r="I399" s="8" t="s">
        <v>183</v>
      </c>
      <c r="J399" s="10"/>
    </row>
    <row r="400" spans="1:10">
      <c r="A400" s="5">
        <v>398</v>
      </c>
      <c r="B400" t="s">
        <v>350</v>
      </c>
      <c r="C400" t="s">
        <v>354</v>
      </c>
      <c r="D400" s="8" t="s">
        <v>906</v>
      </c>
      <c r="E400" s="10">
        <v>1</v>
      </c>
      <c r="F400" s="22" t="s">
        <v>552</v>
      </c>
      <c r="G400" s="22"/>
      <c r="H400" s="16">
        <v>398</v>
      </c>
      <c r="I400" s="8" t="s">
        <v>907</v>
      </c>
      <c r="J400" s="10"/>
    </row>
    <row r="401" spans="1:10">
      <c r="A401" s="5">
        <v>399</v>
      </c>
      <c r="B401" t="s">
        <v>350</v>
      </c>
      <c r="C401" t="s">
        <v>352</v>
      </c>
      <c r="D401" s="8" t="s">
        <v>908</v>
      </c>
      <c r="E401" s="10">
        <v>1</v>
      </c>
      <c r="F401" s="22" t="s">
        <v>628</v>
      </c>
      <c r="G401" s="22"/>
      <c r="H401" s="16">
        <v>399</v>
      </c>
      <c r="I401" s="8" t="s">
        <v>909</v>
      </c>
      <c r="J401" s="10"/>
    </row>
    <row r="402" spans="1:10">
      <c r="A402" s="5">
        <v>400</v>
      </c>
      <c r="B402" t="s">
        <v>350</v>
      </c>
      <c r="C402" t="s">
        <v>352</v>
      </c>
      <c r="D402" s="8" t="s">
        <v>910</v>
      </c>
      <c r="E402" s="10">
        <v>1</v>
      </c>
      <c r="F402" s="22" t="s">
        <v>628</v>
      </c>
      <c r="G402" s="22"/>
      <c r="H402" s="16">
        <v>400</v>
      </c>
      <c r="I402" s="8" t="s">
        <v>911</v>
      </c>
      <c r="J402" s="10"/>
    </row>
    <row r="403" spans="1:10">
      <c r="A403" s="5">
        <v>401</v>
      </c>
      <c r="B403" t="s">
        <v>350</v>
      </c>
      <c r="C403" t="s">
        <v>352</v>
      </c>
      <c r="D403" s="8" t="s">
        <v>912</v>
      </c>
      <c r="E403" s="10">
        <v>1</v>
      </c>
      <c r="F403" s="22" t="s">
        <v>628</v>
      </c>
      <c r="G403" s="22"/>
      <c r="H403" s="16">
        <v>401</v>
      </c>
      <c r="I403" s="8" t="s">
        <v>913</v>
      </c>
      <c r="J403" s="10"/>
    </row>
    <row r="404" spans="1:10">
      <c r="A404" s="5">
        <v>402</v>
      </c>
      <c r="B404" t="s">
        <v>350</v>
      </c>
      <c r="C404" t="s">
        <v>352</v>
      </c>
      <c r="D404" s="8" t="s">
        <v>914</v>
      </c>
      <c r="E404" s="10">
        <v>1</v>
      </c>
      <c r="F404" s="22" t="s">
        <v>628</v>
      </c>
      <c r="G404" s="22"/>
      <c r="H404" s="16">
        <v>402</v>
      </c>
      <c r="I404" s="8" t="s">
        <v>915</v>
      </c>
      <c r="J404" s="10"/>
    </row>
    <row r="405" spans="1:10">
      <c r="A405" s="5">
        <v>403</v>
      </c>
      <c r="B405" t="str">
        <f>LEFT(Table3[[#This Row],[EPI_DGN_ANTIC]],1)</f>
        <v>M</v>
      </c>
      <c r="D405" s="8" t="s">
        <v>899</v>
      </c>
      <c r="E405" s="10">
        <v>0</v>
      </c>
      <c r="F405" s="22"/>
      <c r="G405" s="22"/>
      <c r="H405" s="16">
        <v>403</v>
      </c>
      <c r="I405" s="8" t="s">
        <v>911</v>
      </c>
      <c r="J405" s="10"/>
    </row>
    <row r="406" spans="1:10">
      <c r="A406" s="5">
        <v>404</v>
      </c>
      <c r="B406" t="str">
        <f>LEFT(Table3[[#This Row],[EPI_DGN_ANTIC]],1)</f>
        <v>Z</v>
      </c>
      <c r="C406" t="str">
        <f>LEFT(Table3[[#This Row],[EPI_DGN_ANTIC]],3)</f>
        <v>ZOg</v>
      </c>
      <c r="D406" s="8" t="s">
        <v>362</v>
      </c>
      <c r="E406" s="10">
        <v>1</v>
      </c>
      <c r="F406" s="22" t="s">
        <v>363</v>
      </c>
      <c r="G406" s="22"/>
      <c r="H406" s="16">
        <v>404</v>
      </c>
      <c r="I406" s="8" t="s">
        <v>916</v>
      </c>
      <c r="J406" s="10"/>
    </row>
    <row r="407" spans="1:10">
      <c r="A407" s="5">
        <v>405</v>
      </c>
      <c r="B407" t="str">
        <f>LEFT(Table3[[#This Row],[EPI_DGN_ANTIC]],1)</f>
        <v>M</v>
      </c>
      <c r="C407" t="s">
        <v>895</v>
      </c>
      <c r="D407" s="8" t="s">
        <v>903</v>
      </c>
      <c r="E407" s="10">
        <v>1</v>
      </c>
      <c r="F407" s="22" t="s">
        <v>486</v>
      </c>
      <c r="G407" s="22" t="s">
        <v>897</v>
      </c>
      <c r="H407" s="16">
        <v>405</v>
      </c>
      <c r="I407" s="8" t="s">
        <v>917</v>
      </c>
      <c r="J407" s="10"/>
    </row>
    <row r="408" spans="1:10">
      <c r="A408" s="5">
        <v>406</v>
      </c>
      <c r="B408" t="str">
        <f>LEFT(Table3[[#This Row],[EPI_DGN_ANTIC]],1)</f>
        <v>Z</v>
      </c>
      <c r="C408" t="str">
        <f>LEFT(Table3[[#This Row],[EPI_DGN_ANTIC]],3)</f>
        <v>ZOg</v>
      </c>
      <c r="D408" s="8" t="s">
        <v>362</v>
      </c>
      <c r="E408" s="10">
        <v>1</v>
      </c>
      <c r="F408" s="22" t="s">
        <v>363</v>
      </c>
      <c r="G408" s="22"/>
      <c r="H408" s="16">
        <v>406</v>
      </c>
      <c r="I408" s="8" t="s">
        <v>918</v>
      </c>
      <c r="J408" s="10"/>
    </row>
    <row r="409" spans="1:10">
      <c r="A409" s="5">
        <v>407</v>
      </c>
      <c r="B409" t="s">
        <v>350</v>
      </c>
      <c r="C409" t="s">
        <v>354</v>
      </c>
      <c r="D409" s="8" t="s">
        <v>919</v>
      </c>
      <c r="E409" s="10">
        <v>1</v>
      </c>
      <c r="F409" s="22" t="s">
        <v>552</v>
      </c>
      <c r="G409" s="22"/>
      <c r="H409" s="16">
        <v>407</v>
      </c>
      <c r="I409" s="8" t="s">
        <v>920</v>
      </c>
      <c r="J409" s="10"/>
    </row>
    <row r="410" spans="1:10">
      <c r="A410" s="5">
        <v>408</v>
      </c>
      <c r="B410" t="s">
        <v>350</v>
      </c>
      <c r="C410" t="s">
        <v>559</v>
      </c>
      <c r="D410" s="8" t="s">
        <v>921</v>
      </c>
      <c r="E410" s="10">
        <v>1</v>
      </c>
      <c r="F410" s="22" t="s">
        <v>360</v>
      </c>
      <c r="G410" s="22"/>
      <c r="H410" s="16">
        <v>408</v>
      </c>
      <c r="I410" s="8" t="s">
        <v>122</v>
      </c>
      <c r="J410" s="10"/>
    </row>
    <row r="411" spans="1:10">
      <c r="A411" s="5">
        <v>409</v>
      </c>
      <c r="B411" t="s">
        <v>350</v>
      </c>
      <c r="C411" t="s">
        <v>559</v>
      </c>
      <c r="D411" s="8" t="s">
        <v>922</v>
      </c>
      <c r="E411" s="10">
        <v>1</v>
      </c>
      <c r="F411" s="22" t="s">
        <v>360</v>
      </c>
      <c r="G411" s="22"/>
      <c r="H411" s="16">
        <v>409</v>
      </c>
      <c r="I411" s="8" t="s">
        <v>923</v>
      </c>
      <c r="J411" s="10"/>
    </row>
    <row r="412" spans="1:10">
      <c r="A412" s="5">
        <v>410</v>
      </c>
      <c r="B412" t="s">
        <v>350</v>
      </c>
      <c r="C412" t="s">
        <v>875</v>
      </c>
      <c r="D412" s="8" t="s">
        <v>924</v>
      </c>
      <c r="E412" s="10">
        <v>1</v>
      </c>
      <c r="F412" s="22" t="s">
        <v>863</v>
      </c>
      <c r="G412" s="22"/>
      <c r="H412" s="16">
        <v>410</v>
      </c>
      <c r="I412" s="8" t="s">
        <v>925</v>
      </c>
      <c r="J412" s="10"/>
    </row>
    <row r="413" spans="1:10">
      <c r="A413" s="5">
        <v>411</v>
      </c>
      <c r="B413" t="s">
        <v>350</v>
      </c>
      <c r="C413" t="s">
        <v>875</v>
      </c>
      <c r="D413" s="8" t="s">
        <v>926</v>
      </c>
      <c r="E413" s="10">
        <v>1</v>
      </c>
      <c r="F413" s="22" t="s">
        <v>863</v>
      </c>
      <c r="G413" s="22"/>
      <c r="H413" s="16">
        <v>411</v>
      </c>
      <c r="I413" s="8" t="s">
        <v>927</v>
      </c>
      <c r="J413" s="10"/>
    </row>
    <row r="414" spans="1:10">
      <c r="A414" s="5">
        <v>412</v>
      </c>
      <c r="B414" t="str">
        <f>LEFT(Table3[[#This Row],[EPI_DGN_ANTIC]],1)</f>
        <v>D</v>
      </c>
      <c r="D414" s="8" t="s">
        <v>621</v>
      </c>
      <c r="E414" s="10">
        <v>0</v>
      </c>
      <c r="F414" s="22"/>
      <c r="G414" s="22"/>
      <c r="H414" s="16">
        <v>412</v>
      </c>
      <c r="I414" s="8" t="s">
        <v>928</v>
      </c>
      <c r="J414" s="10"/>
    </row>
    <row r="415" spans="1:10">
      <c r="A415" s="5">
        <v>413</v>
      </c>
      <c r="B415" t="str">
        <f>LEFT(Table3[[#This Row],[EPI_DGN_ANTIC]],1)</f>
        <v>G</v>
      </c>
      <c r="C415" t="str">
        <f>LEFT(Table3[[#This Row],[EPI_DGN_ANTIC]],2)</f>
        <v>Gd</v>
      </c>
      <c r="D415" s="8" t="s">
        <v>639</v>
      </c>
      <c r="E415" s="10">
        <v>1</v>
      </c>
      <c r="F415" s="22" t="s">
        <v>929</v>
      </c>
      <c r="G415" s="22"/>
      <c r="H415" s="16">
        <v>413</v>
      </c>
      <c r="I415" s="8" t="s">
        <v>930</v>
      </c>
      <c r="J415" s="10"/>
    </row>
    <row r="416" spans="1:10">
      <c r="A416" s="5">
        <v>414</v>
      </c>
      <c r="B416" t="str">
        <f>LEFT(Table3[[#This Row],[EPI_DGN_ANTIC]],1)</f>
        <v>G</v>
      </c>
      <c r="C416" t="str">
        <f>LEFT(Table3[[#This Row],[EPI_DGN_ANTIC]],2)</f>
        <v>Gb</v>
      </c>
      <c r="D416" s="8" t="s">
        <v>931</v>
      </c>
      <c r="E416" s="10">
        <v>0</v>
      </c>
      <c r="F416" s="22"/>
      <c r="G416" s="22"/>
      <c r="H416" s="16">
        <v>414</v>
      </c>
      <c r="I416" s="8" t="s">
        <v>932</v>
      </c>
      <c r="J416" s="10"/>
    </row>
    <row r="417" spans="1:10">
      <c r="A417" s="5">
        <v>415</v>
      </c>
      <c r="B417" t="str">
        <f>LEFT(Table3[[#This Row],[EPI_DGN_ANTIC]],1)</f>
        <v>G</v>
      </c>
      <c r="C417" t="str">
        <f>LEFT(Table3[[#This Row],[EPI_DGN_ANTIC]],2)</f>
        <v>Gb</v>
      </c>
      <c r="D417" s="8" t="s">
        <v>931</v>
      </c>
      <c r="E417" s="10">
        <v>1</v>
      </c>
      <c r="F417" s="22" t="s">
        <v>933</v>
      </c>
      <c r="G417" s="22"/>
      <c r="H417" s="16">
        <v>415</v>
      </c>
      <c r="I417" s="8" t="s">
        <v>934</v>
      </c>
      <c r="J417" s="10"/>
    </row>
    <row r="418" spans="1:10">
      <c r="A418" s="5">
        <v>416</v>
      </c>
      <c r="B418" t="str">
        <f>LEFT(Table3[[#This Row],[EPI_DGN_ANTIC]],1)</f>
        <v>G</v>
      </c>
      <c r="C418" t="str">
        <f>LEFT(Table3[[#This Row],[EPI_DGN_ANTIC]],2)</f>
        <v>Gb</v>
      </c>
      <c r="D418" s="8" t="s">
        <v>935</v>
      </c>
      <c r="E418" s="10">
        <v>1</v>
      </c>
      <c r="F418" s="22" t="s">
        <v>936</v>
      </c>
      <c r="G418" s="22"/>
      <c r="H418" s="16">
        <v>416</v>
      </c>
      <c r="I418" s="8" t="s">
        <v>909</v>
      </c>
      <c r="J418" s="10"/>
    </row>
    <row r="419" spans="1:10">
      <c r="A419" s="5">
        <v>417</v>
      </c>
      <c r="B419" t="str">
        <f>LEFT(Table3[[#This Row],[EPI_DGN_ANTIC]],1)</f>
        <v>G</v>
      </c>
      <c r="C419" t="str">
        <f>LEFT(Table3[[#This Row],[EPI_DGN_ANTIC]],2)</f>
        <v>Gd</v>
      </c>
      <c r="D419" s="8" t="s">
        <v>937</v>
      </c>
      <c r="E419" s="10">
        <v>1</v>
      </c>
      <c r="F419" s="22" t="s">
        <v>938</v>
      </c>
      <c r="G419" s="22"/>
      <c r="H419" s="16">
        <v>417</v>
      </c>
      <c r="I419" s="8" t="s">
        <v>939</v>
      </c>
      <c r="J419" s="10"/>
    </row>
    <row r="420" spans="1:10">
      <c r="A420" s="5">
        <v>418</v>
      </c>
      <c r="B420" t="str">
        <f>LEFT(Table3[[#This Row],[EPI_DGN_ANTIC]],1)</f>
        <v>G</v>
      </c>
      <c r="C420" t="str">
        <f>LEFT(Table3[[#This Row],[EPI_DGN_ANTIC]],2)</f>
        <v>G</v>
      </c>
      <c r="D420" s="8" t="s">
        <v>292</v>
      </c>
      <c r="E420" s="10">
        <v>0</v>
      </c>
      <c r="F420" s="22"/>
      <c r="G420" s="22"/>
      <c r="H420" s="16">
        <v>418</v>
      </c>
      <c r="I420" s="8" t="s">
        <v>940</v>
      </c>
      <c r="J420" s="10"/>
    </row>
    <row r="421" spans="1:10">
      <c r="A421" s="5">
        <v>419</v>
      </c>
      <c r="B421" t="str">
        <f>LEFT(Table3[[#This Row],[EPI_DGN_ANTIC]],1)</f>
        <v>G</v>
      </c>
      <c r="C421" t="str">
        <f>LEFT(Table3[[#This Row],[EPI_DGN_ANTIC]],2)</f>
        <v>Gt</v>
      </c>
      <c r="D421" s="8" t="s">
        <v>941</v>
      </c>
      <c r="E421" s="10">
        <v>0</v>
      </c>
      <c r="F421" s="22"/>
      <c r="G421" s="22"/>
      <c r="H421" s="16">
        <v>419</v>
      </c>
      <c r="I421" s="8" t="s">
        <v>613</v>
      </c>
      <c r="J421" s="10"/>
    </row>
    <row r="422" spans="1:10">
      <c r="A422" s="5">
        <v>420</v>
      </c>
      <c r="B422" t="str">
        <f>LEFT(Table3[[#This Row],[EPI_DGN_ANTIC]],1)</f>
        <v>G</v>
      </c>
      <c r="C422" t="str">
        <f>LEFT(Table3[[#This Row],[EPI_DGN_ANTIC]],2)</f>
        <v>Gt</v>
      </c>
      <c r="D422" s="8" t="s">
        <v>942</v>
      </c>
      <c r="E422" s="10">
        <v>1</v>
      </c>
      <c r="F422" s="22" t="s">
        <v>943</v>
      </c>
      <c r="G422" t="s">
        <v>90</v>
      </c>
      <c r="H422" s="16">
        <v>420</v>
      </c>
      <c r="I422" s="8" t="s">
        <v>944</v>
      </c>
      <c r="J422" s="10"/>
    </row>
    <row r="423" spans="1:10">
      <c r="A423" s="5">
        <v>421</v>
      </c>
      <c r="B423" t="str">
        <f>LEFT(Table3[[#This Row],[EPI_DGN_ANTIC]],1)</f>
        <v>G</v>
      </c>
      <c r="C423" t="str">
        <f>LEFT(Table3[[#This Row],[EPI_DGN_ANTIC]],2)</f>
        <v>Gt</v>
      </c>
      <c r="D423" s="8" t="s">
        <v>942</v>
      </c>
      <c r="E423" s="10">
        <v>0</v>
      </c>
      <c r="F423" s="22"/>
      <c r="G423" s="22"/>
      <c r="H423" s="16">
        <v>421</v>
      </c>
      <c r="I423" s="8" t="s">
        <v>944</v>
      </c>
      <c r="J423" s="10"/>
    </row>
    <row r="424" spans="1:10">
      <c r="A424" s="5">
        <v>422</v>
      </c>
      <c r="B424" t="str">
        <f>LEFT(Table3[[#This Row],[EPI_DGN_ANTIC]],1)</f>
        <v>G</v>
      </c>
      <c r="C424" t="str">
        <f>LEFT(Table3[[#This Row],[EPI_DGN_ANTIC]],2)</f>
        <v>Gt</v>
      </c>
      <c r="D424" s="8" t="s">
        <v>945</v>
      </c>
      <c r="E424" s="10">
        <v>1</v>
      </c>
      <c r="F424" s="22" t="s">
        <v>946</v>
      </c>
      <c r="G424" s="22" t="s">
        <v>486</v>
      </c>
      <c r="H424" s="16">
        <v>422</v>
      </c>
      <c r="I424" s="8" t="s">
        <v>563</v>
      </c>
      <c r="J424" s="10"/>
    </row>
    <row r="425" spans="1:10">
      <c r="A425" s="5">
        <v>423</v>
      </c>
      <c r="B425" t="str">
        <f>LEFT(Table3[[#This Row],[EPI_DGN_ANTIC]],1)</f>
        <v>G</v>
      </c>
      <c r="C425" t="str">
        <f>LEFT(Table3[[#This Row],[EPI_DGN_ANTIC]],2)</f>
        <v>Gt</v>
      </c>
      <c r="D425" s="8" t="s">
        <v>941</v>
      </c>
      <c r="E425" s="10">
        <v>1</v>
      </c>
      <c r="F425" s="22" t="s">
        <v>943</v>
      </c>
      <c r="G425" t="s">
        <v>90</v>
      </c>
      <c r="H425" s="16">
        <v>423</v>
      </c>
      <c r="I425" s="8" t="s">
        <v>947</v>
      </c>
      <c r="J425" s="10"/>
    </row>
    <row r="426" spans="1:10">
      <c r="A426" s="5">
        <v>424</v>
      </c>
      <c r="B426" t="str">
        <f>LEFT(Table3[[#This Row],[EPI_DGN_ANTIC]],1)</f>
        <v>G</v>
      </c>
      <c r="C426" t="str">
        <f>LEFT(Table3[[#This Row],[EPI_DGN_ANTIC]],2)</f>
        <v>Gt</v>
      </c>
      <c r="D426" s="8" t="s">
        <v>942</v>
      </c>
      <c r="E426" s="10">
        <v>0</v>
      </c>
      <c r="F426" s="22"/>
      <c r="G426" s="22"/>
      <c r="H426" s="16">
        <v>424</v>
      </c>
      <c r="I426" s="8" t="s">
        <v>948</v>
      </c>
      <c r="J426" s="10"/>
    </row>
    <row r="427" spans="1:10">
      <c r="A427" s="5">
        <v>425</v>
      </c>
      <c r="B427" t="str">
        <f>LEFT(Table3[[#This Row],[EPI_DGN_ANTIC]],1)</f>
        <v>G</v>
      </c>
      <c r="C427" t="str">
        <f>LEFT(Table3[[#This Row],[EPI_DGN_ANTIC]],2)</f>
        <v>Gt</v>
      </c>
      <c r="D427" s="8" t="s">
        <v>949</v>
      </c>
      <c r="E427" s="10">
        <v>1</v>
      </c>
      <c r="F427" s="22" t="s">
        <v>946</v>
      </c>
      <c r="G427" s="22" t="s">
        <v>486</v>
      </c>
      <c r="H427" s="16">
        <v>425</v>
      </c>
      <c r="I427" s="8" t="s">
        <v>950</v>
      </c>
      <c r="J427" s="10"/>
    </row>
    <row r="428" spans="1:10">
      <c r="A428" s="5">
        <v>426</v>
      </c>
      <c r="B428" t="str">
        <f>LEFT(Table3[[#This Row],[EPI_DGN_ANTIC]],1)</f>
        <v>G</v>
      </c>
      <c r="C428" t="str">
        <f>LEFT(Table3[[#This Row],[EPI_DGN_ANTIC]],2)</f>
        <v>Gf</v>
      </c>
      <c r="D428" s="8" t="s">
        <v>951</v>
      </c>
      <c r="E428" s="10">
        <v>0</v>
      </c>
      <c r="F428" s="22"/>
      <c r="G428" s="22"/>
      <c r="H428" s="16">
        <v>426</v>
      </c>
      <c r="I428" s="8" t="s">
        <v>563</v>
      </c>
      <c r="J428" s="10"/>
    </row>
    <row r="429" spans="1:10">
      <c r="A429" s="5">
        <v>427</v>
      </c>
      <c r="B429" t="str">
        <f>LEFT(Table3[[#This Row],[EPI_DGN_ANTIC]],1)</f>
        <v>G</v>
      </c>
      <c r="C429" t="str">
        <f>LEFT(Table3[[#This Row],[EPI_DGN_ANTIC]],2)</f>
        <v>Gl</v>
      </c>
      <c r="D429" s="8" t="s">
        <v>952</v>
      </c>
      <c r="E429" s="10">
        <v>1</v>
      </c>
      <c r="F429" s="22" t="s">
        <v>953</v>
      </c>
      <c r="G429" t="s">
        <v>90</v>
      </c>
      <c r="H429" s="16">
        <v>427</v>
      </c>
      <c r="I429" s="8" t="s">
        <v>625</v>
      </c>
      <c r="J429" s="10"/>
    </row>
    <row r="430" spans="1:10">
      <c r="A430" s="5">
        <v>428</v>
      </c>
      <c r="B430" t="str">
        <f>LEFT(Table3[[#This Row],[EPI_DGN_ANTIC]],1)</f>
        <v>G</v>
      </c>
      <c r="C430" t="str">
        <f>LEFT(Table3[[#This Row],[EPI_DGN_ANTIC]],2)</f>
        <v>Gl</v>
      </c>
      <c r="D430" s="8" t="s">
        <v>954</v>
      </c>
      <c r="E430" s="10">
        <v>1</v>
      </c>
      <c r="F430" s="22" t="s">
        <v>955</v>
      </c>
      <c r="G430" t="s">
        <v>90</v>
      </c>
      <c r="H430" s="16">
        <v>428</v>
      </c>
      <c r="I430" s="8" t="s">
        <v>947</v>
      </c>
      <c r="J430" s="10"/>
    </row>
    <row r="431" spans="1:10">
      <c r="A431" s="5">
        <v>429</v>
      </c>
      <c r="B431" t="str">
        <f>LEFT(Table3[[#This Row],[EPI_DGN_ANTIC]],1)</f>
        <v>G</v>
      </c>
      <c r="C431" t="str">
        <f>LEFT(Table3[[#This Row],[EPI_DGN_ANTIC]],2)</f>
        <v>Gp</v>
      </c>
      <c r="D431" s="8" t="s">
        <v>956</v>
      </c>
      <c r="E431" s="10">
        <v>1</v>
      </c>
      <c r="F431" s="22" t="s">
        <v>957</v>
      </c>
      <c r="G431" t="s">
        <v>90</v>
      </c>
      <c r="H431" s="16">
        <v>429</v>
      </c>
      <c r="I431" s="8" t="s">
        <v>866</v>
      </c>
      <c r="J431" s="10"/>
    </row>
    <row r="432" spans="1:10">
      <c r="A432" s="5">
        <v>430</v>
      </c>
      <c r="B432" t="str">
        <f>LEFT(Table3[[#This Row],[EPI_DGN_ANTIC]],1)</f>
        <v>H</v>
      </c>
      <c r="C432" t="str">
        <f>LEFT(Table3[[#This Row],[EPI_DGN_ANTIC]],2)</f>
        <v>Hb</v>
      </c>
      <c r="D432" s="8" t="s">
        <v>958</v>
      </c>
      <c r="E432" s="10">
        <v>0</v>
      </c>
      <c r="F432" s="22"/>
      <c r="G432" s="22"/>
      <c r="H432" s="16">
        <v>430</v>
      </c>
      <c r="I432" s="8" t="s">
        <v>959</v>
      </c>
      <c r="J432" s="10"/>
    </row>
    <row r="433" spans="1:10">
      <c r="A433" s="5">
        <v>431</v>
      </c>
      <c r="B433" t="str">
        <f>LEFT(Table3[[#This Row],[EPI_DGN_ANTIC]],1)</f>
        <v>H</v>
      </c>
      <c r="C433" t="str">
        <f>LEFT(Table3[[#This Row],[EPI_DGN_ANTIC]],2)</f>
        <v>Hb</v>
      </c>
      <c r="D433" s="8" t="s">
        <v>958</v>
      </c>
      <c r="E433" s="10">
        <v>1</v>
      </c>
      <c r="F433" s="22" t="s">
        <v>960</v>
      </c>
      <c r="G433" s="22" t="s">
        <v>486</v>
      </c>
      <c r="H433" s="16">
        <v>431</v>
      </c>
      <c r="I433" s="8" t="s">
        <v>961</v>
      </c>
      <c r="J433" s="10"/>
    </row>
    <row r="434" spans="1:10">
      <c r="A434" s="5">
        <v>432</v>
      </c>
      <c r="B434" t="str">
        <f>LEFT(Table3[[#This Row],[EPI_DGN_ANTIC]],1)</f>
        <v>H</v>
      </c>
      <c r="C434" t="str">
        <f>LEFT(Table3[[#This Row],[EPI_DGN_ANTIC]],2)</f>
        <v>Hb</v>
      </c>
      <c r="D434" s="8" t="s">
        <v>962</v>
      </c>
      <c r="E434" s="10">
        <v>1</v>
      </c>
      <c r="F434" s="22" t="s">
        <v>963</v>
      </c>
      <c r="G434" s="22" t="s">
        <v>486</v>
      </c>
      <c r="H434" s="16">
        <v>432</v>
      </c>
      <c r="I434" s="8" t="s">
        <v>964</v>
      </c>
      <c r="J434" s="10"/>
    </row>
    <row r="435" spans="1:10">
      <c r="A435" s="5">
        <v>433</v>
      </c>
      <c r="B435" t="str">
        <f>LEFT(Table3[[#This Row],[EPI_DGN_ANTIC]],1)</f>
        <v>M</v>
      </c>
      <c r="C435" t="s">
        <v>895</v>
      </c>
      <c r="D435" s="8" t="s">
        <v>901</v>
      </c>
      <c r="E435" s="10">
        <v>1</v>
      </c>
      <c r="F435" s="22" t="s">
        <v>486</v>
      </c>
      <c r="G435" s="22" t="s">
        <v>897</v>
      </c>
      <c r="H435" s="16">
        <v>433</v>
      </c>
      <c r="I435" s="8" t="s">
        <v>965</v>
      </c>
      <c r="J435" s="10"/>
    </row>
    <row r="436" spans="1:10">
      <c r="A436" s="5">
        <v>434</v>
      </c>
      <c r="B436" t="str">
        <f>LEFT(Table3[[#This Row],[EPI_DGN_ANTIC]],1)</f>
        <v>Z</v>
      </c>
      <c r="C436" t="str">
        <f>LEFT(Table3[[#This Row],[EPI_DGN_ANTIC]],3)</f>
        <v>ZOg</v>
      </c>
      <c r="D436" s="8" t="s">
        <v>362</v>
      </c>
      <c r="E436" s="10">
        <v>0</v>
      </c>
      <c r="F436" s="22"/>
      <c r="G436" s="22"/>
      <c r="H436" s="16">
        <v>434</v>
      </c>
      <c r="I436" s="8" t="s">
        <v>966</v>
      </c>
      <c r="J436" s="10"/>
    </row>
    <row r="437" spans="1:10">
      <c r="A437" s="5">
        <v>435</v>
      </c>
      <c r="B437" t="s">
        <v>350</v>
      </c>
      <c r="C437" t="s">
        <v>352</v>
      </c>
      <c r="D437" s="8" t="s">
        <v>967</v>
      </c>
      <c r="E437" s="10">
        <v>1</v>
      </c>
      <c r="F437" s="22" t="s">
        <v>628</v>
      </c>
      <c r="G437" s="22"/>
      <c r="H437" s="16">
        <v>435</v>
      </c>
      <c r="I437" s="8" t="s">
        <v>637</v>
      </c>
      <c r="J437" s="10"/>
    </row>
    <row r="438" spans="1:10">
      <c r="A438" s="5">
        <v>436</v>
      </c>
      <c r="B438" t="str">
        <f>LEFT(Table3[[#This Row],[EPI_DGN_ANTIC]],1)</f>
        <v>C</v>
      </c>
      <c r="C438" t="str">
        <f>LEFT(Table3[[#This Row],[EPI_DGN_ANTIC]],2)</f>
        <v>C</v>
      </c>
      <c r="D438" s="8" t="s">
        <v>229</v>
      </c>
      <c r="E438" s="10">
        <v>0</v>
      </c>
      <c r="F438" s="22"/>
      <c r="G438" s="22"/>
      <c r="H438" s="16">
        <v>436</v>
      </c>
      <c r="I438" s="8" t="s">
        <v>820</v>
      </c>
      <c r="J438" s="10"/>
    </row>
    <row r="439" spans="1:10">
      <c r="A439" s="5">
        <v>437</v>
      </c>
      <c r="B439" t="str">
        <f>LEFT(Table3[[#This Row],[EPI_DGN_ANTIC]],1)</f>
        <v>C</v>
      </c>
      <c r="C439" t="str">
        <f>LEFT(Table3[[#This Row],[EPI_DGN_ANTIC]],2)</f>
        <v>CA</v>
      </c>
      <c r="D439" s="8" t="s">
        <v>968</v>
      </c>
      <c r="E439" s="10">
        <v>0</v>
      </c>
      <c r="F439" s="22"/>
      <c r="G439" s="22"/>
      <c r="H439" s="16">
        <v>437</v>
      </c>
      <c r="I439" s="8" t="s">
        <v>969</v>
      </c>
      <c r="J439" s="10"/>
    </row>
    <row r="440" spans="1:10">
      <c r="A440" s="5">
        <v>438</v>
      </c>
      <c r="B440" t="str">
        <f>LEFT(Table3[[#This Row],[EPI_DGN_ANTIC]],1)</f>
        <v>C</v>
      </c>
      <c r="C440" t="str">
        <f>LEFT(Table3[[#This Row],[EPI_DGN_ANTIC]],3)</f>
        <v>CAA</v>
      </c>
      <c r="D440" s="8" t="s">
        <v>970</v>
      </c>
      <c r="E440" s="10">
        <v>0</v>
      </c>
      <c r="F440" s="22"/>
      <c r="G440" s="22"/>
      <c r="H440" s="16">
        <v>438</v>
      </c>
      <c r="I440" s="8" t="s">
        <v>971</v>
      </c>
      <c r="J440" s="10"/>
    </row>
    <row r="441" spans="1:10">
      <c r="A441" s="5">
        <v>439</v>
      </c>
      <c r="B441" t="str">
        <f>LEFT(Table3[[#This Row],[EPI_DGN_ANTIC]],1)</f>
        <v>C</v>
      </c>
      <c r="C441" t="str">
        <f>LEFT(Table3[[#This Row],[EPI_DGN_ANTIC]],3)</f>
        <v>CAC</v>
      </c>
      <c r="D441" s="8" t="s">
        <v>261</v>
      </c>
      <c r="E441" s="10">
        <v>1</v>
      </c>
      <c r="F441" s="22" t="s">
        <v>972</v>
      </c>
      <c r="G441" s="22"/>
      <c r="H441" s="16">
        <v>439</v>
      </c>
      <c r="I441" s="8" t="s">
        <v>973</v>
      </c>
      <c r="J441" s="10"/>
    </row>
    <row r="442" spans="1:10">
      <c r="A442" s="5">
        <v>440</v>
      </c>
      <c r="B442" t="str">
        <f>LEFT(Table3[[#This Row],[EPI_DGN_ANTIC]],1)</f>
        <v>C</v>
      </c>
      <c r="C442" t="str">
        <f>LEFT(Table3[[#This Row],[EPI_DGN_ANTIC]],3)</f>
        <v>CAp</v>
      </c>
      <c r="D442" s="8" t="s">
        <v>241</v>
      </c>
      <c r="E442" s="10">
        <v>1</v>
      </c>
      <c r="F442" s="22" t="s">
        <v>974</v>
      </c>
      <c r="G442" s="22"/>
      <c r="H442" s="16">
        <v>440</v>
      </c>
      <c r="I442" s="8" t="s">
        <v>975</v>
      </c>
      <c r="J442" s="10"/>
    </row>
    <row r="443" spans="1:10">
      <c r="A443" s="5">
        <v>441</v>
      </c>
      <c r="B443" t="str">
        <f>LEFT(Table3[[#This Row],[EPI_DGN_ANTIC]],1)</f>
        <v>C</v>
      </c>
      <c r="C443" t="str">
        <f>LEFT(Table3[[#This Row],[EPI_DGN_ANTIC]],2)</f>
        <v>C</v>
      </c>
      <c r="D443" s="8" t="s">
        <v>229</v>
      </c>
      <c r="E443" s="10">
        <v>0</v>
      </c>
      <c r="F443" s="22"/>
      <c r="G443" s="22"/>
      <c r="H443" s="16">
        <v>441</v>
      </c>
      <c r="I443" s="8" t="s">
        <v>976</v>
      </c>
      <c r="J443" s="10"/>
    </row>
    <row r="444" spans="1:10">
      <c r="A444" s="5">
        <v>442</v>
      </c>
      <c r="B444" t="str">
        <f>LEFT(Table3[[#This Row],[EPI_DGN_ANTIC]],1)</f>
        <v>C</v>
      </c>
      <c r="C444" t="str">
        <f>LEFT(Table3[[#This Row],[EPI_DGN_ANTIC]],2)</f>
        <v>CB</v>
      </c>
      <c r="D444" s="8" t="s">
        <v>977</v>
      </c>
      <c r="E444" s="10">
        <v>0</v>
      </c>
      <c r="F444" s="22"/>
      <c r="G444" s="22"/>
      <c r="H444" s="16">
        <v>442</v>
      </c>
      <c r="I444" s="8" t="s">
        <v>373</v>
      </c>
      <c r="J444" s="10"/>
    </row>
    <row r="445" spans="1:10">
      <c r="A445" s="5">
        <v>443</v>
      </c>
      <c r="B445" t="str">
        <f>LEFT(Table3[[#This Row],[EPI_DGN_ANTIC]],1)</f>
        <v>C</v>
      </c>
      <c r="C445" t="str">
        <f>LEFT(Table3[[#This Row],[EPI_DGN_ANTIC]],2)</f>
        <v>CH</v>
      </c>
      <c r="D445" s="8" t="s">
        <v>978</v>
      </c>
      <c r="E445" s="10">
        <v>0</v>
      </c>
      <c r="F445" s="22"/>
      <c r="G445" s="22"/>
      <c r="H445" s="16">
        <v>443</v>
      </c>
      <c r="I445" s="8" t="s">
        <v>213</v>
      </c>
      <c r="J445" s="10"/>
    </row>
    <row r="446" spans="1:10">
      <c r="A446" s="5">
        <v>444</v>
      </c>
      <c r="B446" t="str">
        <f>LEFT(Table3[[#This Row],[EPI_DGN_ANTIC]],1)</f>
        <v>C</v>
      </c>
      <c r="C446" t="str">
        <f>LEFT(Table3[[#This Row],[EPI_DGN_ANTIC]],2)</f>
        <v>CK</v>
      </c>
      <c r="D446" s="8" t="s">
        <v>381</v>
      </c>
      <c r="E446" s="10">
        <v>1</v>
      </c>
      <c r="F446" s="22" t="s">
        <v>979</v>
      </c>
      <c r="G446" s="22"/>
      <c r="H446" s="16">
        <v>444</v>
      </c>
      <c r="I446" s="8" t="s">
        <v>980</v>
      </c>
      <c r="J446" s="10"/>
    </row>
    <row r="447" spans="1:10">
      <c r="A447" s="5">
        <v>445</v>
      </c>
      <c r="B447" t="str">
        <f>LEFT(Table3[[#This Row],[EPI_DGN_ANTIC]],1)</f>
        <v>C</v>
      </c>
      <c r="C447" t="str">
        <f>LEFT(Table3[[#This Row],[EPI_DGN_ANTIC]],3)</f>
        <v>CaM</v>
      </c>
      <c r="D447" s="8" t="s">
        <v>667</v>
      </c>
      <c r="E447" s="10">
        <v>0</v>
      </c>
      <c r="F447" s="22"/>
      <c r="G447" s="22"/>
      <c r="H447" s="16">
        <v>445</v>
      </c>
      <c r="I447" s="8" t="s">
        <v>848</v>
      </c>
      <c r="J447" s="10"/>
    </row>
    <row r="448" spans="1:10">
      <c r="A448" s="5">
        <v>446</v>
      </c>
      <c r="B448" t="str">
        <f>LEFT(Table3[[#This Row],[EPI_DGN_ANTIC]],1)</f>
        <v>E</v>
      </c>
      <c r="C448" t="str">
        <f>LEFT(Table3[[#This Row],[EPI_DGN_ANTIC]],2)</f>
        <v>Eb</v>
      </c>
      <c r="D448" s="8" t="s">
        <v>981</v>
      </c>
      <c r="E448" s="10">
        <v>0</v>
      </c>
      <c r="F448" s="22"/>
      <c r="G448" s="22"/>
      <c r="H448" s="16">
        <v>446</v>
      </c>
      <c r="I448" s="8" t="s">
        <v>982</v>
      </c>
      <c r="J448" s="10"/>
    </row>
    <row r="449" spans="1:10">
      <c r="A449" s="5">
        <v>447</v>
      </c>
      <c r="B449" t="str">
        <f>LEFT(Table3[[#This Row],[EPI_DGN_ANTIC]],1)</f>
        <v>E</v>
      </c>
      <c r="C449" t="str">
        <f>LEFT(Table3[[#This Row],[EPI_DGN_ANTIC]],3)</f>
        <v>EBb</v>
      </c>
      <c r="D449" s="8" t="s">
        <v>21</v>
      </c>
      <c r="E449" s="10">
        <v>1</v>
      </c>
      <c r="F449" s="22" t="s">
        <v>983</v>
      </c>
      <c r="G449" s="22"/>
      <c r="H449" s="16">
        <v>447</v>
      </c>
      <c r="I449" s="8" t="s">
        <v>984</v>
      </c>
      <c r="J449" s="10"/>
    </row>
    <row r="450" spans="1:10">
      <c r="A450" s="5">
        <v>448</v>
      </c>
      <c r="B450" t="str">
        <f>LEFT(Table3[[#This Row],[EPI_DGN_ANTIC]],1)</f>
        <v>E</v>
      </c>
      <c r="C450" t="str">
        <f>LEFT(Table3[[#This Row],[EPI_DGN_ANTIC]],3)</f>
        <v>EBc</v>
      </c>
      <c r="D450" s="8" t="s">
        <v>826</v>
      </c>
      <c r="E450" s="10">
        <v>1</v>
      </c>
      <c r="F450" s="22" t="s">
        <v>985</v>
      </c>
      <c r="G450" s="22"/>
      <c r="H450" s="16">
        <v>448</v>
      </c>
      <c r="I450" s="8" t="s">
        <v>986</v>
      </c>
      <c r="J450" s="10"/>
    </row>
    <row r="451" spans="1:10">
      <c r="A451" s="5">
        <v>449</v>
      </c>
      <c r="B451" t="str">
        <f>LEFT(Table3[[#This Row],[EPI_DGN_ANTIC]],1)</f>
        <v>E</v>
      </c>
      <c r="C451" t="str">
        <f>LEFT(Table3[[#This Row],[EPI_DGN_ANTIC]],3)</f>
        <v>EBl</v>
      </c>
      <c r="D451" s="8" t="s">
        <v>987</v>
      </c>
      <c r="E451" s="10">
        <v>0</v>
      </c>
      <c r="F451" s="22"/>
      <c r="G451" s="22"/>
      <c r="H451" s="16">
        <v>449</v>
      </c>
      <c r="I451" s="8" t="s">
        <v>988</v>
      </c>
      <c r="J451" s="10"/>
    </row>
    <row r="452" spans="1:10">
      <c r="A452" s="5">
        <v>450</v>
      </c>
      <c r="B452" t="str">
        <f>LEFT(Table3[[#This Row],[EPI_DGN_ANTIC]],1)</f>
        <v>E</v>
      </c>
      <c r="C452" t="str">
        <f>LEFT(Table3[[#This Row],[EPI_DGN_ANTIC]],3)</f>
        <v>EBm</v>
      </c>
      <c r="D452" s="8" t="s">
        <v>989</v>
      </c>
      <c r="E452" s="10">
        <v>0</v>
      </c>
      <c r="F452" s="22"/>
      <c r="G452" s="22"/>
      <c r="H452" s="16">
        <v>450</v>
      </c>
      <c r="I452" s="8" t="s">
        <v>990</v>
      </c>
      <c r="J452" s="10"/>
    </row>
    <row r="453" spans="1:10">
      <c r="A453" s="5">
        <v>451</v>
      </c>
      <c r="B453" t="str">
        <f>LEFT(Table3[[#This Row],[EPI_DGN_ANTIC]],1)</f>
        <v>E</v>
      </c>
      <c r="D453" s="8" t="s">
        <v>10</v>
      </c>
      <c r="E453" s="10">
        <v>0</v>
      </c>
      <c r="F453" s="22"/>
      <c r="G453" s="22"/>
      <c r="H453" s="16">
        <v>451</v>
      </c>
      <c r="I453" s="8" t="s">
        <v>991</v>
      </c>
      <c r="J453" s="10"/>
    </row>
    <row r="454" spans="1:10">
      <c r="A454" s="5">
        <v>452</v>
      </c>
      <c r="B454" t="str">
        <f>LEFT(Table3[[#This Row],[EPI_DGN_ANTIC]],1)</f>
        <v>E</v>
      </c>
      <c r="C454" t="str">
        <f>LEFT(Table3[[#This Row],[EPI_DGN_ANTIC]],3)</f>
        <v>ECc</v>
      </c>
      <c r="D454" s="8" t="s">
        <v>685</v>
      </c>
      <c r="E454" s="10">
        <v>1</v>
      </c>
      <c r="F454" s="22" t="s">
        <v>75</v>
      </c>
      <c r="G454" s="22"/>
      <c r="H454" s="16">
        <v>452</v>
      </c>
      <c r="I454" s="8" t="s">
        <v>992</v>
      </c>
      <c r="J454" s="10"/>
    </row>
    <row r="455" spans="1:10">
      <c r="A455" s="5">
        <v>453</v>
      </c>
      <c r="B455" t="str">
        <f>LEFT(Table3[[#This Row],[EPI_DGN_ANTIC]],1)</f>
        <v>E</v>
      </c>
      <c r="C455" t="str">
        <f>LEFT(Table3[[#This Row],[EPI_DGN_ANTIC]],3)</f>
        <v>ECd</v>
      </c>
      <c r="D455" s="8" t="s">
        <v>993</v>
      </c>
      <c r="E455" s="10">
        <v>0</v>
      </c>
      <c r="F455" s="22"/>
      <c r="G455" s="22"/>
      <c r="H455" s="16">
        <v>453</v>
      </c>
      <c r="I455" s="8" t="s">
        <v>994</v>
      </c>
      <c r="J455" s="10"/>
    </row>
    <row r="456" spans="1:10">
      <c r="A456" s="5">
        <v>454</v>
      </c>
      <c r="B456" t="str">
        <f>LEFT(Table3[[#This Row],[EPI_DGN_ANTIC]],1)</f>
        <v>E</v>
      </c>
      <c r="C456" t="str">
        <f>LEFT(Table3[[#This Row],[EPI_DGN_ANTIC]],3)</f>
        <v>ECg</v>
      </c>
      <c r="D456" s="8" t="s">
        <v>995</v>
      </c>
      <c r="E456" s="10">
        <v>0</v>
      </c>
      <c r="F456" s="22"/>
      <c r="G456" s="22"/>
      <c r="H456" s="16">
        <v>454</v>
      </c>
      <c r="I456" s="8" t="s">
        <v>996</v>
      </c>
      <c r="J456" s="10"/>
    </row>
    <row r="457" spans="1:10">
      <c r="A457" s="5">
        <v>455</v>
      </c>
      <c r="B457" t="str">
        <f>LEFT(Table3[[#This Row],[EPI_DGN_ANTIC]],1)</f>
        <v>E</v>
      </c>
      <c r="C457" t="str">
        <f>LEFT(Table3[[#This Row],[EPI_DGN_ANTIC]],3)</f>
        <v>ECl</v>
      </c>
      <c r="D457" s="8" t="s">
        <v>997</v>
      </c>
      <c r="E457" s="10">
        <v>0</v>
      </c>
      <c r="F457" s="22"/>
      <c r="G457" s="22"/>
      <c r="H457" s="16">
        <v>455</v>
      </c>
      <c r="I457" s="8" t="s">
        <v>998</v>
      </c>
      <c r="J457" s="10"/>
    </row>
    <row r="458" spans="1:10">
      <c r="A458" s="5">
        <v>456</v>
      </c>
      <c r="B458" t="str">
        <f>LEFT(Table3[[#This Row],[EPI_DGN_ANTIC]],1)</f>
        <v>E</v>
      </c>
      <c r="C458" t="str">
        <f>LEFT(Table3[[#This Row],[EPI_DGN_ANTIC]],3)</f>
        <v>ECL</v>
      </c>
      <c r="D458" s="8" t="s">
        <v>428</v>
      </c>
      <c r="E458" s="10">
        <v>1</v>
      </c>
      <c r="F458" s="22" t="s">
        <v>999</v>
      </c>
      <c r="G458" s="22"/>
      <c r="H458" s="16">
        <v>456</v>
      </c>
      <c r="I458" s="8" t="s">
        <v>1000</v>
      </c>
      <c r="J458" s="10"/>
    </row>
    <row r="459" spans="1:10">
      <c r="A459" s="5">
        <v>457</v>
      </c>
      <c r="B459" t="str">
        <f>LEFT(Table3[[#This Row],[EPI_DGN_ANTIC]],1)</f>
        <v>E</v>
      </c>
      <c r="C459" t="str">
        <f>LEFT(Table3[[#This Row],[EPI_DGN_ANTIC]],3)</f>
        <v>ECm</v>
      </c>
      <c r="D459" s="8" t="s">
        <v>1001</v>
      </c>
      <c r="E459" s="10">
        <v>0</v>
      </c>
      <c r="F459" s="22"/>
      <c r="G459" s="22"/>
      <c r="H459" s="16">
        <v>457</v>
      </c>
      <c r="I459" s="8" t="s">
        <v>1002</v>
      </c>
      <c r="J459" s="10"/>
    </row>
    <row r="460" spans="1:10">
      <c r="A460" s="5">
        <v>458</v>
      </c>
      <c r="B460" t="str">
        <f>LEFT(Table3[[#This Row],[EPI_DGN_ANTIC]],1)</f>
        <v>E</v>
      </c>
      <c r="C460" t="str">
        <f>LEFT(Table3[[#This Row],[EPI_DGN_ANTIC]],3)</f>
        <v>ECt</v>
      </c>
      <c r="D460" s="8" t="s">
        <v>104</v>
      </c>
      <c r="E460" s="10">
        <v>1</v>
      </c>
      <c r="F460" s="22" t="s">
        <v>1003</v>
      </c>
      <c r="G460" s="22"/>
      <c r="H460" s="16">
        <v>458</v>
      </c>
      <c r="I460" s="8" t="s">
        <v>1004</v>
      </c>
      <c r="J460" s="10"/>
    </row>
    <row r="461" spans="1:10">
      <c r="A461" s="5">
        <v>459</v>
      </c>
      <c r="B461" t="str">
        <f>LEFT(Table3[[#This Row],[EPI_DGN_ANTIC]],1)</f>
        <v>E</v>
      </c>
      <c r="C461" t="str">
        <f>LEFT(Table3[[#This Row],[EPI_DGN_ANTIC]],2)</f>
        <v>EP</v>
      </c>
      <c r="D461" s="8" t="s">
        <v>1005</v>
      </c>
      <c r="E461" s="10">
        <v>0</v>
      </c>
      <c r="F461" s="22"/>
      <c r="G461" s="22"/>
      <c r="H461" s="16">
        <v>459</v>
      </c>
      <c r="I461" s="8" t="s">
        <v>1006</v>
      </c>
      <c r="J461" s="10"/>
    </row>
    <row r="462" spans="1:10">
      <c r="A462" s="5">
        <v>460</v>
      </c>
      <c r="B462" t="str">
        <f>LEFT(Table3[[#This Row],[EPI_DGN_ANTIC]],1)</f>
        <v>E</v>
      </c>
      <c r="C462" t="str">
        <f>LEFT(Table3[[#This Row],[EPI_DGN_ANTIC]],3)</f>
        <v>ELc</v>
      </c>
      <c r="D462" s="8" t="s">
        <v>1007</v>
      </c>
      <c r="E462" s="10">
        <v>1</v>
      </c>
      <c r="F462" s="22" t="s">
        <v>1008</v>
      </c>
      <c r="G462" s="22"/>
      <c r="H462" s="16">
        <v>460</v>
      </c>
      <c r="I462" s="8" t="s">
        <v>1009</v>
      </c>
      <c r="J462" s="10"/>
    </row>
    <row r="463" spans="1:10">
      <c r="A463" s="5">
        <v>461</v>
      </c>
      <c r="B463" t="str">
        <f>LEFT(Table3[[#This Row],[EPI_DGN_ANTIC]],1)</f>
        <v>E</v>
      </c>
      <c r="C463" t="str">
        <f>LEFT(Table3[[#This Row],[EPI_DGN_ANTIC]],3)</f>
        <v>ELc</v>
      </c>
      <c r="D463" s="8" t="s">
        <v>1010</v>
      </c>
      <c r="E463" s="10">
        <v>1</v>
      </c>
      <c r="F463" s="22" t="s">
        <v>1011</v>
      </c>
      <c r="G463" s="22"/>
      <c r="H463" s="16">
        <v>461</v>
      </c>
      <c r="I463" s="8" t="s">
        <v>191</v>
      </c>
      <c r="J463" s="10"/>
    </row>
    <row r="464" spans="1:10">
      <c r="A464" s="5">
        <v>462</v>
      </c>
      <c r="B464" t="str">
        <f>LEFT(Table3[[#This Row],[EPI_DGN_ANTIC]],1)</f>
        <v>E</v>
      </c>
      <c r="C464" t="str">
        <f>LEFT(Table3[[#This Row],[EPI_DGN_ANTIC]],3)</f>
        <v>ELc</v>
      </c>
      <c r="D464" s="8" t="s">
        <v>1012</v>
      </c>
      <c r="E464" s="10">
        <v>1</v>
      </c>
      <c r="F464" s="22" t="s">
        <v>1013</v>
      </c>
      <c r="G464" s="22"/>
      <c r="H464" s="16">
        <v>462</v>
      </c>
      <c r="I464" s="8" t="s">
        <v>183</v>
      </c>
      <c r="J464" s="10"/>
    </row>
    <row r="465" spans="1:10">
      <c r="A465" s="5">
        <v>463</v>
      </c>
      <c r="B465" t="str">
        <f>LEFT(Table3[[#This Row],[EPI_DGN_ANTIC]],1)</f>
        <v>E</v>
      </c>
      <c r="C465" t="str">
        <f>LEFT(Table3[[#This Row],[EPI_DGN_ANTIC]],3)</f>
        <v>ELc</v>
      </c>
      <c r="D465" s="8" t="s">
        <v>1014</v>
      </c>
      <c r="E465" s="10">
        <v>1</v>
      </c>
      <c r="F465" s="22" t="s">
        <v>1011</v>
      </c>
      <c r="G465" s="22"/>
      <c r="H465" s="16">
        <v>463</v>
      </c>
      <c r="I465" s="8" t="s">
        <v>211</v>
      </c>
      <c r="J465" s="10"/>
    </row>
    <row r="466" spans="1:10">
      <c r="A466" s="5">
        <v>464</v>
      </c>
      <c r="B466" t="str">
        <f>LEFT(Table3[[#This Row],[EPI_DGN_ANTIC]],1)</f>
        <v>E</v>
      </c>
      <c r="C466" t="str">
        <f>LEFT(Table3[[#This Row],[EPI_DGN_ANTIC]],3)</f>
        <v>ELg</v>
      </c>
      <c r="D466" s="8" t="s">
        <v>1015</v>
      </c>
      <c r="E466" s="10">
        <v>1</v>
      </c>
      <c r="F466" s="22" t="s">
        <v>1016</v>
      </c>
      <c r="G466" s="22"/>
      <c r="H466" s="16">
        <v>464</v>
      </c>
      <c r="I466" s="8" t="s">
        <v>1017</v>
      </c>
      <c r="J466" s="10"/>
    </row>
    <row r="467" spans="1:10">
      <c r="A467" s="5">
        <v>465</v>
      </c>
      <c r="B467" t="str">
        <f>LEFT(Table3[[#This Row],[EPI_DGN_ANTIC]],1)</f>
        <v>E</v>
      </c>
      <c r="C467" t="str">
        <f>LEFT(Table3[[#This Row],[EPI_DGN_ANTIC]],3)</f>
        <v>ELg</v>
      </c>
      <c r="D467" s="8" t="s">
        <v>1018</v>
      </c>
      <c r="E467" s="10">
        <v>1</v>
      </c>
      <c r="F467" s="22" t="s">
        <v>1019</v>
      </c>
      <c r="G467" s="22"/>
      <c r="H467" s="16">
        <v>465</v>
      </c>
      <c r="I467" s="8" t="s">
        <v>876</v>
      </c>
      <c r="J467" s="10"/>
    </row>
    <row r="468" spans="1:10">
      <c r="A468" s="5">
        <v>466</v>
      </c>
      <c r="B468" t="str">
        <f>LEFT(Table3[[#This Row],[EPI_DGN_ANTIC]],1)</f>
        <v>E</v>
      </c>
      <c r="C468" t="str">
        <f>LEFT(Table3[[#This Row],[EPI_DGN_ANTIC]],3)</f>
        <v>ELg</v>
      </c>
      <c r="D468" s="8" t="s">
        <v>1020</v>
      </c>
      <c r="E468" s="10">
        <v>1</v>
      </c>
      <c r="F468" s="22" t="s">
        <v>1021</v>
      </c>
      <c r="G468" s="22"/>
      <c r="H468" s="16">
        <v>466</v>
      </c>
      <c r="I468" s="8" t="s">
        <v>1022</v>
      </c>
      <c r="J468" s="10"/>
    </row>
    <row r="469" spans="1:10">
      <c r="A469" s="5">
        <v>467</v>
      </c>
      <c r="B469" t="str">
        <f>LEFT(Table3[[#This Row],[EPI_DGN_ANTIC]],1)</f>
        <v>E</v>
      </c>
      <c r="C469" t="str">
        <f>LEFT(Table3[[#This Row],[EPI_DGN_ANTIC]],3)</f>
        <v>ELm</v>
      </c>
      <c r="D469" s="8" t="s">
        <v>1023</v>
      </c>
      <c r="E469" s="10">
        <v>1</v>
      </c>
      <c r="F469" s="22" t="s">
        <v>1024</v>
      </c>
      <c r="G469" s="22"/>
      <c r="H469" s="16">
        <v>467</v>
      </c>
      <c r="I469" s="8" t="s">
        <v>349</v>
      </c>
      <c r="J469" s="10"/>
    </row>
    <row r="470" spans="1:10">
      <c r="A470" s="5">
        <v>468</v>
      </c>
      <c r="B470" t="str">
        <f>LEFT(Table3[[#This Row],[EPI_DGN_ANTIC]],1)</f>
        <v>E</v>
      </c>
      <c r="C470" t="str">
        <f>LEFT(Table3[[#This Row],[EPI_DGN_ANTIC]],3)</f>
        <v>ELm</v>
      </c>
      <c r="D470" s="8" t="s">
        <v>1025</v>
      </c>
      <c r="E470" s="10">
        <v>1</v>
      </c>
      <c r="F470" s="22" t="s">
        <v>1008</v>
      </c>
      <c r="G470" s="22"/>
      <c r="H470" s="16">
        <v>468</v>
      </c>
      <c r="I470" s="8" t="s">
        <v>349</v>
      </c>
      <c r="J470" s="10"/>
    </row>
    <row r="471" spans="1:10">
      <c r="A471" s="5">
        <v>469</v>
      </c>
      <c r="B471" t="str">
        <f>LEFT(Table3[[#This Row],[EPI_DGN_ANTIC]],1)</f>
        <v>E</v>
      </c>
      <c r="C471" t="str">
        <f>LEFT(Table3[[#This Row],[EPI_DGN_ANTIC]],3)</f>
        <v>ELs</v>
      </c>
      <c r="D471" s="8" t="s">
        <v>1026</v>
      </c>
      <c r="E471" s="10">
        <v>1</v>
      </c>
      <c r="F471" s="22" t="s">
        <v>1027</v>
      </c>
      <c r="G471" s="22"/>
      <c r="H471" s="16">
        <v>469</v>
      </c>
      <c r="I471" s="8" t="s">
        <v>425</v>
      </c>
      <c r="J471" s="10"/>
    </row>
    <row r="472" spans="1:10">
      <c r="A472" s="5">
        <v>470</v>
      </c>
      <c r="B472" t="str">
        <f>LEFT(Table3[[#This Row],[EPI_DGN_ANTIC]],1)</f>
        <v>E</v>
      </c>
      <c r="C472" t="str">
        <f>LEFT(Table3[[#This Row],[EPI_DGN_ANTIC]],3)</f>
        <v>ELx</v>
      </c>
      <c r="D472" s="8" t="s">
        <v>1028</v>
      </c>
      <c r="E472" s="10">
        <v>0</v>
      </c>
      <c r="F472" s="22"/>
      <c r="G472" s="22"/>
      <c r="H472" s="16">
        <v>470</v>
      </c>
      <c r="I472" s="8" t="s">
        <v>425</v>
      </c>
      <c r="J472" s="10"/>
    </row>
    <row r="473" spans="1:10">
      <c r="A473" s="5">
        <v>471</v>
      </c>
      <c r="B473" t="str">
        <f>LEFT(Table3[[#This Row],[EPI_DGN_ANTIC]],1)</f>
        <v>E</v>
      </c>
      <c r="C473" t="str">
        <f>LEFT(Table3[[#This Row],[EPI_DGN_ANTIC]],3)</f>
        <v>ELB</v>
      </c>
      <c r="D473" s="8" t="s">
        <v>1029</v>
      </c>
      <c r="E473" s="10">
        <v>1</v>
      </c>
      <c r="F473" s="22" t="s">
        <v>1011</v>
      </c>
      <c r="G473" s="22"/>
      <c r="H473" s="16">
        <v>471</v>
      </c>
      <c r="I473" s="8" t="s">
        <v>460</v>
      </c>
      <c r="J473" s="10"/>
    </row>
    <row r="474" spans="1:10">
      <c r="A474" s="5">
        <v>472</v>
      </c>
      <c r="B474" t="str">
        <f>LEFT(Table3[[#This Row],[EPI_DGN_ANTIC]],1)</f>
        <v>E</v>
      </c>
      <c r="C474" t="str">
        <f>LEFT(Table3[[#This Row],[EPI_DGN_ANTIC]],3)</f>
        <v>EPc</v>
      </c>
      <c r="D474" s="8" t="s">
        <v>1030</v>
      </c>
      <c r="E474" s="10">
        <v>1</v>
      </c>
      <c r="F474" s="22" t="s">
        <v>1031</v>
      </c>
      <c r="G474" s="22"/>
      <c r="H474" s="16">
        <v>472</v>
      </c>
      <c r="I474" s="8" t="s">
        <v>467</v>
      </c>
      <c r="J474" s="10"/>
    </row>
    <row r="475" spans="1:10">
      <c r="A475" s="5">
        <v>473</v>
      </c>
      <c r="B475" t="str">
        <f>LEFT(Table3[[#This Row],[EPI_DGN_ANTIC]],1)</f>
        <v>E</v>
      </c>
      <c r="C475" t="str">
        <f>LEFT(Table3[[#This Row],[EPI_DGN_ANTIC]],3)</f>
        <v>ELg</v>
      </c>
      <c r="D475" s="8" t="s">
        <v>1032</v>
      </c>
      <c r="E475" s="10">
        <v>0</v>
      </c>
      <c r="F475" s="22"/>
      <c r="G475" s="22"/>
      <c r="H475" s="16">
        <v>473</v>
      </c>
      <c r="I475" s="8" t="s">
        <v>213</v>
      </c>
      <c r="J475" s="10"/>
    </row>
    <row r="476" spans="1:10">
      <c r="A476" s="5">
        <v>474</v>
      </c>
      <c r="B476" t="str">
        <f>LEFT(Table3[[#This Row],[EPI_DGN_ANTIC]],1)</f>
        <v>E</v>
      </c>
      <c r="C476" t="str">
        <f>LEFT(Table3[[#This Row],[EPI_DGN_ANTIC]],3)</f>
        <v>EPg</v>
      </c>
      <c r="D476" s="8" t="s">
        <v>1033</v>
      </c>
      <c r="E476" s="10">
        <v>1</v>
      </c>
      <c r="F476" s="22" t="s">
        <v>1034</v>
      </c>
      <c r="G476" s="22"/>
      <c r="H476" s="16">
        <v>474</v>
      </c>
      <c r="I476" s="8" t="s">
        <v>1035</v>
      </c>
      <c r="J476" s="10"/>
    </row>
    <row r="477" spans="1:10">
      <c r="A477" s="5">
        <v>475</v>
      </c>
      <c r="B477" t="str">
        <f>LEFT(Table3[[#This Row],[EPI_DGN_ANTIC]],1)</f>
        <v>E</v>
      </c>
      <c r="C477" t="s">
        <v>1036</v>
      </c>
      <c r="D477" s="8" t="s">
        <v>1037</v>
      </c>
      <c r="E477" s="10">
        <v>1</v>
      </c>
      <c r="F477" s="22" t="s">
        <v>1038</v>
      </c>
      <c r="G477" s="22"/>
      <c r="H477" s="16">
        <v>475</v>
      </c>
      <c r="I477" s="8" t="s">
        <v>1039</v>
      </c>
      <c r="J477" s="10"/>
    </row>
    <row r="478" spans="1:10">
      <c r="A478" s="5">
        <v>476</v>
      </c>
      <c r="B478" t="str">
        <f>LEFT(Table3[[#This Row],[EPI_DGN_ANTIC]],1)</f>
        <v>E</v>
      </c>
      <c r="C478" t="str">
        <f>LEFT(Table3[[#This Row],[EPI_DGN_ANTIC]],3)</f>
        <v>ELc</v>
      </c>
      <c r="D478" s="8" t="s">
        <v>1040</v>
      </c>
      <c r="E478" s="10">
        <v>1</v>
      </c>
      <c r="F478" s="22" t="s">
        <v>1041</v>
      </c>
      <c r="G478" s="22"/>
      <c r="H478" s="16">
        <v>476</v>
      </c>
      <c r="I478" s="8" t="s">
        <v>1042</v>
      </c>
      <c r="J478" s="10"/>
    </row>
    <row r="479" spans="1:10">
      <c r="A479" s="5">
        <v>477</v>
      </c>
      <c r="B479" t="str">
        <f>LEFT(Table3[[#This Row],[EPI_DGN_ANTIC]],1)</f>
        <v>E</v>
      </c>
      <c r="C479" t="str">
        <f>LEFT(Table3[[#This Row],[EPI_DGN_ANTIC]],3)</f>
        <v>ELc</v>
      </c>
      <c r="D479" s="8" t="s">
        <v>1043</v>
      </c>
      <c r="E479" s="10">
        <v>1</v>
      </c>
      <c r="F479" s="22" t="s">
        <v>1044</v>
      </c>
      <c r="G479" s="22"/>
      <c r="H479" s="16">
        <v>477</v>
      </c>
      <c r="I479" s="8" t="s">
        <v>1045</v>
      </c>
      <c r="J479" s="10"/>
    </row>
    <row r="480" spans="1:10">
      <c r="A480" s="5">
        <v>478</v>
      </c>
      <c r="B480" t="str">
        <f>LEFT(Table3[[#This Row],[EPI_DGN_ANTIC]],1)</f>
        <v>E</v>
      </c>
      <c r="C480" t="str">
        <f>LEFT(Table3[[#This Row],[EPI_DGN_ANTIC]],3)</f>
        <v>ELc</v>
      </c>
      <c r="D480" s="8" t="s">
        <v>1046</v>
      </c>
      <c r="E480" s="10">
        <v>1</v>
      </c>
      <c r="F480" s="22" t="s">
        <v>1047</v>
      </c>
      <c r="G480" s="22"/>
      <c r="H480" s="16">
        <v>478</v>
      </c>
      <c r="I480" s="8" t="s">
        <v>1048</v>
      </c>
      <c r="J480" s="10"/>
    </row>
    <row r="481" spans="1:10">
      <c r="A481" s="5">
        <v>479</v>
      </c>
      <c r="B481" t="str">
        <f>LEFT(Table3[[#This Row],[EPI_DGN_ANTIC]],1)</f>
        <v>E</v>
      </c>
      <c r="C481" t="str">
        <f>LEFT(Table3[[#This Row],[EPI_DGN_ANTIC]],3)</f>
        <v>ELc</v>
      </c>
      <c r="D481" s="8" t="s">
        <v>1049</v>
      </c>
      <c r="E481" s="10">
        <v>1</v>
      </c>
      <c r="F481" s="22" t="s">
        <v>1050</v>
      </c>
      <c r="G481" s="22"/>
      <c r="H481" s="16">
        <v>479</v>
      </c>
      <c r="I481" s="8" t="s">
        <v>1051</v>
      </c>
      <c r="J481" s="10"/>
    </row>
    <row r="482" spans="1:10">
      <c r="A482" s="5">
        <v>480</v>
      </c>
      <c r="B482" t="str">
        <f>LEFT(Table3[[#This Row],[EPI_DGN_ANTIC]],1)</f>
        <v>E</v>
      </c>
      <c r="C482" t="str">
        <f>LEFT(Table3[[#This Row],[EPI_DGN_ANTIC]],3)</f>
        <v>ELc</v>
      </c>
      <c r="D482" s="8" t="s">
        <v>1052</v>
      </c>
      <c r="E482" s="10">
        <v>1</v>
      </c>
      <c r="F482" s="22" t="s">
        <v>1053</v>
      </c>
      <c r="G482" s="22"/>
      <c r="H482" s="16">
        <v>480</v>
      </c>
      <c r="I482" s="8" t="s">
        <v>1054</v>
      </c>
      <c r="J482" s="10"/>
    </row>
    <row r="483" spans="1:10">
      <c r="A483" s="5">
        <v>481</v>
      </c>
      <c r="B483" t="str">
        <f>LEFT(Table3[[#This Row],[EPI_DGN_ANTIC]],1)</f>
        <v>E</v>
      </c>
      <c r="C483" t="str">
        <f>LEFT(Table3[[#This Row],[EPI_DGN_ANTIC]],3)</f>
        <v>ELc</v>
      </c>
      <c r="D483" s="8" t="s">
        <v>1055</v>
      </c>
      <c r="E483" s="10">
        <v>1</v>
      </c>
      <c r="F483" s="22" t="s">
        <v>1056</v>
      </c>
      <c r="G483" s="22"/>
      <c r="H483" s="16">
        <v>481</v>
      </c>
      <c r="I483" s="8" t="s">
        <v>11</v>
      </c>
      <c r="J483" s="10"/>
    </row>
    <row r="484" spans="1:10">
      <c r="A484" s="5">
        <v>482</v>
      </c>
      <c r="B484" t="str">
        <f>LEFT(Table3[[#This Row],[EPI_DGN_ANTIC]],1)</f>
        <v>E</v>
      </c>
      <c r="C484" t="str">
        <f>LEFT(Table3[[#This Row],[EPI_DGN_ANTIC]],3)</f>
        <v>ELl</v>
      </c>
      <c r="D484" s="8" t="s">
        <v>1057</v>
      </c>
      <c r="E484" s="10">
        <v>1</v>
      </c>
      <c r="F484" s="22" t="s">
        <v>1058</v>
      </c>
      <c r="G484" s="24"/>
      <c r="H484" s="16">
        <v>482</v>
      </c>
      <c r="I484" s="8" t="s">
        <v>1059</v>
      </c>
      <c r="J484" s="10"/>
    </row>
    <row r="485" spans="1:10">
      <c r="A485" s="5">
        <v>483</v>
      </c>
      <c r="B485" t="str">
        <f>LEFT(Table3[[#This Row],[EPI_DGN_ANTIC]],1)</f>
        <v>E</v>
      </c>
      <c r="C485" t="str">
        <f>LEFT(Table3[[#This Row],[EPI_DGN_ANTIC]],3)</f>
        <v>ELo</v>
      </c>
      <c r="D485" s="8" t="s">
        <v>1060</v>
      </c>
      <c r="E485" s="10">
        <v>1</v>
      </c>
      <c r="F485" s="22" t="s">
        <v>1061</v>
      </c>
      <c r="G485" s="22"/>
      <c r="H485" s="16">
        <v>483</v>
      </c>
      <c r="I485" s="8" t="s">
        <v>1062</v>
      </c>
      <c r="J485" s="10"/>
    </row>
    <row r="486" spans="1:10">
      <c r="A486" s="5">
        <v>484</v>
      </c>
      <c r="B486" t="str">
        <f>LEFT(Table3[[#This Row],[EPI_DGN_ANTIC]],1)</f>
        <v>E</v>
      </c>
      <c r="C486" t="str">
        <f>LEFT(Table3[[#This Row],[EPI_DGN_ANTIC]],3)</f>
        <v>EPb</v>
      </c>
      <c r="D486" s="8" t="s">
        <v>1063</v>
      </c>
      <c r="E486" s="10">
        <v>1</v>
      </c>
      <c r="F486" s="22" t="s">
        <v>1064</v>
      </c>
      <c r="G486" s="22"/>
      <c r="H486" s="16">
        <v>484</v>
      </c>
      <c r="I486" s="8" t="s">
        <v>1065</v>
      </c>
      <c r="J486" s="10"/>
    </row>
    <row r="487" spans="1:10">
      <c r="A487" s="5">
        <v>485</v>
      </c>
      <c r="B487" t="str">
        <f>LEFT(Table3[[#This Row],[EPI_DGN_ANTIC]],1)</f>
        <v>E</v>
      </c>
      <c r="C487" t="str">
        <f>LEFT(Table3[[#This Row],[EPI_DGN_ANTIC]],3)</f>
        <v>EPb</v>
      </c>
      <c r="D487" s="8" t="s">
        <v>1066</v>
      </c>
      <c r="E487" s="10">
        <v>1</v>
      </c>
      <c r="F487" s="22" t="s">
        <v>1067</v>
      </c>
      <c r="G487" s="22"/>
      <c r="H487" s="16">
        <v>485</v>
      </c>
      <c r="I487" s="8" t="s">
        <v>1068</v>
      </c>
      <c r="J487" s="10"/>
    </row>
    <row r="488" spans="1:10">
      <c r="A488" s="5">
        <v>486</v>
      </c>
      <c r="B488" t="str">
        <f>LEFT(Table3[[#This Row],[EPI_DGN_ANTIC]],1)</f>
        <v>E</v>
      </c>
      <c r="C488" t="str">
        <f>LEFT(Table3[[#This Row],[EPI_DGN_ANTIC]],3)</f>
        <v>EPc</v>
      </c>
      <c r="D488" s="8" t="s">
        <v>1069</v>
      </c>
      <c r="E488" s="10">
        <v>1</v>
      </c>
      <c r="F488" s="22" t="s">
        <v>1070</v>
      </c>
      <c r="G488" s="22"/>
      <c r="H488" s="16">
        <v>486</v>
      </c>
      <c r="I488" s="8" t="s">
        <v>1068</v>
      </c>
      <c r="J488" s="10"/>
    </row>
    <row r="489" spans="1:10">
      <c r="A489" s="5">
        <v>487</v>
      </c>
      <c r="B489" t="str">
        <f>LEFT(Table3[[#This Row],[EPI_DGN_ANTIC]],1)</f>
        <v>E</v>
      </c>
      <c r="C489" t="str">
        <f>LEFT(Table3[[#This Row],[EPI_DGN_ANTIC]],3)</f>
        <v>EPg</v>
      </c>
      <c r="D489" s="8" t="s">
        <v>1071</v>
      </c>
      <c r="E489" s="10">
        <v>1</v>
      </c>
      <c r="F489" s="22" t="s">
        <v>1070</v>
      </c>
      <c r="G489" s="22"/>
      <c r="H489" s="16">
        <v>487</v>
      </c>
      <c r="I489" s="8" t="s">
        <v>1068</v>
      </c>
      <c r="J489" s="10"/>
    </row>
    <row r="490" spans="1:10">
      <c r="A490" s="5">
        <v>488</v>
      </c>
      <c r="B490" t="str">
        <f>LEFT(Table3[[#This Row],[EPI_DGN_ANTIC]],1)</f>
        <v>E</v>
      </c>
      <c r="C490" t="str">
        <f>LEFT(Table3[[#This Row],[EPI_DGN_ANTIC]],3)</f>
        <v>EPg</v>
      </c>
      <c r="D490" s="8" t="s">
        <v>1072</v>
      </c>
      <c r="E490" s="10">
        <v>1</v>
      </c>
      <c r="F490" s="22" t="s">
        <v>1070</v>
      </c>
      <c r="G490" s="22"/>
      <c r="H490" s="16">
        <v>488</v>
      </c>
      <c r="I490" s="8" t="s">
        <v>1073</v>
      </c>
      <c r="J490" s="10"/>
    </row>
    <row r="491" spans="1:10">
      <c r="A491" s="5">
        <v>489</v>
      </c>
      <c r="B491" t="str">
        <f>LEFT(Table3[[#This Row],[EPI_DGN_ANTIC]],1)</f>
        <v>E</v>
      </c>
      <c r="C491" t="str">
        <f>LEFT(Table3[[#This Row],[EPI_DGN_ANTIC]],3)</f>
        <v>ELc</v>
      </c>
      <c r="D491" s="8" t="s">
        <v>1074</v>
      </c>
      <c r="E491" s="10">
        <v>1</v>
      </c>
      <c r="F491" s="22" t="s">
        <v>1075</v>
      </c>
      <c r="G491" s="22"/>
      <c r="H491" s="16">
        <v>489</v>
      </c>
      <c r="I491" s="8" t="s">
        <v>1076</v>
      </c>
      <c r="J491" s="10"/>
    </row>
    <row r="492" spans="1:10">
      <c r="A492" s="5">
        <v>490</v>
      </c>
      <c r="B492" t="str">
        <f>LEFT(Table3[[#This Row],[EPI_DGN_ANTIC]],1)</f>
        <v>E</v>
      </c>
      <c r="C492" t="str">
        <f>LEFT(Table3[[#This Row],[EPI_DGN_ANTIC]],3)</f>
        <v>ELc</v>
      </c>
      <c r="D492" s="8" t="s">
        <v>1077</v>
      </c>
      <c r="E492" s="10">
        <v>1</v>
      </c>
      <c r="F492" s="22" t="s">
        <v>1075</v>
      </c>
      <c r="G492" s="22"/>
      <c r="H492" s="16">
        <v>490</v>
      </c>
      <c r="I492" s="8" t="s">
        <v>1078</v>
      </c>
      <c r="J492" s="10"/>
    </row>
    <row r="493" spans="1:10">
      <c r="A493" s="5">
        <v>491</v>
      </c>
      <c r="B493" t="str">
        <f>LEFT(Table3[[#This Row],[EPI_DGN_ANTIC]],1)</f>
        <v>E</v>
      </c>
      <c r="C493" t="str">
        <f>LEFT(Table3[[#This Row],[EPI_DGN_ANTIC]],3)</f>
        <v>ELc</v>
      </c>
      <c r="D493" s="8" t="s">
        <v>1079</v>
      </c>
      <c r="E493" s="10">
        <v>1</v>
      </c>
      <c r="F493" s="22" t="s">
        <v>1080</v>
      </c>
      <c r="G493" s="22"/>
      <c r="H493" s="16">
        <v>491</v>
      </c>
      <c r="I493" s="8" t="s">
        <v>1035</v>
      </c>
      <c r="J493" s="10"/>
    </row>
    <row r="494" spans="1:10">
      <c r="A494" s="5">
        <v>492</v>
      </c>
      <c r="B494" t="str">
        <f>LEFT(Table3[[#This Row],[EPI_DGN_ANTIC]],1)</f>
        <v>E</v>
      </c>
      <c r="C494" t="str">
        <f>LEFT(Table3[[#This Row],[EPI_DGN_ANTIC]],3)</f>
        <v>ELc</v>
      </c>
      <c r="D494" s="8" t="s">
        <v>1081</v>
      </c>
      <c r="E494" s="10">
        <v>1</v>
      </c>
      <c r="F494" s="22" t="s">
        <v>1082</v>
      </c>
      <c r="G494" s="22"/>
      <c r="H494" s="16">
        <v>492</v>
      </c>
      <c r="I494" s="8" t="s">
        <v>1083</v>
      </c>
      <c r="J494" s="10"/>
    </row>
    <row r="495" spans="1:10">
      <c r="A495" s="5">
        <v>493</v>
      </c>
      <c r="B495" t="str">
        <f>LEFT(Table3[[#This Row],[EPI_DGN_ANTIC]],1)</f>
        <v>E</v>
      </c>
      <c r="C495" t="str">
        <f>LEFT(Table3[[#This Row],[EPI_DGN_ANTIC]],3)</f>
        <v>ELc</v>
      </c>
      <c r="D495" s="8" t="s">
        <v>1084</v>
      </c>
      <c r="E495" s="10">
        <v>1</v>
      </c>
      <c r="F495" s="22" t="s">
        <v>1085</v>
      </c>
      <c r="G495" s="22"/>
      <c r="H495" s="16">
        <v>493</v>
      </c>
      <c r="I495" s="8" t="s">
        <v>1086</v>
      </c>
      <c r="J495" s="10"/>
    </row>
    <row r="496" spans="1:10">
      <c r="A496" s="5">
        <v>494</v>
      </c>
      <c r="B496" t="str">
        <f>LEFT(Table3[[#This Row],[EPI_DGN_ANTIC]],1)</f>
        <v>E</v>
      </c>
      <c r="C496" t="str">
        <f>LEFT(Table3[[#This Row],[EPI_DGN_ANTIC]],2)</f>
        <v>EO</v>
      </c>
      <c r="D496" s="8" t="s">
        <v>1087</v>
      </c>
      <c r="E496" s="10">
        <v>1</v>
      </c>
      <c r="F496" s="22" t="s">
        <v>93</v>
      </c>
      <c r="G496" s="22"/>
      <c r="H496" s="16">
        <v>494</v>
      </c>
      <c r="I496" s="8" t="s">
        <v>1088</v>
      </c>
      <c r="J496" s="10"/>
    </row>
    <row r="497" spans="1:10">
      <c r="A497" s="5">
        <v>495</v>
      </c>
      <c r="B497" t="str">
        <f>LEFT(Table3[[#This Row],[EPI_DGN_ANTIC]],1)</f>
        <v>E</v>
      </c>
      <c r="C497" t="str">
        <f>LEFT(Table3[[#This Row],[EPI_DGN_ANTIC]],3)</f>
        <v>EPa</v>
      </c>
      <c r="D497" s="8" t="s">
        <v>1089</v>
      </c>
      <c r="E497" s="10">
        <v>1</v>
      </c>
      <c r="F497" s="22" t="s">
        <v>1090</v>
      </c>
      <c r="G497" s="22"/>
      <c r="H497" s="16">
        <v>495</v>
      </c>
      <c r="I497" s="8" t="s">
        <v>1091</v>
      </c>
      <c r="J497" s="10"/>
    </row>
    <row r="498" spans="1:10">
      <c r="A498" s="5">
        <v>496</v>
      </c>
      <c r="B498" t="str">
        <f>LEFT(Table3[[#This Row],[EPI_DGN_ANTIC]],1)</f>
        <v>E</v>
      </c>
      <c r="C498" t="str">
        <f>LEFT(Table3[[#This Row],[EPI_DGN_ANTIC]],3)</f>
        <v>ELt</v>
      </c>
      <c r="D498" s="8" t="s">
        <v>1092</v>
      </c>
      <c r="E498" s="10">
        <v>1</v>
      </c>
      <c r="F498" s="22" t="s">
        <v>1093</v>
      </c>
      <c r="G498" s="22"/>
      <c r="H498" s="16">
        <v>496</v>
      </c>
      <c r="I498" s="8" t="s">
        <v>109</v>
      </c>
      <c r="J498" s="10"/>
    </row>
    <row r="499" spans="1:10">
      <c r="A499" s="5">
        <v>497</v>
      </c>
      <c r="B499" t="str">
        <f>LEFT(Table3[[#This Row],[EPI_DGN_ANTIC]],1)</f>
        <v>E</v>
      </c>
      <c r="C499" t="str">
        <f>LEFT(Table3[[#This Row],[EPI_DGN_ANTIC]],2)</f>
        <v>EO</v>
      </c>
      <c r="D499" s="8" t="s">
        <v>1094</v>
      </c>
      <c r="E499" s="10">
        <v>0</v>
      </c>
      <c r="F499" s="22"/>
      <c r="G499" s="22"/>
      <c r="H499" s="16">
        <v>497</v>
      </c>
      <c r="I499" s="8" t="s">
        <v>1095</v>
      </c>
      <c r="J499" s="10"/>
    </row>
    <row r="500" spans="1:10">
      <c r="A500" s="5">
        <v>498</v>
      </c>
      <c r="B500" t="str">
        <f>LEFT(Table3[[#This Row],[EPI_DGN_ANTIC]],1)</f>
        <v>E</v>
      </c>
      <c r="C500" t="str">
        <f>LEFT(Table3[[#This Row],[EPI_DGN_ANTIC]],2)</f>
        <v>EO</v>
      </c>
      <c r="D500" s="8" t="s">
        <v>1094</v>
      </c>
      <c r="E500" s="10">
        <v>1</v>
      </c>
      <c r="F500" s="22" t="s">
        <v>1096</v>
      </c>
      <c r="G500" s="22"/>
      <c r="H500" s="16">
        <v>498</v>
      </c>
      <c r="I500" s="8" t="s">
        <v>1097</v>
      </c>
      <c r="J500" s="10"/>
    </row>
    <row r="501" spans="1:10">
      <c r="A501" s="5">
        <v>499</v>
      </c>
      <c r="B501" t="str">
        <f>LEFT(Table3[[#This Row],[EPI_DGN_ANTIC]],1)</f>
        <v>E</v>
      </c>
      <c r="C501" t="str">
        <f>LEFT(Table3[[#This Row],[EPI_DGN_ANTIC]],2)</f>
        <v>EO</v>
      </c>
      <c r="D501" s="8" t="s">
        <v>1098</v>
      </c>
      <c r="E501" s="10">
        <v>1</v>
      </c>
      <c r="F501" s="22" t="s">
        <v>1099</v>
      </c>
      <c r="G501" s="22"/>
      <c r="H501" s="16">
        <v>499</v>
      </c>
      <c r="I501" s="8" t="s">
        <v>1100</v>
      </c>
      <c r="J501" s="10"/>
    </row>
    <row r="502" spans="1:10">
      <c r="A502" s="5">
        <v>500</v>
      </c>
      <c r="B502" t="str">
        <f>LEFT(Table3[[#This Row],[EPI_DGN_ANTIC]],1)</f>
        <v>E</v>
      </c>
      <c r="C502" t="str">
        <f>LEFT(Table3[[#This Row],[EPI_DGN_ANTIC]],3)</f>
        <v>EPl</v>
      </c>
      <c r="D502" s="8" t="s">
        <v>1101</v>
      </c>
      <c r="E502" s="10">
        <v>1</v>
      </c>
      <c r="F502" s="22" t="s">
        <v>1102</v>
      </c>
      <c r="G502" s="22"/>
      <c r="H502" s="16">
        <v>500</v>
      </c>
      <c r="I502" s="8" t="s">
        <v>1103</v>
      </c>
      <c r="J502" s="10"/>
    </row>
    <row r="503" spans="1:10">
      <c r="A503" s="5">
        <v>501</v>
      </c>
      <c r="B503" t="str">
        <f>LEFT(Table3[[#This Row],[EPI_DGN_ANTIC]],1)</f>
        <v>E</v>
      </c>
      <c r="C503" t="str">
        <f>LEFT(Table3[[#This Row],[EPI_DGN_ANTIC]],3)</f>
        <v>EPO</v>
      </c>
      <c r="D503" s="8" t="s">
        <v>1104</v>
      </c>
      <c r="E503" s="10">
        <v>0</v>
      </c>
      <c r="F503" s="22"/>
      <c r="G503" s="24"/>
      <c r="H503" s="16">
        <v>501</v>
      </c>
      <c r="I503" s="8" t="s">
        <v>1105</v>
      </c>
      <c r="J503" s="10"/>
    </row>
    <row r="504" spans="1:10">
      <c r="A504" s="5">
        <v>502</v>
      </c>
      <c r="B504" t="str">
        <f>LEFT(Table3[[#This Row],[EPI_DGN_ANTIC]],1)</f>
        <v>E</v>
      </c>
      <c r="C504" t="str">
        <f>LEFT(Table3[[#This Row],[EPI_DGN_ANTIC]],2)</f>
        <v>Es</v>
      </c>
      <c r="D504" s="8" t="s">
        <v>1106</v>
      </c>
      <c r="E504" s="10">
        <v>1</v>
      </c>
      <c r="F504" s="22" t="s">
        <v>1107</v>
      </c>
      <c r="G504" s="22"/>
      <c r="H504" s="16">
        <v>502</v>
      </c>
      <c r="I504" s="8" t="s">
        <v>1108</v>
      </c>
      <c r="J504" s="10"/>
    </row>
    <row r="505" spans="1:10">
      <c r="A505" s="5">
        <v>503</v>
      </c>
      <c r="B505" t="str">
        <f>LEFT(Table3[[#This Row],[EPI_DGN_ANTIC]],1)</f>
        <v>E</v>
      </c>
      <c r="C505" t="str">
        <f>LEFT(Table3[[#This Row],[EPI_DGN_ANTIC]],3)</f>
        <v>EPl</v>
      </c>
      <c r="D505" s="8" t="s">
        <v>1109</v>
      </c>
      <c r="E505" s="10">
        <v>1</v>
      </c>
      <c r="F505" s="22" t="s">
        <v>1110</v>
      </c>
      <c r="G505" s="22"/>
      <c r="H505" s="16">
        <v>503</v>
      </c>
      <c r="I505" s="8" t="s">
        <v>1111</v>
      </c>
      <c r="J505" s="10"/>
    </row>
    <row r="506" spans="1:10">
      <c r="A506" s="5">
        <v>504</v>
      </c>
      <c r="B506" t="str">
        <f>LEFT(Table3[[#This Row],[EPI_DGN_ANTIC]],1)</f>
        <v>E</v>
      </c>
      <c r="C506" t="str">
        <f>LEFT(Table3[[#This Row],[EPI_DGN_ANTIC]],3)</f>
        <v>EPc</v>
      </c>
      <c r="D506" s="8" t="s">
        <v>1112</v>
      </c>
      <c r="E506" s="10">
        <v>1</v>
      </c>
      <c r="F506" s="22" t="s">
        <v>1113</v>
      </c>
      <c r="G506" s="22"/>
      <c r="H506" s="16">
        <v>504</v>
      </c>
      <c r="I506" s="8" t="s">
        <v>1114</v>
      </c>
      <c r="J506" s="10"/>
    </row>
    <row r="507" spans="1:10">
      <c r="A507" s="5">
        <v>505</v>
      </c>
      <c r="B507" t="str">
        <f>LEFT(Table3[[#This Row],[EPI_DGN_ANTIC]],1)</f>
        <v>E</v>
      </c>
      <c r="C507" t="str">
        <f>LEFT(Table3[[#This Row],[EPI_DGN_ANTIC]],3)</f>
        <v>EPl</v>
      </c>
      <c r="D507" s="8" t="s">
        <v>1115</v>
      </c>
      <c r="E507" s="10">
        <v>1</v>
      </c>
      <c r="F507" s="22" t="s">
        <v>1116</v>
      </c>
      <c r="G507" s="22"/>
      <c r="H507" s="16">
        <v>505</v>
      </c>
      <c r="I507" s="8" t="s">
        <v>1117</v>
      </c>
      <c r="J507" s="10"/>
    </row>
    <row r="508" spans="1:10">
      <c r="A508" s="5">
        <v>506</v>
      </c>
      <c r="B508" t="str">
        <f>LEFT(Table3[[#This Row],[EPI_DGN_ANTIC]],1)</f>
        <v>E</v>
      </c>
      <c r="C508" t="str">
        <f>LEFT(Table3[[#This Row],[EPI_DGN_ANTIC]],3)</f>
        <v>EPl</v>
      </c>
      <c r="D508" s="8" t="s">
        <v>1118</v>
      </c>
      <c r="E508" s="10">
        <v>1</v>
      </c>
      <c r="F508" s="22" t="s">
        <v>30</v>
      </c>
      <c r="G508" s="22"/>
      <c r="H508" s="16">
        <v>506</v>
      </c>
      <c r="I508" s="8" t="s">
        <v>584</v>
      </c>
      <c r="J508" s="10"/>
    </row>
    <row r="509" spans="1:10">
      <c r="A509" s="5">
        <v>507</v>
      </c>
      <c r="B509" t="str">
        <f>LEFT(Table3[[#This Row],[EPI_DGN_ANTIC]],1)</f>
        <v>E</v>
      </c>
      <c r="C509" t="str">
        <f>LEFT(Table3[[#This Row],[EPI_DGN_ANTIC]],3)</f>
        <v>ELg</v>
      </c>
      <c r="D509" s="8" t="s">
        <v>1119</v>
      </c>
      <c r="E509" s="10">
        <v>1</v>
      </c>
      <c r="F509" s="22" t="s">
        <v>1120</v>
      </c>
      <c r="G509" s="22"/>
      <c r="H509" s="16">
        <v>507</v>
      </c>
      <c r="I509" s="8" t="s">
        <v>964</v>
      </c>
      <c r="J509" s="10"/>
    </row>
    <row r="510" spans="1:10">
      <c r="A510" s="5">
        <v>508</v>
      </c>
      <c r="B510" t="str">
        <f>LEFT(Table3[[#This Row],[EPI_DGN_ANTIC]],1)</f>
        <v>E</v>
      </c>
      <c r="D510" s="8" t="s">
        <v>10</v>
      </c>
      <c r="E510" s="7">
        <v>0</v>
      </c>
      <c r="F510" s="22"/>
      <c r="G510" s="22"/>
      <c r="H510" s="9"/>
      <c r="I510" s="10"/>
      <c r="J510" s="7"/>
    </row>
    <row r="511" spans="1:10">
      <c r="A511" s="5">
        <v>509</v>
      </c>
      <c r="B511" t="str">
        <f>LEFT(Table3[[#This Row],[EPI_DGN_ANTIC]],1)</f>
        <v>E</v>
      </c>
      <c r="C511" t="str">
        <f>LEFT(Table3[[#This Row],[EPI_DGN_ANTIC]],3)</f>
        <v>ELB</v>
      </c>
      <c r="D511" s="8" t="s">
        <v>1121</v>
      </c>
      <c r="E511" s="7">
        <v>1</v>
      </c>
      <c r="F511" s="24" t="s">
        <v>1122</v>
      </c>
      <c r="G511" s="24"/>
      <c r="H511" s="10"/>
      <c r="I511" s="10"/>
      <c r="J511" s="7"/>
    </row>
    <row r="512" spans="1:10">
      <c r="A512" s="5">
        <v>510</v>
      </c>
      <c r="B512" t="str">
        <f>LEFT(Table3[[#This Row],[EPI_DGN_ANTIC]],1)</f>
        <v>E</v>
      </c>
      <c r="C512" t="str">
        <f>LEFT(Table3[[#This Row],[EPI_DGN_ANTIC]],3)</f>
        <v>ELB</v>
      </c>
      <c r="D512" s="8" t="s">
        <v>1123</v>
      </c>
      <c r="E512" s="7">
        <v>1</v>
      </c>
      <c r="F512" s="24" t="s">
        <v>1124</v>
      </c>
      <c r="G512" s="24"/>
      <c r="H512" s="10"/>
      <c r="I512" s="10"/>
      <c r="J512" s="7"/>
    </row>
    <row r="513" spans="1:10">
      <c r="A513" s="5">
        <v>511</v>
      </c>
      <c r="B513" t="str">
        <f>LEFT(Table3[[#This Row],[EPI_DGN_ANTIC]],1)</f>
        <v>E</v>
      </c>
      <c r="C513" t="str">
        <f>LEFT(Table3[[#This Row],[EPI_DGN_ANTIC]],3)</f>
        <v>ELB</v>
      </c>
      <c r="D513" s="8" t="s">
        <v>1125</v>
      </c>
      <c r="E513" s="7">
        <v>1</v>
      </c>
      <c r="F513" s="24" t="s">
        <v>1126</v>
      </c>
      <c r="G513" s="24"/>
      <c r="H513" s="10"/>
      <c r="I513" s="10"/>
      <c r="J513" s="7"/>
    </row>
    <row r="514" spans="1:10">
      <c r="A514" s="5">
        <v>512</v>
      </c>
      <c r="B514" t="str">
        <f>LEFT(Table3[[#This Row],[EPI_DGN_ANTIC]],1)</f>
        <v>E</v>
      </c>
      <c r="C514" t="str">
        <f>LEFT(Table3[[#This Row],[EPI_DGN_ANTIC]],3)</f>
        <v>ELc</v>
      </c>
      <c r="D514" s="8" t="s">
        <v>1127</v>
      </c>
      <c r="E514" s="7">
        <v>1</v>
      </c>
      <c r="F514" s="24" t="s">
        <v>1128</v>
      </c>
      <c r="G514" s="24"/>
      <c r="H514" s="10"/>
      <c r="I514" s="10"/>
      <c r="J514" s="7"/>
    </row>
    <row r="515" spans="1:10">
      <c r="A515" s="5">
        <v>513</v>
      </c>
      <c r="B515" t="str">
        <f>LEFT(Table3[[#This Row],[EPI_DGN_ANTIC]],1)</f>
        <v>E</v>
      </c>
      <c r="C515" t="s">
        <v>1036</v>
      </c>
      <c r="D515" s="8" t="s">
        <v>1129</v>
      </c>
      <c r="E515" s="7">
        <v>1</v>
      </c>
      <c r="F515" s="24" t="s">
        <v>1130</v>
      </c>
      <c r="G515" s="24"/>
      <c r="H515" s="10"/>
      <c r="I515" s="10"/>
      <c r="J515" s="7"/>
    </row>
    <row r="516" spans="1:10">
      <c r="A516" s="5">
        <v>514</v>
      </c>
      <c r="B516" t="str">
        <f>LEFT(Table3[[#This Row],[EPI_DGN_ANTIC]],1)</f>
        <v>E</v>
      </c>
      <c r="C516" t="str">
        <f>LEFT(Table3[[#This Row],[EPI_DGN_ANTIC]],3)</f>
        <v>ELm</v>
      </c>
      <c r="D516" s="8" t="s">
        <v>1131</v>
      </c>
      <c r="E516" s="7">
        <v>1</v>
      </c>
      <c r="F516" s="24" t="s">
        <v>1132</v>
      </c>
      <c r="G516" s="24"/>
      <c r="H516" s="10"/>
      <c r="I516" s="10"/>
      <c r="J516" s="7"/>
    </row>
    <row r="517" spans="1:10">
      <c r="A517" s="5">
        <v>515</v>
      </c>
      <c r="B517" t="str">
        <f>LEFT(Table3[[#This Row],[EPI_DGN_ANTIC]],1)</f>
        <v>E</v>
      </c>
      <c r="C517" t="str">
        <f>LEFT(Table3[[#This Row],[EPI_DGN_ANTIC]],3)</f>
        <v>ELt</v>
      </c>
      <c r="D517" s="8" t="s">
        <v>1133</v>
      </c>
      <c r="E517" s="7">
        <v>1</v>
      </c>
      <c r="F517" s="24" t="s">
        <v>1093</v>
      </c>
      <c r="G517" s="24"/>
      <c r="H517" s="10"/>
      <c r="I517" s="10"/>
      <c r="J517" s="7"/>
    </row>
    <row r="518" spans="1:10">
      <c r="A518" s="5">
        <v>516</v>
      </c>
      <c r="B518" t="str">
        <f>LEFT(Table3[[#This Row],[EPI_DGN_ANTIC]],1)</f>
        <v>E</v>
      </c>
      <c r="C518" t="str">
        <f>LEFT(Table3[[#This Row],[EPI_DGN_ANTIC]],3)</f>
        <v>EIC</v>
      </c>
      <c r="D518" s="8" t="s">
        <v>1134</v>
      </c>
      <c r="E518" s="7">
        <v>0</v>
      </c>
      <c r="F518" s="24"/>
      <c r="G518" s="24"/>
      <c r="H518" s="10"/>
      <c r="I518" s="10"/>
      <c r="J518" s="7"/>
    </row>
    <row r="519" spans="1:10">
      <c r="A519" s="5">
        <v>517</v>
      </c>
      <c r="B519" t="str">
        <f>LEFT(Table3[[#This Row],[EPI_DGN_ANTIC]],1)</f>
        <v>E</v>
      </c>
      <c r="C519" t="str">
        <f>LEFT(Table3[[#This Row],[EPI_DGN_ANTIC]],3)</f>
        <v>ELB</v>
      </c>
      <c r="D519" s="8" t="s">
        <v>1036</v>
      </c>
      <c r="E519" s="7">
        <v>0</v>
      </c>
      <c r="F519" s="24"/>
      <c r="G519" s="24"/>
      <c r="H519" s="10"/>
      <c r="I519" s="10"/>
      <c r="J519" s="7"/>
    </row>
    <row r="520" spans="1:10">
      <c r="A520" s="5">
        <v>518</v>
      </c>
      <c r="B520" t="str">
        <f>LEFT(Table3[[#This Row],[EPI_DGN_ANTIC]],1)</f>
        <v>E</v>
      </c>
      <c r="C520" t="str">
        <f>LEFT(Table3[[#This Row],[EPI_DGN_ANTIC]],3)</f>
        <v>ELc</v>
      </c>
      <c r="D520" s="8" t="s">
        <v>1135</v>
      </c>
      <c r="E520" s="7">
        <v>0</v>
      </c>
      <c r="F520" s="24"/>
      <c r="G520" s="24"/>
      <c r="H520" s="10"/>
      <c r="I520" s="10"/>
      <c r="J520" s="7"/>
    </row>
    <row r="521" spans="1:10">
      <c r="A521" s="5">
        <v>519</v>
      </c>
      <c r="B521" t="str">
        <f>LEFT(Table3[[#This Row],[EPI_DGN_ANTIC]],1)</f>
        <v>E</v>
      </c>
      <c r="C521" t="str">
        <f>LEFT(Table3[[#This Row],[EPI_DGN_ANTIC]],3)</f>
        <v>ELl</v>
      </c>
      <c r="D521" s="8" t="s">
        <v>1136</v>
      </c>
      <c r="E521" s="7">
        <v>0</v>
      </c>
      <c r="F521" s="24"/>
      <c r="G521" s="24"/>
      <c r="H521" s="10"/>
      <c r="I521" s="10"/>
      <c r="J521" s="7"/>
    </row>
    <row r="522" spans="1:10">
      <c r="A522" s="5">
        <v>520</v>
      </c>
      <c r="B522" t="str">
        <f>LEFT(Table3[[#This Row],[EPI_DGN_ANTIC]],1)</f>
        <v>E</v>
      </c>
      <c r="C522" t="str">
        <f>LEFT(Table3[[#This Row],[EPI_DGN_ANTIC]],3)</f>
        <v>ELm</v>
      </c>
      <c r="D522" s="8" t="s">
        <v>1137</v>
      </c>
      <c r="E522" s="7">
        <v>0</v>
      </c>
      <c r="F522" s="24"/>
      <c r="G522" s="24"/>
      <c r="H522" s="10"/>
      <c r="I522" s="10"/>
      <c r="J522" s="7"/>
    </row>
    <row r="523" spans="1:10">
      <c r="A523" s="5">
        <v>521</v>
      </c>
      <c r="B523" t="str">
        <f>LEFT(Table3[[#This Row],[EPI_DGN_ANTIC]],1)</f>
        <v>E</v>
      </c>
      <c r="D523" s="8" t="s">
        <v>10</v>
      </c>
      <c r="E523" s="7">
        <v>0</v>
      </c>
      <c r="F523" s="24"/>
      <c r="G523" s="24"/>
      <c r="H523" s="10"/>
      <c r="I523" s="10"/>
      <c r="J523" s="7"/>
    </row>
    <row r="524" spans="1:10">
      <c r="A524" s="5">
        <v>522</v>
      </c>
      <c r="B524" t="str">
        <f>LEFT(Table3[[#This Row],[EPI_DGN_ANTIC]],1)</f>
        <v>E</v>
      </c>
      <c r="C524" t="str">
        <f>LEFT(Table3[[#This Row],[EPI_DGN_ANTIC]],3)</f>
        <v>ELo</v>
      </c>
      <c r="D524" s="8" t="s">
        <v>1138</v>
      </c>
      <c r="E524" s="7">
        <v>0</v>
      </c>
      <c r="F524" s="24"/>
      <c r="G524" s="24"/>
      <c r="H524" s="10"/>
      <c r="I524" s="10"/>
      <c r="J524" s="7"/>
    </row>
    <row r="525" spans="1:10">
      <c r="A525" s="5">
        <v>523</v>
      </c>
      <c r="B525" t="str">
        <f>LEFT(Table3[[#This Row],[EPI_DGN_ANTIC]],1)</f>
        <v>E</v>
      </c>
      <c r="C525" t="str">
        <f>LEFT(Table3[[#This Row],[EPI_DGN_ANTIC]],3)</f>
        <v>ELp</v>
      </c>
      <c r="D525" s="8" t="s">
        <v>1139</v>
      </c>
      <c r="E525" s="7">
        <v>0</v>
      </c>
      <c r="F525" s="24"/>
      <c r="G525" s="24"/>
      <c r="H525" s="10"/>
      <c r="I525" s="10"/>
      <c r="J525" s="7"/>
    </row>
    <row r="526" spans="1:10">
      <c r="A526" s="5">
        <v>524</v>
      </c>
      <c r="B526" t="str">
        <f>LEFT(Table3[[#This Row],[EPI_DGN_ANTIC]],1)</f>
        <v>E</v>
      </c>
      <c r="C526" t="str">
        <f>LEFT(Table3[[#This Row],[EPI_DGN_ANTIC]],3)</f>
        <v>ELs</v>
      </c>
      <c r="D526" s="8" t="s">
        <v>1140</v>
      </c>
      <c r="E526" s="7">
        <v>0</v>
      </c>
      <c r="F526" s="24"/>
      <c r="G526" s="24"/>
      <c r="H526" s="10"/>
      <c r="I526" s="10"/>
      <c r="J526" s="7"/>
    </row>
    <row r="527" spans="1:10">
      <c r="A527" s="5">
        <v>525</v>
      </c>
      <c r="B527" t="str">
        <f>LEFT(Table3[[#This Row],[EPI_DGN_ANTIC]],1)</f>
        <v>E</v>
      </c>
      <c r="C527" t="str">
        <f>LEFT(Table3[[#This Row],[EPI_DGN_ANTIC]],3)</f>
        <v>ELt</v>
      </c>
      <c r="D527" s="8" t="s">
        <v>1141</v>
      </c>
      <c r="E527" s="7">
        <v>0</v>
      </c>
      <c r="F527" s="24"/>
      <c r="G527" s="24"/>
      <c r="H527" s="10"/>
      <c r="I527" s="10"/>
      <c r="J527" s="7"/>
    </row>
    <row r="528" spans="1:10">
      <c r="A528" s="5">
        <v>526</v>
      </c>
      <c r="B528" t="str">
        <f>LEFT(Table3[[#This Row],[EPI_DGN_ANTIC]],1)</f>
        <v>E</v>
      </c>
      <c r="C528" t="str">
        <f>LEFT(Table3[[#This Row],[EPI_DGN_ANTIC]],3)</f>
        <v>ELx</v>
      </c>
      <c r="D528" s="8" t="s">
        <v>1028</v>
      </c>
      <c r="E528" s="7">
        <v>1</v>
      </c>
      <c r="F528" s="24" t="s">
        <v>1142</v>
      </c>
      <c r="G528" s="24"/>
      <c r="H528" s="10"/>
      <c r="I528" s="10"/>
      <c r="J528" s="7"/>
    </row>
    <row r="529" spans="1:10">
      <c r="A529" s="5">
        <v>527</v>
      </c>
      <c r="B529" t="str">
        <f>LEFT(Table3[[#This Row],[EPI_DGN_ANTIC]],1)</f>
        <v>E</v>
      </c>
      <c r="C529" t="str">
        <f>LEFT(Table3[[#This Row],[EPI_DGN_ANTIC]],3)</f>
        <v>EPa</v>
      </c>
      <c r="D529" s="8" t="s">
        <v>1143</v>
      </c>
      <c r="E529" s="7">
        <v>0</v>
      </c>
      <c r="F529" s="24"/>
      <c r="G529" s="24"/>
      <c r="H529" s="10"/>
      <c r="I529" s="10"/>
      <c r="J529" s="7"/>
    </row>
    <row r="530" spans="1:10">
      <c r="A530" s="5">
        <v>528</v>
      </c>
      <c r="B530" t="str">
        <f>LEFT(Table3[[#This Row],[EPI_DGN_ANTIC]],1)</f>
        <v>E</v>
      </c>
      <c r="C530" t="str">
        <f>LEFT(Table3[[#This Row],[EPI_DGN_ANTIC]],3)</f>
        <v>EPb</v>
      </c>
      <c r="D530" s="8" t="s">
        <v>1144</v>
      </c>
      <c r="E530" s="7">
        <v>0</v>
      </c>
      <c r="F530" s="24"/>
      <c r="G530" s="24"/>
      <c r="H530" s="10"/>
      <c r="I530" s="10"/>
      <c r="J530" s="7"/>
    </row>
    <row r="531" spans="1:10">
      <c r="A531" s="5">
        <v>529</v>
      </c>
      <c r="B531" t="str">
        <f>LEFT(Table3[[#This Row],[EPI_DGN_ANTIC]],1)</f>
        <v>E</v>
      </c>
      <c r="C531" t="str">
        <f>LEFT(Table3[[#This Row],[EPI_DGN_ANTIC]],2)</f>
        <v>E</v>
      </c>
      <c r="D531" s="8" t="s">
        <v>10</v>
      </c>
      <c r="E531" s="7">
        <v>1</v>
      </c>
      <c r="F531" s="24" t="s">
        <v>81</v>
      </c>
      <c r="G531" s="24"/>
      <c r="H531" s="10"/>
      <c r="I531" s="10"/>
      <c r="J531" s="7"/>
    </row>
    <row r="532" spans="1:10">
      <c r="A532" s="5">
        <v>530</v>
      </c>
      <c r="B532" t="str">
        <f>LEFT(Table3[[#This Row],[EPI_DGN_ANTIC]],1)</f>
        <v>E</v>
      </c>
      <c r="C532" t="str">
        <f>LEFT(Table3[[#This Row],[EPI_DGN_ANTIC]],3)</f>
        <v>EPc</v>
      </c>
      <c r="D532" s="8" t="s">
        <v>1145</v>
      </c>
      <c r="E532" s="7">
        <v>0</v>
      </c>
      <c r="F532" s="24"/>
      <c r="G532" s="24"/>
      <c r="H532" s="10"/>
      <c r="I532" s="10"/>
      <c r="J532" s="7"/>
    </row>
    <row r="533" spans="1:10">
      <c r="A533" s="5">
        <v>531</v>
      </c>
      <c r="B533" t="str">
        <f>LEFT(Table3[[#This Row],[EPI_DGN_ANTIC]],1)</f>
        <v>E</v>
      </c>
      <c r="C533" t="str">
        <f>LEFT(Table3[[#This Row],[EPI_DGN_ANTIC]],3)</f>
        <v>EPg</v>
      </c>
      <c r="D533" s="8" t="s">
        <v>1146</v>
      </c>
      <c r="E533" s="7">
        <v>0</v>
      </c>
      <c r="F533" s="24"/>
      <c r="G533" s="24"/>
      <c r="H533" s="10"/>
      <c r="I533" s="10"/>
      <c r="J533" s="7"/>
    </row>
    <row r="534" spans="1:10">
      <c r="A534" s="5">
        <v>532</v>
      </c>
      <c r="B534" t="str">
        <f>LEFT(Table3[[#This Row],[EPI_DGN_ANTIC]],1)</f>
        <v>E</v>
      </c>
      <c r="C534" t="str">
        <f>LEFT(Table3[[#This Row],[EPI_DGN_ANTIC]],3)</f>
        <v>EPl</v>
      </c>
      <c r="D534" s="8" t="s">
        <v>1147</v>
      </c>
      <c r="E534" s="7">
        <v>0</v>
      </c>
      <c r="F534" s="24"/>
      <c r="G534" s="24"/>
      <c r="H534" s="10"/>
      <c r="I534" s="10"/>
      <c r="J534" s="7"/>
    </row>
    <row r="535" spans="1:10">
      <c r="A535" s="5">
        <v>533</v>
      </c>
      <c r="B535" t="str">
        <f>LEFT(Table3[[#This Row],[EPI_DGN_ANTIC]],1)</f>
        <v>E</v>
      </c>
      <c r="C535" t="str">
        <f>LEFT(Table3[[#This Row],[EPI_DGN_ANTIC]],3)</f>
        <v>EPm</v>
      </c>
      <c r="D535" s="8" t="s">
        <v>1148</v>
      </c>
      <c r="E535" s="7">
        <v>0</v>
      </c>
      <c r="F535" s="24"/>
      <c r="G535" s="24"/>
      <c r="H535" s="10"/>
      <c r="I535" s="10"/>
      <c r="J535" s="7"/>
    </row>
    <row r="536" spans="1:10">
      <c r="A536" s="5">
        <v>534</v>
      </c>
      <c r="B536" t="str">
        <f>LEFT(Table3[[#This Row],[EPI_DGN_ANTIC]],1)</f>
        <v>E</v>
      </c>
      <c r="C536" t="str">
        <f>LEFT(Table3[[#This Row],[EPI_DGN_ANTIC]],3)</f>
        <v>EPO</v>
      </c>
      <c r="D536" s="8" t="s">
        <v>1104</v>
      </c>
      <c r="E536" s="7">
        <v>1</v>
      </c>
      <c r="F536" s="24" t="s">
        <v>1096</v>
      </c>
      <c r="G536" s="24"/>
      <c r="H536" s="10"/>
      <c r="I536" s="10"/>
      <c r="J536" s="7"/>
    </row>
    <row r="537" spans="1:10">
      <c r="A537" s="5">
        <v>535</v>
      </c>
      <c r="B537" t="str">
        <f>LEFT(Table3[[#This Row],[EPI_DGN_ANTIC]],1)</f>
        <v>E</v>
      </c>
      <c r="C537" t="str">
        <f>LEFT(Table3[[#This Row],[EPI_DGN_ANTIC]],2)</f>
        <v>ES</v>
      </c>
      <c r="D537" s="8" t="s">
        <v>1149</v>
      </c>
      <c r="E537" s="7">
        <v>0</v>
      </c>
      <c r="F537" s="24"/>
      <c r="G537" s="24"/>
      <c r="H537" s="10"/>
      <c r="I537" s="10"/>
      <c r="J537" s="7"/>
    </row>
    <row r="538" spans="1:10">
      <c r="A538" s="5">
        <v>536</v>
      </c>
      <c r="B538" t="str">
        <f>LEFT(Table3[[#This Row],[EPI_DGN_ANTIC]],1)</f>
        <v>A</v>
      </c>
      <c r="C538" t="str">
        <f>LEFT(Table3[[#This Row],[EPI_DGN_ANTIC]],2)</f>
        <v>A</v>
      </c>
      <c r="D538" s="8" t="s">
        <v>1150</v>
      </c>
      <c r="E538" s="7">
        <v>0</v>
      </c>
      <c r="F538" s="24"/>
      <c r="G538" s="24"/>
      <c r="H538" s="10"/>
      <c r="I538" s="10"/>
      <c r="J538" s="7"/>
    </row>
    <row r="539" spans="1:10">
      <c r="A539" s="5">
        <v>537</v>
      </c>
      <c r="B539" t="str">
        <f>LEFT(Table3[[#This Row],[EPI_DGN_ANTIC]],1)</f>
        <v>a</v>
      </c>
      <c r="C539" t="str">
        <f>LEFT(Table3[[#This Row],[EPI_DGN_ANTIC]],2)</f>
        <v>ah</v>
      </c>
      <c r="D539" s="8" t="s">
        <v>1151</v>
      </c>
      <c r="E539" s="7">
        <v>0</v>
      </c>
      <c r="F539" s="24"/>
      <c r="G539" s="24"/>
      <c r="H539" s="10"/>
      <c r="I539" s="10"/>
      <c r="J539" s="7"/>
    </row>
    <row r="540" spans="1:10">
      <c r="A540" s="5">
        <v>538</v>
      </c>
      <c r="B540" t="s">
        <v>1150</v>
      </c>
      <c r="C540" t="str">
        <f>LEFT(Table3[[#This Row],[EPI_DGN_ANTIC]],2)</f>
        <v>ah</v>
      </c>
      <c r="D540" s="8" t="s">
        <v>1151</v>
      </c>
      <c r="E540" s="7">
        <v>1</v>
      </c>
      <c r="F540" s="24" t="s">
        <v>1152</v>
      </c>
      <c r="G540" s="24"/>
      <c r="H540" s="10"/>
      <c r="I540" s="10"/>
      <c r="J540" s="7"/>
    </row>
    <row r="541" spans="1:10">
      <c r="A541" s="5">
        <v>539</v>
      </c>
      <c r="B541" t="str">
        <f>LEFT(Table3[[#This Row],[EPI_DGN_ANTIC]],1)</f>
        <v>J</v>
      </c>
      <c r="C541" t="str">
        <f>LEFT(Table3[[#This Row],[EPI_DGN_ANTIC]],2)</f>
        <v>JL</v>
      </c>
      <c r="D541" s="8" t="s">
        <v>1153</v>
      </c>
      <c r="E541" s="7">
        <v>1</v>
      </c>
      <c r="F541" s="24" t="s">
        <v>1154</v>
      </c>
      <c r="G541" s="24"/>
      <c r="H541" s="10"/>
      <c r="I541" s="10"/>
      <c r="J541" s="7"/>
    </row>
    <row r="542" spans="1:10">
      <c r="A542" s="5">
        <v>540</v>
      </c>
      <c r="B542" t="str">
        <f>LEFT(Table3[[#This Row],[EPI_DGN_ANTIC]],1)</f>
        <v>C</v>
      </c>
      <c r="C542" t="str">
        <f>LEFT(Table3[[#This Row],[EPI_DGN_ANTIC]],3)</f>
        <v>CaM</v>
      </c>
      <c r="D542" s="8" t="s">
        <v>1155</v>
      </c>
      <c r="E542" s="7">
        <v>1</v>
      </c>
      <c r="F542" s="24" t="s">
        <v>669</v>
      </c>
      <c r="G542" s="24"/>
      <c r="H542" s="10"/>
      <c r="I542" s="10"/>
      <c r="J542" s="7"/>
    </row>
    <row r="543" spans="1:10">
      <c r="A543" s="5">
        <v>541</v>
      </c>
      <c r="B543" t="str">
        <f>LEFT(Table3[[#This Row],[EPI_DGN_ANTIC]],1)</f>
        <v>D</v>
      </c>
      <c r="C543" t="s">
        <v>622</v>
      </c>
      <c r="D543" s="8" t="s">
        <v>622</v>
      </c>
      <c r="E543" s="7">
        <v>1</v>
      </c>
      <c r="F543" s="24" t="s">
        <v>1156</v>
      </c>
      <c r="G543" s="24"/>
      <c r="H543" s="10"/>
      <c r="I543" s="10"/>
      <c r="J543" s="7"/>
    </row>
    <row r="544" spans="1:10">
      <c r="A544" s="5">
        <v>542</v>
      </c>
      <c r="B544" t="str">
        <f>LEFT(Table3[[#This Row],[EPI_DGN_ANTIC]],1)</f>
        <v>D</v>
      </c>
      <c r="C544" t="str">
        <f>LEFT(Table3[[#This Row],[EPI_DGN_ANTIC]],2)</f>
        <v>Dg</v>
      </c>
      <c r="D544" s="8" t="s">
        <v>1157</v>
      </c>
      <c r="E544" s="7">
        <v>0</v>
      </c>
      <c r="F544" s="24"/>
      <c r="G544" s="24"/>
      <c r="H544" s="10"/>
      <c r="I544" s="10"/>
      <c r="J544" s="7"/>
    </row>
    <row r="545" spans="1:10">
      <c r="A545" s="5">
        <v>543</v>
      </c>
      <c r="B545" t="str">
        <f>LEFT(Table3[[#This Row],[EPI_DGN_ANTIC]],1)</f>
        <v>D</v>
      </c>
      <c r="C545" t="str">
        <f>LEFT(Table3[[#This Row],[EPI_DGN_ANTIC]],2)</f>
        <v>Dm</v>
      </c>
      <c r="D545" s="8" t="s">
        <v>1158</v>
      </c>
      <c r="E545" s="7">
        <v>0</v>
      </c>
      <c r="F545" s="24"/>
      <c r="G545" s="24"/>
      <c r="H545" s="10"/>
      <c r="I545" s="10"/>
      <c r="J545" s="7"/>
    </row>
    <row r="546" spans="1:10">
      <c r="A546" s="5">
        <v>544</v>
      </c>
      <c r="B546" t="str">
        <f>LEFT(Table3[[#This Row],[EPI_DGN_ANTIC]],1)</f>
        <v>D</v>
      </c>
      <c r="C546" t="s">
        <v>378</v>
      </c>
      <c r="D546" s="8" t="s">
        <v>378</v>
      </c>
      <c r="E546" s="7">
        <v>1</v>
      </c>
      <c r="F546" s="24" t="s">
        <v>1159</v>
      </c>
      <c r="G546" s="24"/>
      <c r="H546" s="10"/>
      <c r="I546" s="10"/>
      <c r="J546" s="7"/>
    </row>
    <row r="547" spans="1:10">
      <c r="A547" s="5">
        <v>545</v>
      </c>
      <c r="B547" t="str">
        <f>LEFT(Table3[[#This Row],[EPI_DGN_ANTIC]],1)</f>
        <v>D</v>
      </c>
      <c r="C547" t="str">
        <f>LEFT(Table3[[#This Row],[EPI_DGN_ANTIC]],2)</f>
        <v>Dp</v>
      </c>
      <c r="D547" s="8" t="s">
        <v>1160</v>
      </c>
      <c r="E547" s="7">
        <v>1</v>
      </c>
      <c r="F547" s="24" t="s">
        <v>1161</v>
      </c>
      <c r="G547" s="24"/>
      <c r="H547" s="10"/>
      <c r="I547" s="10"/>
      <c r="J547" s="7"/>
    </row>
    <row r="548" spans="1:10">
      <c r="A548" s="5">
        <v>546</v>
      </c>
      <c r="B548" t="str">
        <f>LEFT(Table3[[#This Row],[EPI_DGN_ANTIC]],1)</f>
        <v>D</v>
      </c>
      <c r="C548" t="str">
        <f>LEFT(Table3[[#This Row],[EPI_DGN_ANTIC]],2)</f>
        <v>Dp</v>
      </c>
      <c r="D548" s="8" t="s">
        <v>1162</v>
      </c>
      <c r="E548" s="7">
        <v>1</v>
      </c>
      <c r="F548" s="24" t="s">
        <v>1161</v>
      </c>
      <c r="G548" s="24"/>
      <c r="H548" s="10"/>
      <c r="I548" s="10"/>
      <c r="J548" s="7"/>
    </row>
    <row r="549" spans="1:10">
      <c r="A549" s="5">
        <v>547</v>
      </c>
      <c r="B549" t="str">
        <f>LEFT(Table3[[#This Row],[EPI_DGN_ANTIC]],1)</f>
        <v>D</v>
      </c>
      <c r="D549" s="8" t="s">
        <v>1163</v>
      </c>
      <c r="E549" s="7">
        <v>1</v>
      </c>
      <c r="F549" s="24" t="s">
        <v>624</v>
      </c>
      <c r="G549" s="24"/>
      <c r="H549" s="10"/>
      <c r="I549" s="10"/>
      <c r="J549" s="7"/>
    </row>
    <row r="550" spans="1:10">
      <c r="A550" s="5">
        <v>548</v>
      </c>
      <c r="B550" t="str">
        <f>LEFT(Table3[[#This Row],[EPI_DGN_ANTIC]],1)</f>
        <v>D</v>
      </c>
      <c r="C550" t="str">
        <f>LEFT(Table3[[#This Row],[EPI_DGN_ANTIC]],2)</f>
        <v>Dp</v>
      </c>
      <c r="D550" s="8" t="s">
        <v>1164</v>
      </c>
      <c r="E550" s="7">
        <v>0</v>
      </c>
      <c r="F550" s="24"/>
      <c r="G550" s="24"/>
      <c r="H550" s="10"/>
      <c r="I550" s="10"/>
      <c r="J550" s="7"/>
    </row>
    <row r="551" spans="1:10">
      <c r="A551" s="5">
        <v>549</v>
      </c>
      <c r="B551" t="str">
        <f>LEFT(Table3[[#This Row],[EPI_DGN_ANTIC]],1)</f>
        <v>D</v>
      </c>
      <c r="C551" t="str">
        <f>LEFT(Table3[[#This Row],[EPI_DGN_ANTIC]],2)</f>
        <v>Dq</v>
      </c>
      <c r="D551" s="8" t="s">
        <v>1165</v>
      </c>
      <c r="E551" s="7">
        <v>0</v>
      </c>
      <c r="F551" s="24"/>
      <c r="G551" s="24"/>
      <c r="H551" s="10"/>
      <c r="I551" s="10"/>
      <c r="J551" s="7"/>
    </row>
    <row r="552" spans="1:10">
      <c r="A552" s="5">
        <v>550</v>
      </c>
      <c r="B552" t="str">
        <f>LEFT(Table3[[#This Row],[EPI_DGN_ANTIC]],1)</f>
        <v>D</v>
      </c>
      <c r="C552" t="str">
        <f>LEFT(Table3[[#This Row],[EPI_DGN_ANTIC]],2)</f>
        <v>De</v>
      </c>
      <c r="D552" s="8" t="s">
        <v>1166</v>
      </c>
      <c r="E552" s="7">
        <v>1</v>
      </c>
      <c r="F552" s="24" t="s">
        <v>1167</v>
      </c>
      <c r="G552" s="24"/>
      <c r="H552" s="10"/>
      <c r="I552" s="10"/>
      <c r="J552" s="7"/>
    </row>
    <row r="553" spans="1:10">
      <c r="A553" s="5">
        <v>551</v>
      </c>
      <c r="B553" t="str">
        <f>LEFT(Table3[[#This Row],[EPI_DGN_ANTIC]],1)</f>
        <v>D</v>
      </c>
      <c r="C553" t="str">
        <f>LEFT(Table3[[#This Row],[EPI_DGN_ANTIC]],2)</f>
        <v>Dp</v>
      </c>
      <c r="D553" s="8" t="s">
        <v>1168</v>
      </c>
      <c r="E553" s="7">
        <v>1</v>
      </c>
      <c r="F553" s="24" t="s">
        <v>1169</v>
      </c>
      <c r="G553" s="24"/>
      <c r="H553" s="10"/>
      <c r="I553" s="10"/>
      <c r="J553" s="7"/>
    </row>
    <row r="554" spans="1:10">
      <c r="A554" s="5">
        <v>552</v>
      </c>
      <c r="B554" t="str">
        <f>LEFT(Table3[[#This Row],[EPI_DGN_ANTIC]],1)</f>
        <v>D</v>
      </c>
      <c r="C554" t="str">
        <f>LEFT(Table3[[#This Row],[EPI_DGN_ANTIC]],2)</f>
        <v>Dp</v>
      </c>
      <c r="D554" s="8" t="s">
        <v>1170</v>
      </c>
      <c r="E554" s="7">
        <v>1</v>
      </c>
      <c r="F554" s="24" t="s">
        <v>1171</v>
      </c>
      <c r="G554" s="24"/>
      <c r="H554" s="10"/>
      <c r="I554" s="10"/>
      <c r="J554" s="7"/>
    </row>
    <row r="555" spans="1:10">
      <c r="A555" s="5">
        <v>553</v>
      </c>
      <c r="B555" t="str">
        <f>LEFT(Table3[[#This Row],[EPI_DGN_ANTIC]],1)</f>
        <v>D</v>
      </c>
      <c r="C555" t="str">
        <f>LEFT(Table3[[#This Row],[EPI_DGN_ANTIC]],2)</f>
        <v>Dq</v>
      </c>
      <c r="D555" s="8" t="s">
        <v>1172</v>
      </c>
      <c r="E555" s="7">
        <v>1</v>
      </c>
      <c r="F555" s="24" t="s">
        <v>624</v>
      </c>
      <c r="G555" s="24"/>
      <c r="H555" s="10"/>
      <c r="I555" s="10"/>
      <c r="J555" s="7"/>
    </row>
    <row r="556" spans="1:10">
      <c r="A556" s="5">
        <v>554</v>
      </c>
      <c r="B556" t="s">
        <v>229</v>
      </c>
      <c r="C556" t="s">
        <v>667</v>
      </c>
      <c r="D556" s="8" t="s">
        <v>1173</v>
      </c>
      <c r="E556" s="7">
        <v>1</v>
      </c>
      <c r="F556" s="24" t="s">
        <v>683</v>
      </c>
      <c r="G556" s="24"/>
      <c r="H556" s="10"/>
      <c r="I556" s="10"/>
      <c r="J556" s="7"/>
    </row>
    <row r="557" spans="1:10">
      <c r="A557" s="5">
        <v>555</v>
      </c>
      <c r="B557" t="s">
        <v>378</v>
      </c>
      <c r="C557" t="s">
        <v>1174</v>
      </c>
      <c r="D557" s="8" t="s">
        <v>1175</v>
      </c>
      <c r="E557" s="7">
        <v>1</v>
      </c>
      <c r="F557" s="24" t="s">
        <v>1167</v>
      </c>
      <c r="G557" s="24"/>
      <c r="H557" s="10"/>
      <c r="I557" s="10"/>
      <c r="J557" s="7"/>
    </row>
    <row r="558" spans="1:10">
      <c r="A558" s="5">
        <v>556</v>
      </c>
      <c r="B558" t="str">
        <f>LEFT(Table3[[#This Row],[EPI_DGN_ANTIC]],1)</f>
        <v>E</v>
      </c>
      <c r="C558" t="str">
        <f>LEFT(Table3[[#This Row],[EPI_DGN_ANTIC]],3)</f>
        <v>EBc</v>
      </c>
      <c r="D558" s="8" t="s">
        <v>1176</v>
      </c>
      <c r="E558" s="7">
        <v>1</v>
      </c>
      <c r="F558" s="24" t="s">
        <v>1053</v>
      </c>
      <c r="G558" s="24"/>
      <c r="H558" s="10"/>
      <c r="I558" s="10"/>
      <c r="J558" s="7"/>
    </row>
    <row r="559" spans="1:10">
      <c r="A559" s="5">
        <v>557</v>
      </c>
      <c r="B559" t="str">
        <f>LEFT(Table3[[#This Row],[EPI_DGN_ANTIC]],1)</f>
        <v>E</v>
      </c>
      <c r="C559" t="str">
        <f>LEFT(Table3[[#This Row],[EPI_DGN_ANTIC]],3)</f>
        <v>EBg</v>
      </c>
      <c r="D559" s="8" t="s">
        <v>1177</v>
      </c>
      <c r="E559" s="7">
        <v>1</v>
      </c>
      <c r="F559" s="24" t="s">
        <v>1178</v>
      </c>
      <c r="G559" s="24"/>
      <c r="H559" s="10"/>
      <c r="I559" s="10"/>
      <c r="J559" s="7"/>
    </row>
    <row r="560" spans="1:10">
      <c r="A560" s="5">
        <v>558</v>
      </c>
      <c r="B560" t="str">
        <f>LEFT(Table3[[#This Row],[EPI_DGN_ANTIC]],1)</f>
        <v>E</v>
      </c>
      <c r="C560" t="str">
        <f>LEFT(Table3[[#This Row],[EPI_DGN_ANTIC]],3)</f>
        <v>EBg</v>
      </c>
      <c r="D560" s="8" t="s">
        <v>1179</v>
      </c>
      <c r="E560" s="7">
        <v>1</v>
      </c>
      <c r="F560" s="24" t="s">
        <v>1180</v>
      </c>
      <c r="G560" s="24"/>
      <c r="H560" s="10"/>
      <c r="I560" s="10"/>
      <c r="J560" s="7"/>
    </row>
    <row r="561" spans="1:10">
      <c r="A561" s="5">
        <v>559</v>
      </c>
      <c r="B561" t="str">
        <f>LEFT(Table3[[#This Row],[EPI_DGN_ANTIC]],1)</f>
        <v>G</v>
      </c>
      <c r="C561" t="str">
        <f>LEFT(Table3[[#This Row],[EPI_DGN_ANTIC]],2)</f>
        <v>Gg</v>
      </c>
      <c r="D561" s="8" t="s">
        <v>1181</v>
      </c>
      <c r="E561" s="7">
        <v>1</v>
      </c>
      <c r="F561" s="24" t="s">
        <v>1182</v>
      </c>
      <c r="G561" s="24"/>
      <c r="H561" s="10"/>
      <c r="I561" s="10"/>
      <c r="J561" s="7"/>
    </row>
    <row r="562" spans="1:10">
      <c r="A562" s="5">
        <v>560</v>
      </c>
      <c r="B562" t="str">
        <f>LEFT(Table3[[#This Row],[EPI_DGN_ANTIC]],1)</f>
        <v>G</v>
      </c>
      <c r="C562" t="str">
        <f>LEFT(Table3[[#This Row],[EPI_DGN_ANTIC]],2)</f>
        <v>Gg</v>
      </c>
      <c r="D562" s="8" t="s">
        <v>1183</v>
      </c>
      <c r="E562" s="7">
        <v>1</v>
      </c>
      <c r="F562" s="24" t="s">
        <v>1184</v>
      </c>
      <c r="G562" s="24"/>
      <c r="H562" s="10"/>
      <c r="I562" s="10"/>
      <c r="J562" s="7"/>
    </row>
    <row r="563" spans="1:10">
      <c r="A563" s="5">
        <v>561</v>
      </c>
      <c r="B563" t="str">
        <f>LEFT(Table3[[#This Row],[EPI_DGN_ANTIC]],1)</f>
        <v>G</v>
      </c>
      <c r="C563" t="str">
        <f>LEFT(Table3[[#This Row],[EPI_DGN_ANTIC]],2)</f>
        <v>Gg</v>
      </c>
      <c r="D563" s="8" t="s">
        <v>1185</v>
      </c>
      <c r="E563" s="7">
        <v>1</v>
      </c>
      <c r="F563" s="24" t="s">
        <v>1186</v>
      </c>
      <c r="G563" s="24"/>
      <c r="H563" s="10"/>
      <c r="I563" s="10"/>
      <c r="J563" s="7"/>
    </row>
    <row r="564" spans="1:10">
      <c r="A564" s="5">
        <v>562</v>
      </c>
      <c r="B564" t="str">
        <f>LEFT(Table3[[#This Row],[EPI_DGN_ANTIC]],1)</f>
        <v>G</v>
      </c>
      <c r="C564" t="str">
        <f>LEFT(Table3[[#This Row],[EPI_DGN_ANTIC]],2)</f>
        <v>Gm</v>
      </c>
      <c r="D564" s="8" t="s">
        <v>1187</v>
      </c>
      <c r="E564" s="7">
        <v>1</v>
      </c>
      <c r="F564" s="24" t="s">
        <v>706</v>
      </c>
      <c r="G564" s="10" t="s">
        <v>90</v>
      </c>
      <c r="H564" s="10"/>
      <c r="I564" s="10"/>
      <c r="J564" s="7"/>
    </row>
    <row r="565" spans="1:10">
      <c r="A565" s="5">
        <v>563</v>
      </c>
      <c r="B565" t="str">
        <f>LEFT(Table3[[#This Row],[EPI_DGN_ANTIC]],1)</f>
        <v>G</v>
      </c>
      <c r="C565" t="str">
        <f>LEFT(Table3[[#This Row],[EPI_DGN_ANTIC]],2)</f>
        <v>Gt</v>
      </c>
      <c r="D565" s="8" t="s">
        <v>1188</v>
      </c>
      <c r="E565" s="7">
        <v>1</v>
      </c>
      <c r="F565" s="24" t="s">
        <v>946</v>
      </c>
      <c r="G565" s="24"/>
      <c r="H565" s="10"/>
      <c r="I565" s="10"/>
      <c r="J565" s="7"/>
    </row>
    <row r="566" spans="1:10">
      <c r="A566" s="5">
        <v>564</v>
      </c>
      <c r="B566" t="str">
        <f>LEFT(Table3[[#This Row],[EPI_DGN_ANTIC]],1)</f>
        <v>G</v>
      </c>
      <c r="C566" t="str">
        <f>LEFT(Table3[[#This Row],[EPI_DGN_ANTIC]],2)</f>
        <v>Gt</v>
      </c>
      <c r="D566" s="8" t="s">
        <v>1189</v>
      </c>
      <c r="E566" s="7">
        <v>1</v>
      </c>
      <c r="F566" s="24" t="s">
        <v>1190</v>
      </c>
      <c r="G566" s="24" t="s">
        <v>486</v>
      </c>
      <c r="H566" s="10"/>
      <c r="I566" s="10"/>
      <c r="J566" s="7"/>
    </row>
    <row r="567" spans="1:10">
      <c r="A567" s="5">
        <v>565</v>
      </c>
      <c r="B567" t="str">
        <f>LEFT(Table3[[#This Row],[EPI_DGN_ANTIC]],1)</f>
        <v>C</v>
      </c>
      <c r="C567" t="str">
        <f>LEFT(Table3[[#This Row],[EPI_DGN_ANTIC]],3)</f>
        <v>CAp</v>
      </c>
      <c r="D567" s="8" t="s">
        <v>1191</v>
      </c>
      <c r="E567" s="7">
        <v>1</v>
      </c>
      <c r="F567" s="24" t="s">
        <v>1192</v>
      </c>
      <c r="G567" s="24"/>
      <c r="H567" s="10"/>
      <c r="I567" s="10"/>
      <c r="J567" s="7"/>
    </row>
    <row r="568" spans="1:10">
      <c r="A568" s="5">
        <v>566</v>
      </c>
      <c r="B568" t="str">
        <f>LEFT(Table3[[#This Row],[EPI_DGN_ANTIC]],1)</f>
        <v>C</v>
      </c>
      <c r="C568" t="str">
        <f>LEFT(Table3[[#This Row],[EPI_DGN_ANTIC]],2)</f>
        <v>CA</v>
      </c>
      <c r="D568" s="8" t="s">
        <v>968</v>
      </c>
      <c r="E568" s="7">
        <v>1</v>
      </c>
      <c r="F568" s="24" t="s">
        <v>1193</v>
      </c>
      <c r="G568" s="24"/>
      <c r="H568" s="10"/>
      <c r="I568" s="10"/>
      <c r="J568" s="7"/>
    </row>
    <row r="569" spans="1:10">
      <c r="A569" s="5">
        <v>567</v>
      </c>
      <c r="B569" t="str">
        <f>LEFT(Table3[[#This Row],[EPI_DGN_ANTIC]],1)</f>
        <v>E</v>
      </c>
      <c r="C569" t="str">
        <f>LEFT(Table3[[#This Row],[EPI_DGN_ANTIC]],3)</f>
        <v>EBc</v>
      </c>
      <c r="D569" s="8" t="s">
        <v>1194</v>
      </c>
      <c r="E569" s="7">
        <v>1</v>
      </c>
      <c r="F569" s="24" t="s">
        <v>1195</v>
      </c>
      <c r="G569" s="24"/>
      <c r="H569" s="10"/>
      <c r="I569" s="10"/>
      <c r="J569" s="7"/>
    </row>
    <row r="570" spans="1:10">
      <c r="A570" s="5">
        <v>568</v>
      </c>
      <c r="B570" t="str">
        <f>LEFT(Table3[[#This Row],[EPI_DGN_ANTIC]],1)</f>
        <v>G</v>
      </c>
      <c r="C570" t="str">
        <f>LEFT(Table3[[#This Row],[EPI_DGN_ANTIC]],2)</f>
        <v>Gl</v>
      </c>
      <c r="D570" s="8" t="s">
        <v>1196</v>
      </c>
      <c r="E570" s="7">
        <v>1</v>
      </c>
      <c r="F570" s="24" t="s">
        <v>1197</v>
      </c>
      <c r="G570" s="10" t="s">
        <v>90</v>
      </c>
      <c r="H570" s="10"/>
      <c r="I570" s="10"/>
      <c r="J570" s="7"/>
    </row>
    <row r="571" spans="1:10">
      <c r="A571" s="5">
        <v>569</v>
      </c>
      <c r="B571" t="str">
        <f>LEFT(Table3[[#This Row],[EPI_DGN_ANTIC]],1)</f>
        <v>K</v>
      </c>
      <c r="C571" t="str">
        <f>LEFT(Table3[[#This Row],[EPI_DGN_ANTIC]],3)</f>
        <v>KCo</v>
      </c>
      <c r="D571" s="8" t="s">
        <v>1198</v>
      </c>
      <c r="E571" s="7">
        <v>1</v>
      </c>
      <c r="F571" s="24" t="s">
        <v>506</v>
      </c>
      <c r="G571" s="10" t="s">
        <v>90</v>
      </c>
      <c r="H571" s="10"/>
      <c r="I571" s="10"/>
      <c r="J571" s="7"/>
    </row>
    <row r="572" spans="1:10">
      <c r="A572" s="5">
        <v>570</v>
      </c>
      <c r="B572" t="str">
        <f>LEFT(Table3[[#This Row],[EPI_DGN_ANTIC]],1)</f>
        <v>K</v>
      </c>
      <c r="C572" t="str">
        <f>LEFT(Table3[[#This Row],[EPI_DGN_ANTIC]],2)</f>
        <v>KS</v>
      </c>
      <c r="D572" s="8" t="s">
        <v>1199</v>
      </c>
      <c r="E572" s="7">
        <v>1</v>
      </c>
      <c r="F572" s="10" t="s">
        <v>213</v>
      </c>
      <c r="G572" s="10" t="s">
        <v>90</v>
      </c>
      <c r="H572" s="10"/>
      <c r="I572" s="10"/>
      <c r="J572" s="7"/>
    </row>
    <row r="573" spans="1:10">
      <c r="A573" s="5">
        <v>571</v>
      </c>
      <c r="B573" t="str">
        <f>LEFT(Table3[[#This Row],[EPI_DGN_ANTIC]],1)</f>
        <v>E</v>
      </c>
      <c r="C573" t="str">
        <f>LEFT(Table3[[#This Row],[EPI_DGN_ANTIC]],3)</f>
        <v>EBc</v>
      </c>
      <c r="D573" s="8" t="s">
        <v>1200</v>
      </c>
      <c r="E573" s="7">
        <v>1</v>
      </c>
      <c r="F573" s="24" t="s">
        <v>1201</v>
      </c>
      <c r="G573" s="24"/>
      <c r="H573" s="10"/>
      <c r="I573" s="10"/>
      <c r="J573" s="7"/>
    </row>
    <row r="574" spans="1:10">
      <c r="A574" s="5">
        <v>572</v>
      </c>
      <c r="B574" t="str">
        <f>LEFT(Table3[[#This Row],[EPI_DGN_ANTIC]],1)</f>
        <v>E</v>
      </c>
      <c r="C574" t="s">
        <v>1036</v>
      </c>
      <c r="D574" s="8" t="s">
        <v>1202</v>
      </c>
      <c r="E574" s="7">
        <v>1</v>
      </c>
      <c r="F574" s="24" t="s">
        <v>1008</v>
      </c>
      <c r="G574" s="24"/>
      <c r="H574" s="10"/>
      <c r="I574" s="10"/>
      <c r="J574" s="7"/>
    </row>
    <row r="575" spans="1:10">
      <c r="A575" s="5">
        <v>573</v>
      </c>
      <c r="B575" t="str">
        <f>LEFT(Table3[[#This Row],[EPI_DGN_ANTIC]],1)</f>
        <v>E</v>
      </c>
      <c r="C575" t="str">
        <f>LEFT(Table3[[#This Row],[EPI_DGN_ANTIC]],3)</f>
        <v>ELc</v>
      </c>
      <c r="D575" s="8" t="s">
        <v>1203</v>
      </c>
      <c r="E575" s="7">
        <v>1</v>
      </c>
      <c r="F575" s="24" t="s">
        <v>1204</v>
      </c>
      <c r="G575" s="24"/>
      <c r="H575" s="10"/>
      <c r="I575" s="10"/>
      <c r="J575" s="7"/>
    </row>
    <row r="576" spans="1:10">
      <c r="A576" s="5">
        <v>574</v>
      </c>
      <c r="B576" t="str">
        <f>LEFT(Table3[[#This Row],[EPI_DGN_ANTIC]],1)</f>
        <v>E</v>
      </c>
      <c r="C576" t="str">
        <f>LEFT(Table3[[#This Row],[EPI_DGN_ANTIC]],3)</f>
        <v>ELm</v>
      </c>
      <c r="D576" s="8" t="s">
        <v>1205</v>
      </c>
      <c r="E576" s="7">
        <v>1</v>
      </c>
      <c r="F576" s="24" t="s">
        <v>1206</v>
      </c>
      <c r="G576" s="24"/>
      <c r="H576" s="10"/>
      <c r="I576" s="10"/>
      <c r="J576" s="7"/>
    </row>
    <row r="577" spans="1:10">
      <c r="A577" s="5">
        <v>575</v>
      </c>
      <c r="B577" t="str">
        <f>LEFT(Table3[[#This Row],[EPI_DGN_ANTIC]],1)</f>
        <v>E</v>
      </c>
      <c r="C577" t="str">
        <f>LEFT(Table3[[#This Row],[EPI_DGN_ANTIC]],3)</f>
        <v>EPg</v>
      </c>
      <c r="D577" s="8" t="s">
        <v>1207</v>
      </c>
      <c r="E577" s="7">
        <v>1</v>
      </c>
      <c r="F577" s="24" t="s">
        <v>1208</v>
      </c>
      <c r="G577" s="24"/>
      <c r="H577" s="10"/>
      <c r="I577" s="10"/>
      <c r="J577" s="7"/>
    </row>
    <row r="578" spans="1:10">
      <c r="A578" s="5">
        <v>576</v>
      </c>
      <c r="B578" t="str">
        <f>LEFT(Table3[[#This Row],[EPI_DGN_ANTIC]],1)</f>
        <v>E</v>
      </c>
      <c r="C578" t="str">
        <f>LEFT(Table3[[#This Row],[EPI_DGN_ANTIC]],3)</f>
        <v>EPl</v>
      </c>
      <c r="D578" s="8" t="s">
        <v>1147</v>
      </c>
      <c r="E578" s="7">
        <v>1</v>
      </c>
      <c r="F578" s="24" t="s">
        <v>1209</v>
      </c>
      <c r="G578" s="24"/>
      <c r="H578" s="10"/>
      <c r="I578" s="10"/>
      <c r="J578" s="7"/>
    </row>
    <row r="579" spans="1:10">
      <c r="A579" s="5">
        <v>577</v>
      </c>
      <c r="B579" t="str">
        <f>LEFT(Table3[[#This Row],[EPI_DGN_ANTIC]],1)</f>
        <v>E</v>
      </c>
      <c r="C579" t="str">
        <f>LEFT(Table3[[#This Row],[EPI_DGN_ANTIC]],3)</f>
        <v>EPl</v>
      </c>
      <c r="D579" s="8" t="s">
        <v>1210</v>
      </c>
      <c r="E579" s="7">
        <v>1</v>
      </c>
      <c r="F579" s="24" t="s">
        <v>1211</v>
      </c>
      <c r="G579" s="24"/>
      <c r="H579" s="10"/>
      <c r="I579" s="10"/>
      <c r="J579" s="7"/>
    </row>
    <row r="580" spans="1:10">
      <c r="A580" s="5">
        <v>578</v>
      </c>
      <c r="B580" t="str">
        <f>LEFT(Table3[[#This Row],[EPI_DGN_ANTIC]],1)</f>
        <v>D</v>
      </c>
      <c r="C580" t="str">
        <f>LEFT(Table3[[#This Row],[EPI_DGN_ANTIC]],2)</f>
        <v>Dd</v>
      </c>
      <c r="D580" s="8" t="s">
        <v>1212</v>
      </c>
      <c r="E580" s="7">
        <v>1</v>
      </c>
      <c r="F580" s="24" t="s">
        <v>1213</v>
      </c>
      <c r="G580" s="24"/>
      <c r="H580" s="10"/>
      <c r="I580" s="10"/>
      <c r="J580" s="7"/>
    </row>
    <row r="581" spans="1:10">
      <c r="A581" s="5">
        <v>579</v>
      </c>
      <c r="B581" t="str">
        <f>LEFT(Table3[[#This Row],[EPI_DGN_ANTIC]],1)</f>
        <v>C</v>
      </c>
      <c r="C581" t="str">
        <f>LEFT(Table3[[#This Row],[EPI_DGN_ANTIC]],2)</f>
        <v>CI</v>
      </c>
      <c r="D581" s="8" t="s">
        <v>1214</v>
      </c>
      <c r="E581" s="7">
        <v>0</v>
      </c>
      <c r="F581" s="24"/>
      <c r="G581" s="24"/>
      <c r="H581" s="10"/>
      <c r="I581" s="10"/>
      <c r="J581" s="7"/>
    </row>
    <row r="582" spans="1:10">
      <c r="A582" s="5">
        <v>580</v>
      </c>
      <c r="B582" t="str">
        <f>LEFT(Table3[[#This Row],[EPI_DGN_ANTIC]],1)</f>
        <v>C</v>
      </c>
      <c r="C582" t="str">
        <f>LEFT(Table3[[#This Row],[EPI_DGN_ANTIC]],2)</f>
        <v>CI</v>
      </c>
      <c r="D582" s="8" t="s">
        <v>1215</v>
      </c>
      <c r="E582" s="7">
        <v>1</v>
      </c>
      <c r="F582" s="24" t="s">
        <v>1216</v>
      </c>
      <c r="G582" s="24"/>
      <c r="H582" s="10"/>
      <c r="I582" s="10"/>
      <c r="J582" s="7"/>
    </row>
    <row r="583" spans="1:10">
      <c r="A583" s="5">
        <v>581</v>
      </c>
      <c r="B583" t="str">
        <f>LEFT(Table3[[#This Row],[EPI_DGN_ANTIC]],1)</f>
        <v>C</v>
      </c>
      <c r="C583" t="str">
        <f>LEFT(Table3[[#This Row],[EPI_DGN_ANTIC]],2)</f>
        <v>CI</v>
      </c>
      <c r="D583" s="8" t="s">
        <v>1217</v>
      </c>
      <c r="E583" s="7">
        <v>1</v>
      </c>
      <c r="F583" s="23" t="s">
        <v>1218</v>
      </c>
      <c r="G583" s="24"/>
      <c r="H583" s="10"/>
      <c r="I583" s="10"/>
      <c r="J583" s="7"/>
    </row>
    <row r="584" spans="1:10">
      <c r="A584" s="5">
        <v>582</v>
      </c>
      <c r="B584" t="str">
        <f>LEFT(Table3[[#This Row],[EPI_DGN_ANTIC]],1)</f>
        <v>C</v>
      </c>
      <c r="C584" t="str">
        <f>LEFT(Table3[[#This Row],[EPI_DGN_ANTIC]],2)</f>
        <v>CI</v>
      </c>
      <c r="D584" s="8" t="s">
        <v>1219</v>
      </c>
      <c r="E584" s="7">
        <v>1</v>
      </c>
      <c r="F584" s="23" t="s">
        <v>1220</v>
      </c>
      <c r="G584" s="24"/>
      <c r="H584" s="10"/>
      <c r="I584" s="10"/>
      <c r="J584" s="7"/>
    </row>
    <row r="585" spans="1:10">
      <c r="A585" s="5">
        <v>583</v>
      </c>
      <c r="B585" t="str">
        <f>LEFT(Table3[[#This Row],[EPI_DGN_ANTIC]],1)</f>
        <v>C</v>
      </c>
      <c r="C585" t="str">
        <f>LEFT(Table3[[#This Row],[EPI_DGN_ANTIC]],2)</f>
        <v>CI</v>
      </c>
      <c r="D585" s="8" t="s">
        <v>1221</v>
      </c>
      <c r="E585" s="7">
        <v>1</v>
      </c>
      <c r="F585" s="24" t="s">
        <v>1222</v>
      </c>
      <c r="G585" s="24"/>
      <c r="H585" s="10"/>
      <c r="I585" s="10"/>
      <c r="J585" s="7"/>
    </row>
    <row r="586" spans="1:10">
      <c r="A586" s="5">
        <v>584</v>
      </c>
      <c r="B586" t="str">
        <f>LEFT(Table3[[#This Row],[EPI_DGN_ANTIC]],1)</f>
        <v>C</v>
      </c>
      <c r="C586" t="str">
        <f>LEFT(Table3[[#This Row],[EPI_DGN_ANTIC]],2)</f>
        <v>CI</v>
      </c>
      <c r="D586" s="8" t="s">
        <v>1223</v>
      </c>
      <c r="E586" s="7">
        <v>1</v>
      </c>
      <c r="F586" s="24" t="s">
        <v>1224</v>
      </c>
      <c r="G586" s="24"/>
      <c r="H586" s="10"/>
      <c r="I586" s="10"/>
      <c r="J586" s="7"/>
    </row>
    <row r="587" spans="1:10">
      <c r="A587" s="5">
        <v>585</v>
      </c>
      <c r="B587" t="str">
        <f>LEFT(Table3[[#This Row],[EPI_DGN_ANTIC]],1)</f>
        <v>J</v>
      </c>
      <c r="C587" t="str">
        <f>LEFT(Table3[[#This Row],[EPI_DGN_ANTIC]],2)</f>
        <v>JM</v>
      </c>
      <c r="D587" s="8" t="s">
        <v>1225</v>
      </c>
      <c r="E587" s="7">
        <v>1</v>
      </c>
      <c r="F587" s="24" t="s">
        <v>1226</v>
      </c>
      <c r="G587" s="24"/>
      <c r="H587" s="10"/>
      <c r="I587" s="10"/>
      <c r="J587" s="7"/>
    </row>
    <row r="588" spans="1:10">
      <c r="A588" s="5">
        <v>586</v>
      </c>
      <c r="B588" t="str">
        <f>LEFT(Table3[[#This Row],[EPI_DGN_ANTIC]],1)</f>
        <v>C</v>
      </c>
      <c r="C588" t="str">
        <f>LEFT(Table3[[#This Row],[EPI_DGN_ANTIC]],2)</f>
        <v>CI</v>
      </c>
      <c r="D588" s="8" t="s">
        <v>1227</v>
      </c>
      <c r="E588" s="7">
        <v>1</v>
      </c>
      <c r="F588" s="24" t="s">
        <v>1228</v>
      </c>
      <c r="G588" s="24"/>
      <c r="H588" s="10"/>
      <c r="I588" s="10"/>
      <c r="J588" s="7"/>
    </row>
    <row r="589" spans="1:10">
      <c r="A589" s="5">
        <v>587</v>
      </c>
      <c r="B589" t="str">
        <f>LEFT(Table3[[#This Row],[EPI_DGN_ANTIC]],1)</f>
        <v>J</v>
      </c>
      <c r="C589" t="str">
        <f>LEFT(Table3[[#This Row],[EPI_DGN_ANTIC]],2)</f>
        <v>JC</v>
      </c>
      <c r="D589" s="8" t="s">
        <v>1229</v>
      </c>
      <c r="E589" s="7">
        <v>1</v>
      </c>
      <c r="F589" s="24" t="s">
        <v>1230</v>
      </c>
      <c r="G589" s="24"/>
      <c r="H589" s="10"/>
      <c r="I589" s="10"/>
      <c r="J589" s="7"/>
    </row>
    <row r="590" spans="1:10">
      <c r="A590" s="5">
        <v>588</v>
      </c>
      <c r="B590" t="str">
        <f>LEFT(Table3[[#This Row],[EPI_DGN_ANTIC]],1)</f>
        <v>J</v>
      </c>
      <c r="C590" t="str">
        <f>LEFT(Table3[[#This Row],[EPI_DGN_ANTIC]],2)</f>
        <v>JS</v>
      </c>
      <c r="D590" s="8" t="s">
        <v>1231</v>
      </c>
      <c r="E590" s="7">
        <v>1</v>
      </c>
      <c r="F590" s="24" t="s">
        <v>1232</v>
      </c>
      <c r="G590" s="24"/>
      <c r="H590" s="10"/>
      <c r="I590" s="10"/>
      <c r="J590" s="7"/>
    </row>
    <row r="591" spans="1:10">
      <c r="A591" s="5">
        <v>589</v>
      </c>
      <c r="B591" t="str">
        <f>LEFT(Table3[[#This Row],[EPI_DGN_ANTIC]],1)</f>
        <v>E</v>
      </c>
      <c r="C591" t="str">
        <f>LEFT(Table3[[#This Row],[EPI_DGN_ANTIC]],3)</f>
        <v>ECl</v>
      </c>
      <c r="D591" s="8" t="s">
        <v>1233</v>
      </c>
      <c r="E591" s="7">
        <v>1</v>
      </c>
      <c r="F591" s="24" t="s">
        <v>98</v>
      </c>
      <c r="G591" s="24"/>
      <c r="H591" s="10"/>
      <c r="I591" s="10"/>
      <c r="J591" s="7"/>
    </row>
    <row r="592" spans="1:10">
      <c r="A592" s="5">
        <v>590</v>
      </c>
      <c r="B592" t="str">
        <f>LEFT(Table3[[#This Row],[EPI_DGN_ANTIC]],1)</f>
        <v>E</v>
      </c>
      <c r="C592" t="str">
        <f>LEFT(Table3[[#This Row],[EPI_DGN_ANTIC]],3)</f>
        <v>ECL</v>
      </c>
      <c r="D592" s="8" t="s">
        <v>1234</v>
      </c>
      <c r="E592" s="7">
        <v>1</v>
      </c>
      <c r="F592" s="24" t="s">
        <v>93</v>
      </c>
      <c r="G592" s="24"/>
      <c r="H592" s="10"/>
      <c r="I592" s="10"/>
      <c r="J592" s="7"/>
    </row>
    <row r="593" spans="1:10">
      <c r="A593" s="5">
        <v>591</v>
      </c>
      <c r="B593" t="str">
        <f>LEFT(Table3[[#This Row],[EPI_DGN_ANTIC]],1)</f>
        <v>E</v>
      </c>
      <c r="C593" t="str">
        <f>LEFT(Table3[[#This Row],[EPI_DGN_ANTIC]],3)</f>
        <v>ECt</v>
      </c>
      <c r="D593" s="8" t="s">
        <v>1235</v>
      </c>
      <c r="E593" s="7">
        <v>1</v>
      </c>
      <c r="F593" s="24" t="s">
        <v>1003</v>
      </c>
      <c r="G593" s="24"/>
      <c r="H593" s="10"/>
      <c r="I593" s="10"/>
      <c r="J593" s="7"/>
    </row>
    <row r="594" spans="1:10">
      <c r="A594" s="5">
        <v>592</v>
      </c>
      <c r="B594" t="str">
        <f>LEFT(Table3[[#This Row],[EPI_DGN_ANTIC]],1)</f>
        <v>E</v>
      </c>
      <c r="C594" t="s">
        <v>1036</v>
      </c>
      <c r="D594" s="8" t="s">
        <v>1236</v>
      </c>
      <c r="E594" s="7">
        <v>1</v>
      </c>
      <c r="F594" s="24" t="s">
        <v>1237</v>
      </c>
      <c r="G594" s="24"/>
      <c r="H594" s="10"/>
      <c r="I594" s="10"/>
      <c r="J594" s="7"/>
    </row>
    <row r="595" spans="1:10">
      <c r="A595" s="5">
        <v>593</v>
      </c>
      <c r="B595" t="str">
        <f>LEFT(Table3[[#This Row],[EPI_DGN_ANTIC]],1)</f>
        <v>E</v>
      </c>
      <c r="C595" t="str">
        <f>LEFT(Table3[[#This Row],[EPI_DGN_ANTIC]],3)</f>
        <v>ELg</v>
      </c>
      <c r="D595" s="8" t="s">
        <v>1238</v>
      </c>
      <c r="E595" s="7">
        <v>1</v>
      </c>
      <c r="F595" s="24" t="s">
        <v>1019</v>
      </c>
      <c r="G595" s="24"/>
      <c r="H595" s="10"/>
      <c r="I595" s="10"/>
      <c r="J595" s="7"/>
    </row>
    <row r="596" spans="1:10">
      <c r="A596" s="5">
        <v>594</v>
      </c>
      <c r="B596" t="str">
        <f>LEFT(Table3[[#This Row],[EPI_DGN_ANTIC]],1)</f>
        <v>E</v>
      </c>
      <c r="C596" t="str">
        <f>LEFT(Table3[[#This Row],[EPI_DGN_ANTIC]],3)</f>
        <v>ELp</v>
      </c>
      <c r="D596" s="8" t="s">
        <v>1239</v>
      </c>
      <c r="E596" s="7">
        <v>1</v>
      </c>
      <c r="F596" s="24" t="s">
        <v>1240</v>
      </c>
      <c r="G596" s="24"/>
      <c r="H596" s="10"/>
      <c r="I596" s="10"/>
      <c r="J596" s="7"/>
    </row>
    <row r="597" spans="1:10">
      <c r="A597" s="5">
        <v>595</v>
      </c>
      <c r="B597" t="str">
        <f>LEFT(Table3[[#This Row],[EPI_DGN_ANTIC]],1)</f>
        <v>K</v>
      </c>
      <c r="C597" t="str">
        <f>LEFT(Table3[[#This Row],[EPI_DGN_ANTIC]],3)</f>
        <v>KCM</v>
      </c>
      <c r="D597" s="8" t="s">
        <v>1241</v>
      </c>
      <c r="E597" s="7">
        <v>1</v>
      </c>
      <c r="F597" s="24" t="s">
        <v>139</v>
      </c>
      <c r="G597" s="10" t="s">
        <v>90</v>
      </c>
      <c r="H597" s="10"/>
      <c r="I597" s="10"/>
      <c r="J597" s="7"/>
    </row>
    <row r="598" spans="1:10">
      <c r="A598" s="5">
        <v>596</v>
      </c>
      <c r="B598" t="str">
        <f>LEFT(Table3[[#This Row],[EPI_DGN_ANTIC]],1)</f>
        <v>K</v>
      </c>
      <c r="C598" t="str">
        <f>LEFT(Table3[[#This Row],[EPI_DGN_ANTIC]],3)</f>
        <v>KCM</v>
      </c>
      <c r="D598" s="8" t="s">
        <v>1242</v>
      </c>
      <c r="E598" s="7">
        <v>1</v>
      </c>
      <c r="F598" s="24" t="s">
        <v>139</v>
      </c>
      <c r="G598" s="10" t="s">
        <v>90</v>
      </c>
      <c r="H598" s="10"/>
      <c r="I598" s="10"/>
      <c r="J598" s="7"/>
    </row>
    <row r="599" spans="1:10">
      <c r="A599" s="5">
        <v>597</v>
      </c>
      <c r="B599" t="str">
        <f>LEFT(Table3[[#This Row],[EPI_DGN_ANTIC]],1)</f>
        <v>K</v>
      </c>
      <c r="C599" t="str">
        <f>LEFT(Table3[[#This Row],[EPI_DGN_ANTIC]],2)</f>
        <v>KM</v>
      </c>
      <c r="D599" s="8" t="s">
        <v>1243</v>
      </c>
      <c r="E599" s="7">
        <v>1</v>
      </c>
      <c r="F599" s="24" t="s">
        <v>185</v>
      </c>
      <c r="G599" s="10" t="s">
        <v>90</v>
      </c>
      <c r="H599" s="10"/>
      <c r="I599" s="10"/>
      <c r="J599" s="7"/>
    </row>
    <row r="600" spans="1:10">
      <c r="A600" s="5">
        <v>598</v>
      </c>
      <c r="B600" t="str">
        <f>LEFT(Table3[[#This Row],[EPI_DGN_ANTIC]],1)</f>
        <v>K</v>
      </c>
      <c r="C600" t="str">
        <f>LEFT(Table3[[#This Row],[EPI_DGN_ANTIC]],2)</f>
        <v>KM</v>
      </c>
      <c r="D600" s="8" t="s">
        <v>1244</v>
      </c>
      <c r="E600" s="7">
        <v>1</v>
      </c>
      <c r="F600" s="24" t="s">
        <v>185</v>
      </c>
      <c r="G600" s="10" t="s">
        <v>90</v>
      </c>
      <c r="H600" s="10"/>
      <c r="I600" s="10"/>
      <c r="J600" s="7"/>
    </row>
    <row r="601" spans="1:10">
      <c r="A601" s="5">
        <v>599</v>
      </c>
      <c r="B601" t="str">
        <f>LEFT(Table3[[#This Row],[EPI_DGN_ANTIC]],1)</f>
        <v>K</v>
      </c>
      <c r="C601" t="str">
        <f>LEFT(Table3[[#This Row],[EPI_DGN_ANTIC]],2)</f>
        <v>KS</v>
      </c>
      <c r="D601" s="8" t="s">
        <v>1245</v>
      </c>
      <c r="E601" s="7">
        <v>1</v>
      </c>
      <c r="F601" s="24" t="s">
        <v>216</v>
      </c>
      <c r="G601" s="10" t="s">
        <v>90</v>
      </c>
      <c r="H601" s="10"/>
      <c r="I601" s="10"/>
      <c r="J601" s="7"/>
    </row>
    <row r="602" spans="1:10">
      <c r="A602" s="5">
        <v>600</v>
      </c>
      <c r="B602" t="str">
        <f>LEFT(Table3[[#This Row],[EPI_DGN_ANTIC]],1)</f>
        <v>K</v>
      </c>
      <c r="C602" t="str">
        <f>LEFT(Table3[[#This Row],[EPI_DGN_ANTIC]],2)</f>
        <v>KS</v>
      </c>
      <c r="D602" s="8" t="s">
        <v>1246</v>
      </c>
      <c r="E602" s="7">
        <v>1</v>
      </c>
      <c r="F602" s="24" t="s">
        <v>210</v>
      </c>
      <c r="G602" s="24" t="s">
        <v>90</v>
      </c>
      <c r="H602" s="10"/>
      <c r="I602" s="10"/>
      <c r="J602" s="7"/>
    </row>
    <row r="603" spans="1:10">
      <c r="A603" s="5">
        <v>601</v>
      </c>
      <c r="B603" t="str">
        <f>LEFT(Table3[[#This Row],[EPI_DGN_ANTIC]],1)</f>
        <v>K</v>
      </c>
      <c r="C603" t="str">
        <f>LEFT(Table3[[#This Row],[EPI_DGN_ANTIC]],2)</f>
        <v>KS</v>
      </c>
      <c r="D603" s="8" t="s">
        <v>1247</v>
      </c>
      <c r="E603" s="7">
        <v>1</v>
      </c>
      <c r="F603" s="10" t="s">
        <v>213</v>
      </c>
      <c r="G603" s="10" t="s">
        <v>90</v>
      </c>
      <c r="H603" s="10"/>
      <c r="I603" s="10"/>
      <c r="J603" s="7"/>
    </row>
    <row r="604" spans="1:10">
      <c r="A604" s="5">
        <v>602</v>
      </c>
      <c r="B604" t="str">
        <f>LEFT(Table3[[#This Row],[EPI_DGN_ANTIC]],1)</f>
        <v>K</v>
      </c>
      <c r="C604" t="str">
        <f>LEFT(Table3[[#This Row],[EPI_DGN_ANTIC]],2)</f>
        <v>KS</v>
      </c>
      <c r="D604" s="8" t="s">
        <v>1248</v>
      </c>
      <c r="E604" s="7">
        <v>1</v>
      </c>
      <c r="F604" s="10" t="s">
        <v>1249</v>
      </c>
      <c r="G604" s="10" t="s">
        <v>90</v>
      </c>
      <c r="H604" s="10"/>
      <c r="I604" s="10"/>
      <c r="J604" s="7"/>
    </row>
    <row r="605" spans="1:10">
      <c r="A605" s="5">
        <v>603</v>
      </c>
      <c r="B605" t="str">
        <f>LEFT(Table3[[#This Row],[EPI_DGN_ANTIC]],1)</f>
        <v>J</v>
      </c>
      <c r="C605" t="str">
        <f>LEFT(Table3[[#This Row],[EPI_DGN_ANTIC]],2)</f>
        <v>JC</v>
      </c>
      <c r="D605" s="8" t="s">
        <v>1250</v>
      </c>
      <c r="E605" s="7">
        <v>0</v>
      </c>
      <c r="F605" s="24"/>
      <c r="G605" s="24"/>
      <c r="H605" s="10"/>
      <c r="I605" s="10"/>
      <c r="J605" s="7"/>
    </row>
    <row r="606" spans="1:10">
      <c r="A606" s="5">
        <v>604</v>
      </c>
      <c r="B606" t="str">
        <f>LEFT(Table3[[#This Row],[EPI_DGN_ANTIC]],1)</f>
        <v>J</v>
      </c>
      <c r="C606" t="str">
        <f>LEFT(Table3[[#This Row],[EPI_DGN_ANTIC]],2)</f>
        <v>JD</v>
      </c>
      <c r="D606" s="8" t="s">
        <v>1251</v>
      </c>
      <c r="E606" s="7">
        <v>0</v>
      </c>
      <c r="F606" s="24"/>
      <c r="G606" s="24"/>
      <c r="H606" s="10"/>
      <c r="I606" s="10"/>
      <c r="J606" s="7"/>
    </row>
    <row r="607" spans="1:10">
      <c r="A607" s="5">
        <v>605</v>
      </c>
      <c r="B607" t="str">
        <f>LEFT(Table3[[#This Row],[EPI_DGN_ANTIC]],1)</f>
        <v>J</v>
      </c>
      <c r="C607" t="str">
        <f>LEFT(Table3[[#This Row],[EPI_DGN_ANTIC]],2)</f>
        <v>JL</v>
      </c>
      <c r="D607" s="8" t="s">
        <v>275</v>
      </c>
      <c r="E607" s="7">
        <v>1</v>
      </c>
      <c r="F607" s="24" t="s">
        <v>1252</v>
      </c>
      <c r="G607" s="24"/>
      <c r="H607" s="10"/>
      <c r="I607" s="10"/>
      <c r="J607" s="7"/>
    </row>
    <row r="608" spans="1:10">
      <c r="A608" s="5">
        <v>606</v>
      </c>
      <c r="B608" t="str">
        <f>LEFT(Table3[[#This Row],[EPI_DGN_ANTIC]],1)</f>
        <v>J</v>
      </c>
      <c r="C608" t="str">
        <f>LEFT(Table3[[#This Row],[EPI_DGN_ANTIC]],2)</f>
        <v>JM</v>
      </c>
      <c r="D608" s="8" t="s">
        <v>488</v>
      </c>
      <c r="E608" s="7">
        <v>1</v>
      </c>
      <c r="F608" s="24" t="s">
        <v>1253</v>
      </c>
      <c r="G608" s="24"/>
      <c r="H608" s="10"/>
      <c r="I608" s="10"/>
      <c r="J608" s="7"/>
    </row>
    <row r="609" spans="1:10">
      <c r="A609" s="5">
        <v>607</v>
      </c>
      <c r="B609" t="str">
        <f>LEFT(Table3[[#This Row],[EPI_DGN_ANTIC]],1)</f>
        <v>J</v>
      </c>
      <c r="C609" t="str">
        <f>LEFT(Table3[[#This Row],[EPI_DGN_ANTIC]],2)</f>
        <v>JS</v>
      </c>
      <c r="D609" s="8" t="s">
        <v>1254</v>
      </c>
      <c r="E609" s="7">
        <v>0</v>
      </c>
      <c r="F609" s="24"/>
      <c r="G609" s="24"/>
      <c r="H609" s="10"/>
      <c r="I609" s="10"/>
      <c r="J609" s="7"/>
    </row>
    <row r="610" spans="1:10">
      <c r="A610" s="5">
        <v>608</v>
      </c>
      <c r="B610" t="str">
        <f>LEFT(Table3[[#This Row],[EPI_DGN_ANTIC]],1)</f>
        <v>Z</v>
      </c>
      <c r="C610" t="str">
        <f>LEFT(Table3[[#This Row],[EPI_DGN_ANTIC]],3)</f>
        <v>Z</v>
      </c>
      <c r="D610" s="8" t="s">
        <v>350</v>
      </c>
      <c r="E610" s="7">
        <v>1</v>
      </c>
      <c r="F610" s="24" t="s">
        <v>1255</v>
      </c>
      <c r="G610" s="24"/>
      <c r="H610" s="10"/>
      <c r="I610" s="10"/>
      <c r="J610" s="7"/>
    </row>
    <row r="611" spans="1:10">
      <c r="A611" s="5">
        <v>609</v>
      </c>
      <c r="B611" t="str">
        <f>LEFT(Table3[[#This Row],[EPI_DGN_ANTIC]],1)</f>
        <v>Z</v>
      </c>
      <c r="C611" t="str">
        <f>LEFT(Table3[[#This Row],[EPI_DGN_ANTIC]],3)</f>
        <v>ZOq</v>
      </c>
      <c r="D611" s="8" t="s">
        <v>1256</v>
      </c>
      <c r="E611" s="7">
        <v>0</v>
      </c>
      <c r="F611" s="24"/>
      <c r="G611" s="24"/>
      <c r="H611" s="10"/>
      <c r="I611" s="10"/>
      <c r="J611" s="7"/>
    </row>
    <row r="612" spans="1:10">
      <c r="A612" s="5">
        <v>610</v>
      </c>
      <c r="B612" t="str">
        <f>LEFT(Table3[[#This Row],[EPI_DGN_ANTIC]],1)</f>
        <v>Z</v>
      </c>
      <c r="C612" t="str">
        <f>LEFT(Table3[[#This Row],[EPI_DGN_ANTIC]],3)</f>
        <v>Zd</v>
      </c>
      <c r="D612" s="8" t="s">
        <v>1257</v>
      </c>
      <c r="E612" s="7">
        <v>0</v>
      </c>
      <c r="F612" s="24"/>
      <c r="G612" s="24"/>
      <c r="H612" s="10"/>
      <c r="I612" s="10"/>
      <c r="J612" s="7"/>
    </row>
    <row r="613" spans="1:10">
      <c r="A613" s="5">
        <v>611</v>
      </c>
      <c r="B613" t="str">
        <f>LEFT(Table3[[#This Row],[EPI_DGN_ANTIC]],1)</f>
        <v>Z</v>
      </c>
      <c r="C613" t="str">
        <f>LEFT(Table3[[#This Row],[EPI_DGN_ANTIC]],3)</f>
        <v>Zg</v>
      </c>
      <c r="D613" s="8" t="s">
        <v>1258</v>
      </c>
      <c r="E613" s="7">
        <v>0</v>
      </c>
      <c r="F613" s="24"/>
      <c r="G613" s="24"/>
      <c r="H613" s="10"/>
      <c r="I613" s="10"/>
      <c r="J613" s="7"/>
    </row>
    <row r="614" spans="1:10">
      <c r="A614" s="5">
        <v>612</v>
      </c>
      <c r="B614" t="str">
        <f>LEFT(Table3[[#This Row],[EPI_DGN_ANTIC]],1)</f>
        <v>C</v>
      </c>
      <c r="C614" t="str">
        <f>LEFT(Table3[[#This Row],[EPI_DGN_ANTIC]],3)</f>
        <v>Cac</v>
      </c>
      <c r="D614" s="8" t="s">
        <v>1259</v>
      </c>
      <c r="E614" s="7">
        <v>0</v>
      </c>
      <c r="F614" s="24"/>
      <c r="G614" s="24"/>
      <c r="H614" s="10"/>
      <c r="I614" s="10"/>
      <c r="J614" s="7"/>
    </row>
    <row r="615" spans="1:10">
      <c r="A615" s="5">
        <v>613</v>
      </c>
      <c r="B615" t="str">
        <f>LEFT(Table3[[#This Row],[EPI_DGN_ANTIC]],1)</f>
        <v>C</v>
      </c>
      <c r="C615" t="str">
        <f>LEFT(Table3[[#This Row],[EPI_DGN_ANTIC]],3)</f>
        <v>Cac</v>
      </c>
      <c r="D615" s="8" t="s">
        <v>1260</v>
      </c>
      <c r="E615" s="7">
        <v>1</v>
      </c>
      <c r="F615" s="24" t="s">
        <v>1261</v>
      </c>
      <c r="G615" s="24"/>
      <c r="H615" s="10"/>
      <c r="I615" s="10"/>
      <c r="J615" s="7"/>
    </row>
    <row r="616" spans="1:10">
      <c r="A616" s="5">
        <v>614</v>
      </c>
      <c r="B616" t="str">
        <f>LEFT(Table3[[#This Row],[EPI_DGN_ANTIC]],1)</f>
        <v>C</v>
      </c>
      <c r="C616" t="str">
        <f>LEFT(Table3[[#This Row],[EPI_DGN_ANTIC]],3)</f>
        <v>CaP</v>
      </c>
      <c r="D616" s="8" t="s">
        <v>1262</v>
      </c>
      <c r="E616" s="7">
        <v>1</v>
      </c>
      <c r="F616" s="23" t="s">
        <v>1263</v>
      </c>
      <c r="G616" s="24"/>
      <c r="H616" s="10"/>
      <c r="I616" s="10"/>
      <c r="J616" s="7"/>
    </row>
    <row r="617" spans="1:10">
      <c r="A617" s="5">
        <v>615</v>
      </c>
      <c r="B617" t="str">
        <f>LEFT(Table3[[#This Row],[EPI_DGN_ANTIC]],1)</f>
        <v>C</v>
      </c>
      <c r="C617" t="str">
        <f>LEFT(Table3[[#This Row],[EPI_DGN_ANTIC]],3)</f>
        <v>CaP</v>
      </c>
      <c r="D617" s="8" t="s">
        <v>1264</v>
      </c>
      <c r="E617" s="7">
        <v>1</v>
      </c>
      <c r="F617" s="23" t="s">
        <v>1265</v>
      </c>
      <c r="G617" s="24"/>
      <c r="H617" s="10"/>
      <c r="I617" s="10"/>
      <c r="J617" s="7"/>
    </row>
    <row r="618" spans="1:10">
      <c r="A618" s="5">
        <v>616</v>
      </c>
      <c r="B618" t="str">
        <f>LEFT(Table3[[#This Row],[EPI_DGN_ANTIC]],1)</f>
        <v>C</v>
      </c>
      <c r="C618" t="str">
        <f>LEFT(Table3[[#This Row],[EPI_DGN_ANTIC]],2)</f>
        <v>Ca</v>
      </c>
      <c r="D618" s="8" t="s">
        <v>1266</v>
      </c>
      <c r="E618" s="7">
        <v>1</v>
      </c>
      <c r="F618" s="23" t="s">
        <v>1267</v>
      </c>
      <c r="G618" s="24"/>
      <c r="H618" s="10"/>
      <c r="I618" s="10"/>
      <c r="J618" s="7"/>
    </row>
    <row r="619" spans="1:10">
      <c r="A619" s="5">
        <v>617</v>
      </c>
      <c r="B619" t="str">
        <f>LEFT(Table3[[#This Row],[EPI_DGN_ANTIC]],1)</f>
        <v>C</v>
      </c>
      <c r="C619" t="str">
        <f>LEFT(Table3[[#This Row],[EPI_DGN_ANTIC]],3)</f>
        <v>CaP</v>
      </c>
      <c r="D619" s="8" t="s">
        <v>1268</v>
      </c>
      <c r="E619" s="7">
        <v>0</v>
      </c>
      <c r="F619" s="23"/>
      <c r="G619" s="24"/>
      <c r="H619" s="10"/>
      <c r="I619" s="10"/>
      <c r="J619" s="7"/>
    </row>
    <row r="620" spans="1:10">
      <c r="A620" s="5">
        <v>618</v>
      </c>
      <c r="B620" t="str">
        <f>LEFT(Table3[[#This Row],[EPI_DGN_ANTIC]],1)</f>
        <v>C</v>
      </c>
      <c r="C620" t="str">
        <f>LEFT(Table3[[#This Row],[EPI_DGN_ANTIC]],3)</f>
        <v>CAb</v>
      </c>
      <c r="D620" s="8" t="s">
        <v>1269</v>
      </c>
      <c r="E620" s="7">
        <v>0</v>
      </c>
      <c r="F620" s="23"/>
      <c r="G620" s="24"/>
      <c r="H620" s="10"/>
      <c r="I620" s="10"/>
      <c r="J620" s="7"/>
    </row>
    <row r="621" spans="1:10">
      <c r="A621" s="5">
        <v>619</v>
      </c>
      <c r="B621" t="str">
        <f>LEFT(Table3[[#This Row],[EPI_DGN_ANTIC]],1)</f>
        <v>C</v>
      </c>
      <c r="C621" t="str">
        <f>LEFT(Table3[[#This Row],[EPI_DGN_ANTIC]],3)</f>
        <v>CAc</v>
      </c>
      <c r="D621" s="8" t="s">
        <v>1270</v>
      </c>
      <c r="E621" s="7">
        <v>0</v>
      </c>
      <c r="F621" s="24"/>
      <c r="G621" s="23"/>
      <c r="H621" s="10"/>
      <c r="I621" s="10"/>
      <c r="J621" s="7"/>
    </row>
    <row r="622" spans="1:10">
      <c r="A622" s="5">
        <v>620</v>
      </c>
      <c r="B622" t="str">
        <f>LEFT(Table3[[#This Row],[EPI_DGN_ANTIC]],1)</f>
        <v>C</v>
      </c>
      <c r="C622" t="str">
        <f>LEFT(Table3[[#This Row],[EPI_DGN_ANTIC]],3)</f>
        <v>CAl</v>
      </c>
      <c r="D622" s="8" t="s">
        <v>658</v>
      </c>
      <c r="E622" s="7">
        <v>1</v>
      </c>
      <c r="F622" s="24" t="s">
        <v>1271</v>
      </c>
      <c r="G622" s="24"/>
      <c r="H622" s="10"/>
      <c r="I622" s="10"/>
      <c r="J622" s="7"/>
    </row>
    <row r="623" spans="1:10">
      <c r="A623" s="5">
        <v>621</v>
      </c>
      <c r="B623" t="str">
        <f>LEFT(Table3[[#This Row],[EPI_DGN_ANTIC]],1)</f>
        <v>C</v>
      </c>
      <c r="C623" t="str">
        <f>LEFT(Table3[[#This Row],[EPI_DGN_ANTIC]],3)</f>
        <v>CAm</v>
      </c>
      <c r="D623" s="8" t="s">
        <v>1272</v>
      </c>
      <c r="E623" s="7">
        <v>0</v>
      </c>
      <c r="F623" s="24"/>
      <c r="G623" s="24"/>
      <c r="H623" s="10"/>
      <c r="I623" s="10"/>
      <c r="J623" s="7"/>
    </row>
    <row r="624" spans="1:10">
      <c r="A624" s="5">
        <v>622</v>
      </c>
      <c r="B624" t="str">
        <f>LEFT(Table3[[#This Row],[EPI_DGN_ANTIC]],1)</f>
        <v>C</v>
      </c>
      <c r="C624" t="str">
        <f>LEFT(Table3[[#This Row],[EPI_DGN_ANTIC]],3)</f>
        <v>CAg</v>
      </c>
      <c r="D624" s="8" t="s">
        <v>656</v>
      </c>
      <c r="E624" s="7">
        <v>1</v>
      </c>
      <c r="F624" s="24" t="s">
        <v>1273</v>
      </c>
      <c r="G624" s="24"/>
      <c r="H624" s="10"/>
      <c r="I624" s="10"/>
      <c r="J624" s="7"/>
    </row>
    <row r="625" spans="1:10">
      <c r="A625" s="5">
        <v>623</v>
      </c>
      <c r="B625" t="str">
        <f>LEFT(Table3[[#This Row],[EPI_DGN_ANTIC]],1)</f>
        <v>C</v>
      </c>
      <c r="C625" t="str">
        <f>LEFT(Table3[[#This Row],[EPI_DGN_ANTIC]],2)</f>
        <v>C</v>
      </c>
      <c r="D625" s="8" t="s">
        <v>229</v>
      </c>
      <c r="E625" s="7">
        <v>1</v>
      </c>
      <c r="F625" s="24" t="s">
        <v>1274</v>
      </c>
      <c r="G625" s="24"/>
      <c r="H625" s="10"/>
      <c r="I625" s="10"/>
      <c r="J625" s="7"/>
    </row>
    <row r="626" spans="1:10">
      <c r="A626" s="5">
        <v>624</v>
      </c>
      <c r="B626" t="str">
        <f>LEFT(Table3[[#This Row],[EPI_DGN_ANTIC]],1)</f>
        <v>D</v>
      </c>
      <c r="C626" t="str">
        <f>LEFT(Table3[[#This Row],[EPI_DGN_ANTIC]],2)</f>
        <v>D1</v>
      </c>
      <c r="D626" s="8" t="s">
        <v>1275</v>
      </c>
      <c r="E626" s="7">
        <v>0</v>
      </c>
      <c r="F626" s="24"/>
      <c r="G626" s="24"/>
      <c r="H626" s="10"/>
      <c r="I626" s="10"/>
      <c r="J626" s="7"/>
    </row>
    <row r="627" spans="1:10">
      <c r="A627" s="5">
        <v>625</v>
      </c>
      <c r="B627" t="str">
        <f>LEFT(Table3[[#This Row],[EPI_DGN_ANTIC]],1)</f>
        <v>E</v>
      </c>
      <c r="C627" t="str">
        <f>LEFT(Table3[[#This Row],[EPI_DGN_ANTIC]],3)</f>
        <v>EBv</v>
      </c>
      <c r="D627" s="8" t="s">
        <v>1276</v>
      </c>
      <c r="E627" s="7">
        <v>0</v>
      </c>
      <c r="F627" s="24"/>
      <c r="G627" s="24"/>
      <c r="H627" s="10"/>
      <c r="I627" s="10"/>
      <c r="J627" s="7"/>
    </row>
    <row r="628" spans="1:10">
      <c r="A628" s="5">
        <v>626</v>
      </c>
      <c r="B628" t="str">
        <f>LEFT(Table3[[#This Row],[EPI_DGN_ANTIC]],1)</f>
        <v>e</v>
      </c>
      <c r="C628" t="str">
        <f>LEFT(Table3[[#This Row],[EPI_DGN_ANTIC]],3)</f>
        <v>es</v>
      </c>
      <c r="D628" s="8" t="s">
        <v>1277</v>
      </c>
      <c r="E628" s="7">
        <v>1</v>
      </c>
      <c r="F628" s="24" t="s">
        <v>1278</v>
      </c>
      <c r="G628" s="24"/>
      <c r="H628" s="10"/>
      <c r="I628" s="10"/>
      <c r="J628" s="7"/>
    </row>
    <row r="629" spans="1:10">
      <c r="A629" s="5">
        <v>627</v>
      </c>
      <c r="B629" t="str">
        <f>LEFT(Table3[[#This Row],[EPI_DGN_ANTIC]],1)</f>
        <v>e</v>
      </c>
      <c r="C629" t="str">
        <f>LEFT(Table3[[#This Row],[EPI_DGN_ANTIC]],2)</f>
        <v>e</v>
      </c>
      <c r="D629" s="8" t="s">
        <v>1279</v>
      </c>
      <c r="E629" s="7">
        <v>0</v>
      </c>
      <c r="F629" s="24"/>
      <c r="G629" s="24"/>
      <c r="H629" s="10"/>
      <c r="I629" s="10"/>
      <c r="J629" s="7"/>
    </row>
    <row r="630" spans="1:10">
      <c r="A630" s="5">
        <v>628</v>
      </c>
      <c r="B630" t="str">
        <f>LEFT(Table3[[#This Row],[EPI_DGN_ANTIC]],1)</f>
        <v>f</v>
      </c>
      <c r="C630" t="str">
        <f>LEFT(Table3[[#This Row],[EPI_DGN_ANTIC]],2)</f>
        <v>fh</v>
      </c>
      <c r="D630" s="8" t="s">
        <v>1280</v>
      </c>
      <c r="E630" s="7">
        <v>0</v>
      </c>
      <c r="F630" s="24"/>
      <c r="G630" s="24"/>
      <c r="H630" s="10"/>
      <c r="I630" s="10"/>
      <c r="J630" s="7"/>
    </row>
    <row r="631" spans="1:10">
      <c r="A631" s="5">
        <v>629</v>
      </c>
      <c r="B631" t="str">
        <f>LEFT(Table3[[#This Row],[EPI_DGN_ANTIC]],1)</f>
        <v>f</v>
      </c>
      <c r="C631" t="str">
        <f>LEFT(Table3[[#This Row],[EPI_DGN_ANTIC]],2)</f>
        <v>fq</v>
      </c>
      <c r="D631" s="8" t="s">
        <v>841</v>
      </c>
      <c r="E631" s="7">
        <v>1</v>
      </c>
      <c r="F631" s="24" t="s">
        <v>802</v>
      </c>
      <c r="G631" s="24"/>
      <c r="H631" s="10"/>
      <c r="I631" s="10"/>
      <c r="J631" s="7"/>
    </row>
    <row r="632" spans="1:10">
      <c r="A632" s="5">
        <v>630</v>
      </c>
      <c r="B632" t="str">
        <f>LEFT(Table3[[#This Row],[EPI_DGN_ANTIC]],1)</f>
        <v>K</v>
      </c>
      <c r="C632" t="str">
        <f>LEFT(Table3[[#This Row],[EPI_DGN_ANTIC]],2)</f>
        <v>KC</v>
      </c>
      <c r="D632" s="8" t="s">
        <v>147</v>
      </c>
      <c r="E632" s="7">
        <v>1</v>
      </c>
      <c r="F632" s="24" t="s">
        <v>1281</v>
      </c>
      <c r="G632" s="24"/>
      <c r="H632" s="10"/>
      <c r="I632" s="10"/>
      <c r="J632" s="7"/>
    </row>
    <row r="633" spans="1:10">
      <c r="A633" s="5">
        <v>631</v>
      </c>
      <c r="B633" t="str">
        <f>LEFT(Table3[[#This Row],[EPI_DGN_ANTIC]],1)</f>
        <v>K</v>
      </c>
      <c r="C633" t="str">
        <f>LEFT(Table3[[#This Row],[EPI_DGN_ANTIC]],3)</f>
        <v>KCo</v>
      </c>
      <c r="D633" s="8" t="s">
        <v>1282</v>
      </c>
      <c r="E633" s="7">
        <v>0</v>
      </c>
      <c r="F633" s="24"/>
      <c r="G633" s="24"/>
      <c r="H633" s="10"/>
      <c r="I633" s="10"/>
      <c r="J633" s="7"/>
    </row>
    <row r="634" spans="1:10">
      <c r="A634" s="5">
        <v>632</v>
      </c>
      <c r="B634" t="str">
        <f>LEFT(Table3[[#This Row],[EPI_DGN_ANTIC]],1)</f>
        <v>K</v>
      </c>
      <c r="C634" t="str">
        <f>LEFT(Table3[[#This Row],[EPI_DGN_ANTIC]],3)</f>
        <v>KCT</v>
      </c>
      <c r="D634" s="8" t="s">
        <v>1283</v>
      </c>
      <c r="E634" s="7">
        <v>0</v>
      </c>
      <c r="F634" s="24"/>
      <c r="G634" s="24"/>
      <c r="H634" s="10"/>
      <c r="I634" s="10"/>
      <c r="J634" s="7"/>
    </row>
    <row r="635" spans="1:10">
      <c r="A635" s="5">
        <v>633</v>
      </c>
      <c r="B635" t="str">
        <f>LEFT(Table3[[#This Row],[EPI_DGN_ANTIC]],1)</f>
        <v>K</v>
      </c>
      <c r="C635" t="str">
        <f>LEFT(Table3[[#This Row],[EPI_DGN_ANTIC]],2)</f>
        <v>Kl</v>
      </c>
      <c r="D635" s="8" t="s">
        <v>1284</v>
      </c>
      <c r="E635" s="7">
        <v>0</v>
      </c>
      <c r="F635" s="24"/>
      <c r="G635" s="24"/>
      <c r="H635" s="10"/>
      <c r="I635" s="10"/>
      <c r="J635" s="7"/>
    </row>
    <row r="636" spans="1:10">
      <c r="A636" s="5">
        <v>634</v>
      </c>
      <c r="B636" t="str">
        <f>LEFT(Table3[[#This Row],[EPI_DGN_ANTIC]],1)</f>
        <v>C</v>
      </c>
      <c r="C636" t="str">
        <f>LEFT(Table3[[#This Row],[EPI_DGN_ANTIC]],3)</f>
        <v>CaM</v>
      </c>
      <c r="D636" s="8" t="s">
        <v>1285</v>
      </c>
      <c r="E636" s="7">
        <v>1</v>
      </c>
      <c r="F636" s="24" t="s">
        <v>1286</v>
      </c>
      <c r="G636" s="24"/>
      <c r="H636" s="10"/>
      <c r="I636" s="10"/>
      <c r="J636" s="7"/>
    </row>
    <row r="637" spans="1:10">
      <c r="A637" s="5">
        <v>635</v>
      </c>
      <c r="B637" t="str">
        <f>LEFT(Table3[[#This Row],[EPI_DGN_ANTIC]],1)</f>
        <v>Z</v>
      </c>
      <c r="C637" t="str">
        <f>LEFT(Table3[[#This Row],[EPI_DGN_ANTIC]],3)</f>
        <v>Zcb</v>
      </c>
      <c r="D637" s="8" t="s">
        <v>1287</v>
      </c>
      <c r="E637" s="7">
        <v>1</v>
      </c>
      <c r="F637" s="24" t="s">
        <v>1288</v>
      </c>
      <c r="G637" s="24"/>
      <c r="H637" s="10"/>
      <c r="I637" s="10"/>
      <c r="J637" s="7"/>
    </row>
    <row r="638" spans="1:10">
      <c r="A638" s="5">
        <v>636</v>
      </c>
      <c r="B638" t="str">
        <f>LEFT(Table3[[#This Row],[EPI_DGN_ANTIC]],1)</f>
        <v>C</v>
      </c>
      <c r="C638" t="str">
        <f>LEFT(Table3[[#This Row],[EPI_DGN_ANTIC]],2)</f>
        <v>CS</v>
      </c>
      <c r="D638" s="8" t="s">
        <v>1289</v>
      </c>
      <c r="E638" s="7">
        <v>0</v>
      </c>
      <c r="F638" s="24">
        <v>1</v>
      </c>
      <c r="G638" s="24"/>
      <c r="H638" s="10"/>
      <c r="I638" s="10"/>
      <c r="J638" s="7"/>
    </row>
    <row r="639" spans="1:10">
      <c r="A639" s="5">
        <v>637</v>
      </c>
      <c r="B639" t="str">
        <f>LEFT(Table3[[#This Row],[EPI_DGN_ANTIC]],1)</f>
        <v>C</v>
      </c>
      <c r="C639" s="8" t="str">
        <f>LEFT(Table3[[#This Row],[EPI_DGN_ANTIC]],2)</f>
        <v>CS</v>
      </c>
      <c r="D639" s="8" t="s">
        <v>1290</v>
      </c>
      <c r="E639" s="7">
        <v>1</v>
      </c>
      <c r="F639" s="24" t="s">
        <v>1291</v>
      </c>
      <c r="G639" s="24"/>
      <c r="H639" s="10"/>
      <c r="I639" s="10"/>
      <c r="J639" s="7"/>
    </row>
    <row r="640" spans="1:10">
      <c r="A640" s="5">
        <v>638</v>
      </c>
      <c r="B640" t="str">
        <f>LEFT(Table3[[#This Row],[EPI_DGN_ANTIC]],1)</f>
        <v>C</v>
      </c>
      <c r="C640" s="8" t="str">
        <f>LEFT(Table3[[#This Row],[EPI_DGN_ANTIC]],2)</f>
        <v>CS</v>
      </c>
      <c r="D640" s="8" t="s">
        <v>1292</v>
      </c>
      <c r="E640" s="7">
        <v>1</v>
      </c>
      <c r="F640" s="24" t="s">
        <v>1062</v>
      </c>
      <c r="G640" s="24"/>
      <c r="H640" s="10"/>
      <c r="I640" s="10"/>
      <c r="J640" s="7"/>
    </row>
    <row r="641" spans="1:10">
      <c r="A641" s="5">
        <v>639</v>
      </c>
      <c r="B641" t="str">
        <f>LEFT(Table3[[#This Row],[EPI_DGN_ANTIC]],1)</f>
        <v>C</v>
      </c>
      <c r="C641" s="8" t="str">
        <f>LEFT(Table3[[#This Row],[EPI_DGN_ANTIC]],2)</f>
        <v>CS</v>
      </c>
      <c r="D641" s="8" t="s">
        <v>1293</v>
      </c>
      <c r="E641" s="7">
        <v>1</v>
      </c>
      <c r="F641" s="24" t="s">
        <v>1065</v>
      </c>
      <c r="G641" s="24"/>
      <c r="H641" s="10"/>
      <c r="I641" s="10"/>
      <c r="J641" s="7"/>
    </row>
    <row r="642" spans="1:10">
      <c r="A642" s="5">
        <v>640</v>
      </c>
      <c r="B642" t="str">
        <f>LEFT(Table3[[#This Row],[EPI_DGN_ANTIC]],1)</f>
        <v>C</v>
      </c>
      <c r="C642" s="8" t="str">
        <f>LEFT(Table3[[#This Row],[EPI_DGN_ANTIC]],2)</f>
        <v>CS</v>
      </c>
      <c r="D642" s="8" t="s">
        <v>1294</v>
      </c>
      <c r="E642" s="7">
        <v>1</v>
      </c>
      <c r="F642" s="24" t="s">
        <v>1068</v>
      </c>
      <c r="G642" s="24"/>
      <c r="H642" s="10"/>
      <c r="I642" s="10"/>
      <c r="J642" s="7"/>
    </row>
    <row r="643" spans="1:10">
      <c r="A643" s="5">
        <v>641</v>
      </c>
      <c r="B643" t="str">
        <f>LEFT(Table3[[#This Row],[EPI_DGN_ANTIC]],1)</f>
        <v>C</v>
      </c>
      <c r="C643" t="str">
        <f>LEFT(Table3[[#This Row],[EPI_DGN_ANTIC]],2)</f>
        <v>CS</v>
      </c>
      <c r="D643" s="8" t="s">
        <v>1295</v>
      </c>
      <c r="E643" s="7">
        <v>1</v>
      </c>
      <c r="F643" s="24" t="s">
        <v>1068</v>
      </c>
      <c r="G643" s="24"/>
      <c r="H643" s="10"/>
      <c r="I643" s="10"/>
      <c r="J643" s="7"/>
    </row>
    <row r="644" spans="1:10">
      <c r="A644" s="5">
        <v>642</v>
      </c>
      <c r="B644" t="str">
        <f>LEFT(Table3[[#This Row],[EPI_DGN_ANTIC]],1)</f>
        <v>C</v>
      </c>
      <c r="C644" t="str">
        <f>LEFT(Table3[[#This Row],[EPI_DGN_ANTIC]],2)</f>
        <v>CS</v>
      </c>
      <c r="D644" s="8" t="s">
        <v>1296</v>
      </c>
      <c r="E644" s="7">
        <v>1</v>
      </c>
      <c r="F644" s="24" t="s">
        <v>1068</v>
      </c>
      <c r="G644" s="24"/>
      <c r="H644" s="10"/>
      <c r="I644" s="10"/>
      <c r="J644" s="7"/>
    </row>
    <row r="645" spans="1:10">
      <c r="A645" s="5">
        <v>643</v>
      </c>
      <c r="B645" t="str">
        <f>LEFT(Table3[[#This Row],[EPI_DGN_ANTIC]],1)</f>
        <v>C</v>
      </c>
      <c r="C645" s="10" t="str">
        <f>LEFT(Table3[[#This Row],[EPI_DGN_ANTIC]],2)</f>
        <v>CS</v>
      </c>
      <c r="D645" s="8" t="s">
        <v>1297</v>
      </c>
      <c r="E645" s="7">
        <v>1</v>
      </c>
      <c r="F645" s="24" t="s">
        <v>1073</v>
      </c>
      <c r="G645" s="24"/>
      <c r="H645" s="10"/>
      <c r="I645" s="10"/>
      <c r="J645" s="7"/>
    </row>
    <row r="646" spans="1:10">
      <c r="A646" s="5">
        <v>644</v>
      </c>
      <c r="B646" t="str">
        <f>LEFT(Table3[[#This Row],[EPI_DGN_ANTIC]],1)</f>
        <v>C</v>
      </c>
      <c r="C646" s="10" t="str">
        <f>LEFT(Table3[[#This Row],[EPI_DGN_ANTIC]],2)</f>
        <v>CS</v>
      </c>
      <c r="D646" s="8" t="s">
        <v>1298</v>
      </c>
      <c r="E646" s="7">
        <v>1</v>
      </c>
      <c r="F646" s="24" t="s">
        <v>1076</v>
      </c>
      <c r="G646" s="24"/>
      <c r="H646" s="10"/>
      <c r="I646" s="10"/>
      <c r="J646" s="7"/>
    </row>
    <row r="647" spans="1:10">
      <c r="A647" s="5">
        <v>645</v>
      </c>
      <c r="B647" t="str">
        <f>LEFT(Table3[[#This Row],[EPI_DGN_ANTIC]],1)</f>
        <v>C</v>
      </c>
      <c r="C647" s="10" t="str">
        <f>LEFT(Table3[[#This Row],[EPI_DGN_ANTIC]],2)</f>
        <v>CS</v>
      </c>
      <c r="D647" s="8" t="s">
        <v>1299</v>
      </c>
      <c r="E647" s="7">
        <v>1</v>
      </c>
      <c r="F647" s="24" t="s">
        <v>1300</v>
      </c>
      <c r="G647" s="24"/>
      <c r="H647" s="10"/>
      <c r="I647" s="10"/>
      <c r="J647" s="7"/>
    </row>
    <row r="648" spans="1:10">
      <c r="A648" s="5">
        <v>646</v>
      </c>
      <c r="B648" t="str">
        <f>LEFT(Table3[[#This Row],[EPI_DGN_ANTIC]],1)</f>
        <v>C</v>
      </c>
      <c r="C648" s="10" t="str">
        <f>LEFT(Table3[[#This Row],[EPI_DGN_ANTIC]],2)</f>
        <v>CS</v>
      </c>
      <c r="D648" s="8" t="s">
        <v>1301</v>
      </c>
      <c r="E648" s="7">
        <v>1</v>
      </c>
      <c r="F648" s="24" t="s">
        <v>1249</v>
      </c>
      <c r="G648" s="24"/>
      <c r="H648" s="10"/>
      <c r="I648" s="10"/>
      <c r="J648" s="7"/>
    </row>
    <row r="649" spans="1:10">
      <c r="A649" s="5">
        <v>647</v>
      </c>
      <c r="B649" t="str">
        <f>LEFT(Table3[[#This Row],[EPI_DGN_ANTIC]],1)</f>
        <v>c</v>
      </c>
      <c r="C649" s="10" t="str">
        <f>LEFT(Table3[[#This Row],[EPI_DGN_ANTIC]],2)</f>
        <v>cf</v>
      </c>
      <c r="D649" s="8" t="s">
        <v>1302</v>
      </c>
      <c r="E649" s="7">
        <v>0</v>
      </c>
      <c r="F649" s="24"/>
      <c r="G649" s="24"/>
      <c r="H649" s="10"/>
      <c r="I649" s="10"/>
      <c r="J649" s="7"/>
    </row>
    <row r="650" spans="1:10">
      <c r="A650" s="5">
        <v>648</v>
      </c>
      <c r="B650" t="str">
        <f>LEFT(Table3[[#This Row],[EPI_DGN_ANTIC]],1)</f>
        <v>c</v>
      </c>
      <c r="C650" s="10" t="str">
        <f>LEFT(Table3[[#This Row],[EPI_DGN_ANTIC]],2)</f>
        <v>cf</v>
      </c>
      <c r="D650" s="8" t="s">
        <v>1302</v>
      </c>
      <c r="E650" s="7">
        <v>1</v>
      </c>
      <c r="F650" s="24" t="s">
        <v>1303</v>
      </c>
      <c r="G650" s="24"/>
      <c r="H650" s="10"/>
      <c r="I650" s="10"/>
      <c r="J650" s="7"/>
    </row>
    <row r="651" spans="1:10">
      <c r="A651" s="5">
        <v>649</v>
      </c>
      <c r="B651" t="str">
        <f>LEFT(Table3[[#This Row],[EPI_DGN_ANTIC]],1)</f>
        <v>C</v>
      </c>
      <c r="C651" s="10" t="str">
        <f>LEFT(Table3[[#This Row],[EPI_DGN_ANTIC]],2)</f>
        <v>CI</v>
      </c>
      <c r="D651" s="8" t="s">
        <v>1304</v>
      </c>
      <c r="E651" s="7">
        <v>1</v>
      </c>
      <c r="F651" s="24" t="s">
        <v>1305</v>
      </c>
      <c r="G651" s="24"/>
      <c r="H651" s="10"/>
      <c r="I651" s="10"/>
      <c r="J651" s="7"/>
    </row>
    <row r="652" spans="1:10">
      <c r="A652" s="5">
        <v>650</v>
      </c>
      <c r="B652" t="str">
        <f>LEFT(Table3[[#This Row],[EPI_DGN_ANTIC]],1)</f>
        <v>C</v>
      </c>
      <c r="C652" s="10" t="str">
        <f>LEFT(Table3[[#This Row],[EPI_DGN_ANTIC]],2)</f>
        <v>CS</v>
      </c>
      <c r="D652" s="8" t="s">
        <v>1306</v>
      </c>
      <c r="E652" s="7">
        <v>1</v>
      </c>
      <c r="F652" s="24" t="s">
        <v>1307</v>
      </c>
      <c r="G652" s="24"/>
      <c r="H652" s="10"/>
      <c r="I652" s="10"/>
      <c r="J652" s="7"/>
    </row>
    <row r="653" spans="1:10">
      <c r="A653" s="5">
        <v>651</v>
      </c>
      <c r="B653" t="str">
        <f>LEFT(Table3[[#This Row],[EPI_DGN_ANTIC]],1)</f>
        <v>C</v>
      </c>
      <c r="C653" s="8" t="str">
        <f>LEFT(Table3[[#This Row],[EPI_DGN_ANTIC]],2)</f>
        <v>CI</v>
      </c>
      <c r="D653" s="8" t="s">
        <v>1308</v>
      </c>
      <c r="E653" s="7">
        <v>1</v>
      </c>
      <c r="F653" s="24" t="s">
        <v>1309</v>
      </c>
      <c r="G653" s="24"/>
      <c r="H653" s="10"/>
      <c r="I653" s="10"/>
      <c r="J653" s="7"/>
    </row>
    <row r="654" spans="1:10">
      <c r="A654" s="5">
        <v>652</v>
      </c>
      <c r="B654" t="str">
        <f>LEFT(Table3[[#This Row],[EPI_DGN_ANTIC]],1)</f>
        <v>E</v>
      </c>
      <c r="C654" s="8" t="str">
        <f>LEFT(Table3[[#This Row],[EPI_DGN_ANTIC]],3)</f>
        <v>EBl</v>
      </c>
      <c r="D654" s="8" t="s">
        <v>1310</v>
      </c>
      <c r="E654" s="7">
        <v>1</v>
      </c>
      <c r="F654" s="24" t="s">
        <v>44</v>
      </c>
      <c r="G654" s="24"/>
      <c r="H654" s="10"/>
      <c r="I654" s="10"/>
      <c r="J654" s="7"/>
    </row>
    <row r="655" spans="1:10">
      <c r="A655" s="5">
        <v>653</v>
      </c>
      <c r="B655" t="str">
        <f>LEFT(Table3[[#This Row],[EPI_DGN_ANTIC]],1)</f>
        <v>E</v>
      </c>
      <c r="C655" s="8" t="str">
        <f>LEFT(Table3[[#This Row],[EPI_DGN_ANTIC]],3)</f>
        <v>EBl</v>
      </c>
      <c r="D655" s="8" t="s">
        <v>1311</v>
      </c>
      <c r="E655" s="7">
        <v>1</v>
      </c>
      <c r="F655" s="24" t="s">
        <v>1312</v>
      </c>
      <c r="G655" s="24"/>
      <c r="H655" s="10"/>
      <c r="I655" s="10"/>
      <c r="J655" s="7"/>
    </row>
    <row r="656" spans="1:10">
      <c r="A656" s="5">
        <v>654</v>
      </c>
      <c r="B656" t="str">
        <f>LEFT(Table3[[#This Row],[EPI_DGN_ANTIC]],1)</f>
        <v>E</v>
      </c>
      <c r="C656" s="10" t="str">
        <f>LEFT(Table3[[#This Row],[EPI_DGN_ANTIC]],3)</f>
        <v>EBl</v>
      </c>
      <c r="D656" s="8" t="s">
        <v>1313</v>
      </c>
      <c r="E656" s="7">
        <v>1</v>
      </c>
      <c r="F656" s="24" t="s">
        <v>1314</v>
      </c>
      <c r="G656" s="24"/>
      <c r="H656" s="10"/>
      <c r="I656" s="10"/>
      <c r="J656" s="7"/>
    </row>
    <row r="657" spans="1:10">
      <c r="A657" s="5">
        <v>655</v>
      </c>
      <c r="B657" t="str">
        <f>LEFT(Table3[[#This Row],[EPI_DGN_ANTIC]],1)</f>
        <v>E</v>
      </c>
      <c r="C657" s="10" t="str">
        <f>LEFT(Table3[[#This Row],[EPI_DGN_ANTIC]],3)</f>
        <v>EBm</v>
      </c>
      <c r="D657" s="8" t="s">
        <v>989</v>
      </c>
      <c r="E657" s="7">
        <v>1</v>
      </c>
      <c r="F657" s="24" t="s">
        <v>1315</v>
      </c>
      <c r="G657" s="24"/>
      <c r="H657" s="10"/>
      <c r="I657" s="10"/>
      <c r="J657" s="7"/>
    </row>
    <row r="658" spans="1:10">
      <c r="A658" s="5">
        <v>656</v>
      </c>
      <c r="B658" t="str">
        <f>LEFT(Table3[[#This Row],[EPI_DGN_ANTIC]],1)</f>
        <v>E</v>
      </c>
      <c r="C658" s="8" t="str">
        <f>LEFT(Table3[[#This Row],[EPI_DGN_ANTIC]],3)</f>
        <v>ELy</v>
      </c>
      <c r="D658" s="8" t="s">
        <v>1316</v>
      </c>
      <c r="E658" s="7">
        <v>1</v>
      </c>
      <c r="F658" s="24" t="s">
        <v>1317</v>
      </c>
      <c r="G658" s="24"/>
      <c r="H658" s="10"/>
      <c r="I658" s="10"/>
      <c r="J658" s="7"/>
    </row>
    <row r="659" spans="1:10">
      <c r="A659" s="5">
        <v>657</v>
      </c>
      <c r="B659" t="str">
        <f>LEFT(Table3[[#This Row],[EPI_DGN_ANTIC]],1)</f>
        <v>E</v>
      </c>
      <c r="C659" s="10" t="str">
        <f>LEFT(Table3[[#This Row],[EPI_DGN_ANTIC]],3)</f>
        <v>EPc</v>
      </c>
      <c r="D659" s="8" t="s">
        <v>1318</v>
      </c>
      <c r="E659" s="7">
        <v>1</v>
      </c>
      <c r="F659" s="24" t="s">
        <v>1319</v>
      </c>
      <c r="G659" s="24"/>
      <c r="H659" s="10"/>
      <c r="I659" s="10"/>
      <c r="J659" s="7"/>
    </row>
    <row r="660" spans="1:10">
      <c r="A660" s="5">
        <v>658</v>
      </c>
      <c r="B660" t="str">
        <f>LEFT(Table3[[#This Row],[EPI_DGN_ANTIC]],1)</f>
        <v>E</v>
      </c>
      <c r="C660" s="10" t="str">
        <f>LEFT(Table3[[#This Row],[EPI_DGN_ANTIC]],3)</f>
        <v>EPg</v>
      </c>
      <c r="D660" s="8" t="s">
        <v>1146</v>
      </c>
      <c r="E660" s="7">
        <v>1</v>
      </c>
      <c r="F660" s="24" t="s">
        <v>1320</v>
      </c>
      <c r="G660" s="24"/>
      <c r="H660" s="10"/>
      <c r="I660" s="10"/>
      <c r="J660" s="7"/>
    </row>
    <row r="661" spans="1:10">
      <c r="A661" s="5">
        <v>659</v>
      </c>
      <c r="B661" t="str">
        <f>LEFT(Table3[[#This Row],[EPI_DGN_ANTIC]],1)</f>
        <v>E</v>
      </c>
      <c r="C661" s="8" t="str">
        <f>LEFT(Table3[[#This Row],[EPI_DGN_ANTIC]],3)</f>
        <v>EPm</v>
      </c>
      <c r="D661" s="8" t="s">
        <v>1148</v>
      </c>
      <c r="E661" s="7">
        <v>1</v>
      </c>
      <c r="F661" s="24" t="s">
        <v>1321</v>
      </c>
      <c r="G661" s="24"/>
      <c r="H661" s="10"/>
      <c r="I661" s="10"/>
      <c r="J661" s="7"/>
    </row>
    <row r="662" spans="1:10">
      <c r="A662" s="5">
        <v>660</v>
      </c>
      <c r="B662" t="str">
        <f>LEFT(Table3[[#This Row],[EPI_DGN_ANTIC]],1)</f>
        <v>C</v>
      </c>
      <c r="C662" s="10" t="str">
        <f>LEFT(Table3[[#This Row],[EPI_DGN_ANTIC]],2)</f>
        <v>CS</v>
      </c>
      <c r="D662" s="8" t="s">
        <v>1322</v>
      </c>
      <c r="E662" s="7">
        <v>1</v>
      </c>
      <c r="F662" s="24" t="s">
        <v>1323</v>
      </c>
      <c r="G662" s="24"/>
      <c r="H662" s="10"/>
      <c r="I662" s="10"/>
      <c r="J662" s="7"/>
    </row>
    <row r="663" spans="1:10">
      <c r="A663" s="5">
        <v>661</v>
      </c>
      <c r="B663" t="str">
        <f>LEFT(Table3[[#This Row],[EPI_DGN_ANTIC]],1)</f>
        <v>C</v>
      </c>
      <c r="C663" s="10" t="str">
        <f>LEFT(Table3[[#This Row],[EPI_DGN_ANTIC]],2)</f>
        <v>CS</v>
      </c>
      <c r="D663" s="8" t="s">
        <v>1324</v>
      </c>
      <c r="E663" s="7">
        <v>1</v>
      </c>
      <c r="F663" s="24" t="s">
        <v>1325</v>
      </c>
      <c r="G663" s="24"/>
      <c r="H663" s="10"/>
      <c r="I663" s="10"/>
      <c r="J663" s="7"/>
    </row>
    <row r="664" spans="1:10">
      <c r="A664" s="5">
        <v>662</v>
      </c>
      <c r="B664" t="s">
        <v>292</v>
      </c>
      <c r="C664" s="10" t="s">
        <v>342</v>
      </c>
      <c r="D664" s="8" t="s">
        <v>1326</v>
      </c>
      <c r="E664" s="7">
        <v>1</v>
      </c>
      <c r="F664" s="24" t="s">
        <v>641</v>
      </c>
      <c r="G664" s="24"/>
      <c r="H664" s="10"/>
      <c r="I664" s="10"/>
      <c r="J664" s="7"/>
    </row>
    <row r="665" spans="1:10">
      <c r="A665" s="5">
        <v>663</v>
      </c>
      <c r="B665" t="str">
        <f>LEFT(Table3[[#This Row],[EPI_DGN_ANTIC]],1)</f>
        <v>G</v>
      </c>
      <c r="C665" s="10" t="str">
        <f>LEFT(Table3[[#This Row],[EPI_DGN_ANTIC]],2)</f>
        <v>Gg</v>
      </c>
      <c r="D665" s="8" t="s">
        <v>1327</v>
      </c>
      <c r="E665" s="7">
        <v>1</v>
      </c>
      <c r="F665" s="24" t="s">
        <v>1182</v>
      </c>
      <c r="G665" s="24"/>
      <c r="H665" s="10"/>
      <c r="I665" s="10"/>
      <c r="J665" s="7"/>
    </row>
    <row r="666" spans="1:10">
      <c r="A666" s="5">
        <v>664</v>
      </c>
      <c r="B666" t="str">
        <f>LEFT(Table3[[#This Row],[EPI_DGN_ANTIC]],1)</f>
        <v>2</v>
      </c>
      <c r="C666" s="8" t="str">
        <f>LEFT(Table3[[#This Row],[EPI_DGN_ANTIC]],2)</f>
        <v>2/</v>
      </c>
      <c r="D666" s="8" t="s">
        <v>1328</v>
      </c>
      <c r="E666" s="7">
        <v>0</v>
      </c>
      <c r="F666" s="24"/>
      <c r="G666" s="24"/>
      <c r="H666" s="10"/>
      <c r="I666" s="10"/>
      <c r="J666" s="7"/>
    </row>
    <row r="667" spans="1:10">
      <c r="A667" s="5">
        <v>665</v>
      </c>
      <c r="B667" t="str">
        <f>LEFT(Table3[[#This Row],[EPI_DGN_ANTIC]],1)</f>
        <v>5</v>
      </c>
      <c r="C667" s="10" t="str">
        <f>LEFT(Table3[[#This Row],[EPI_DGN_ANTIC]],2)</f>
        <v>5/</v>
      </c>
      <c r="D667" s="8" t="s">
        <v>1329</v>
      </c>
      <c r="E667" s="7">
        <v>0</v>
      </c>
      <c r="F667" s="24"/>
      <c r="G667" s="24"/>
      <c r="H667" s="10"/>
      <c r="I667" s="10"/>
      <c r="J667" s="7"/>
    </row>
    <row r="668" spans="1:10">
      <c r="A668" s="5">
        <v>666</v>
      </c>
      <c r="B668" t="str">
        <f>LEFT(Table3[[#This Row],[EPI_DGN_ANTIC]],1)</f>
        <v>9</v>
      </c>
      <c r="C668" s="10" t="str">
        <f>LEFT(Table3[[#This Row],[EPI_DGN_ANTIC]],2)</f>
        <v>9/</v>
      </c>
      <c r="D668" s="8" t="s">
        <v>1330</v>
      </c>
      <c r="E668" s="7">
        <v>0</v>
      </c>
      <c r="F668" s="24"/>
      <c r="G668" s="24"/>
      <c r="H668" s="10"/>
      <c r="I668" s="10"/>
      <c r="J668" s="7"/>
    </row>
    <row r="669" spans="1:10">
      <c r="A669" s="5">
        <v>667</v>
      </c>
      <c r="B669" t="str">
        <f>LEFT(Table3[[#This Row],[EPI_DGN_ANTIC]],1)</f>
        <v>1</v>
      </c>
      <c r="C669" s="10" t="str">
        <f>LEFT(Table3[[#This Row],[EPI_DGN_ANTIC]],2)</f>
        <v>11</v>
      </c>
      <c r="D669" s="8" t="s">
        <v>1331</v>
      </c>
      <c r="E669" s="7">
        <v>0</v>
      </c>
      <c r="F669" s="24"/>
      <c r="G669" s="24"/>
      <c r="H669" s="10"/>
      <c r="I669" s="10"/>
      <c r="J669" s="7"/>
    </row>
    <row r="670" spans="1:10">
      <c r="A670" s="5">
        <v>668</v>
      </c>
      <c r="B670" t="str">
        <f>LEFT(Table3[[#This Row],[EPI_DGN_ANTIC]],1)</f>
        <v>1</v>
      </c>
      <c r="C670" s="10" t="str">
        <f>LEFT(Table3[[#This Row],[EPI_DGN_ANTIC]],2)</f>
        <v>12</v>
      </c>
      <c r="D670" s="8" t="s">
        <v>1332</v>
      </c>
      <c r="E670" s="7">
        <v>0</v>
      </c>
      <c r="F670" s="24"/>
      <c r="G670" s="24"/>
      <c r="H670" s="10"/>
      <c r="I670" s="10"/>
      <c r="J670" s="7"/>
    </row>
    <row r="671" spans="1:10">
      <c r="A671" s="5">
        <v>669</v>
      </c>
      <c r="B671" t="str">
        <f>LEFT(Table3[[#This Row],[EPI_DGN_ANTIC]],1)</f>
        <v>1</v>
      </c>
      <c r="C671" s="8" t="str">
        <f>LEFT(Table3[[#This Row],[EPI_DGN_ANTIC]],2)</f>
        <v>19</v>
      </c>
      <c r="D671" s="8" t="s">
        <v>1333</v>
      </c>
      <c r="E671" s="7">
        <v>0</v>
      </c>
      <c r="F671" s="24"/>
      <c r="G671" s="24"/>
      <c r="H671" s="10"/>
      <c r="I671" s="10"/>
      <c r="J671" s="7"/>
    </row>
    <row r="672" spans="1:10">
      <c r="A672" s="5">
        <v>670</v>
      </c>
      <c r="B672" t="str">
        <f>LEFT(Table3[[#This Row],[EPI_DGN_ANTIC]],1)</f>
        <v>2</v>
      </c>
      <c r="C672" s="8" t="str">
        <f>LEFT(Table3[[#This Row],[EPI_DGN_ANTIC]],2)</f>
        <v>23</v>
      </c>
      <c r="D672" s="8" t="s">
        <v>1334</v>
      </c>
      <c r="E672" s="7">
        <v>0</v>
      </c>
      <c r="F672" s="24"/>
      <c r="G672" s="24"/>
      <c r="H672" s="10"/>
      <c r="I672" s="10"/>
      <c r="J672" s="7"/>
    </row>
    <row r="673" spans="1:10">
      <c r="A673" s="5">
        <v>671</v>
      </c>
      <c r="B673" t="str">
        <f>LEFT(Table3[[#This Row],[EPI_DGN_ANTIC]],1)</f>
        <v>2</v>
      </c>
      <c r="C673" s="8" t="str">
        <f>LEFT(Table3[[#This Row],[EPI_DGN_ANTIC]],2)</f>
        <v>24</v>
      </c>
      <c r="D673" s="8" t="s">
        <v>1335</v>
      </c>
      <c r="E673" s="7">
        <v>0</v>
      </c>
      <c r="F673" s="24"/>
      <c r="G673" s="24"/>
      <c r="H673" s="10"/>
      <c r="I673" s="10"/>
      <c r="J673" s="7"/>
    </row>
    <row r="674" spans="1:10">
      <c r="A674" s="5">
        <v>672</v>
      </c>
      <c r="B674" t="str">
        <f>LEFT(Table3[[#This Row],[EPI_DGN_ANTIC]],1)</f>
        <v>2</v>
      </c>
      <c r="C674" s="10" t="str">
        <f>LEFT(Table3[[#This Row],[EPI_DGN_ANTIC]],2)</f>
        <v>25</v>
      </c>
      <c r="D674" s="8" t="s">
        <v>1336</v>
      </c>
      <c r="E674" s="7">
        <v>0</v>
      </c>
      <c r="F674" s="24"/>
      <c r="G674" s="24"/>
      <c r="H674" s="10"/>
      <c r="I674" s="10"/>
      <c r="J674" s="7"/>
    </row>
    <row r="675" spans="1:10">
      <c r="A675" s="5">
        <v>673</v>
      </c>
      <c r="B675" t="str">
        <f>LEFT(Table3[[#This Row],[EPI_DGN_ANTIC]],1)</f>
        <v>2</v>
      </c>
      <c r="C675" s="10" t="str">
        <f>LEFT(Table3[[#This Row],[EPI_DGN_ANTIC]],2)</f>
        <v>26</v>
      </c>
      <c r="D675" s="8" t="s">
        <v>1337</v>
      </c>
      <c r="E675" s="7">
        <v>0</v>
      </c>
      <c r="F675" s="24"/>
      <c r="G675" s="24"/>
      <c r="H675" s="10"/>
      <c r="I675" s="10"/>
      <c r="J675" s="7"/>
    </row>
    <row r="676" spans="1:10">
      <c r="A676" s="5">
        <v>674</v>
      </c>
      <c r="B676" t="str">
        <f>LEFT(Table3[[#This Row],[EPI_DGN_ANTIC]],1)</f>
        <v>2</v>
      </c>
      <c r="C676" s="8" t="str">
        <f>LEFT(Table3[[#This Row],[EPI_DGN_ANTIC]],2)</f>
        <v>20</v>
      </c>
      <c r="D676" s="8" t="s">
        <v>1338</v>
      </c>
      <c r="E676" s="7">
        <v>0</v>
      </c>
      <c r="F676" s="24"/>
      <c r="G676" s="24"/>
      <c r="H676" s="10"/>
      <c r="I676" s="10"/>
      <c r="J676" s="7"/>
    </row>
    <row r="677" spans="1:10">
      <c r="A677" s="5">
        <v>675</v>
      </c>
      <c r="B677" t="str">
        <f>LEFT(Table3[[#This Row],[EPI_DGN_ANTIC]],1)</f>
        <v>1</v>
      </c>
      <c r="C677" s="10" t="str">
        <f>LEFT(Table3[[#This Row],[EPI_DGN_ANTIC]],2)</f>
        <v>13</v>
      </c>
      <c r="D677" s="8" t="s">
        <v>1339</v>
      </c>
      <c r="E677" s="7">
        <v>0</v>
      </c>
      <c r="F677" s="24"/>
      <c r="G677" s="24"/>
      <c r="H677" s="10"/>
      <c r="I677" s="10"/>
      <c r="J677" s="7"/>
    </row>
    <row r="678" spans="1:10">
      <c r="A678" s="5">
        <v>676</v>
      </c>
      <c r="B678" t="str">
        <f>LEFT(Table3[[#This Row],[EPI_DGN_ANTIC]],1)</f>
        <v>2</v>
      </c>
      <c r="C678" s="8" t="str">
        <f>LEFT(Table3[[#This Row],[EPI_DGN_ANTIC]],2)</f>
        <v>27</v>
      </c>
      <c r="D678" s="8" t="s">
        <v>1340</v>
      </c>
      <c r="E678" s="7">
        <v>0</v>
      </c>
      <c r="F678" s="24"/>
      <c r="G678" s="24"/>
      <c r="H678" s="10"/>
      <c r="I678" s="10"/>
      <c r="J678" s="7"/>
    </row>
    <row r="679" spans="1:10">
      <c r="A679" s="5">
        <v>677</v>
      </c>
      <c r="B679" t="str">
        <f>LEFT(Table3[[#This Row],[EPI_DGN_ANTIC]],1)</f>
        <v>1</v>
      </c>
      <c r="C679" s="8" t="str">
        <f>LEFT(Table3[[#This Row],[EPI_DGN_ANTIC]],2)</f>
        <v>18</v>
      </c>
      <c r="D679" s="8" t="s">
        <v>1341</v>
      </c>
      <c r="E679" s="7">
        <v>0</v>
      </c>
      <c r="F679" s="24"/>
      <c r="G679" s="24"/>
      <c r="H679" s="10"/>
      <c r="I679" s="10"/>
      <c r="J679" s="7"/>
    </row>
    <row r="680" spans="1:10">
      <c r="A680" s="5">
        <v>678</v>
      </c>
      <c r="B680" t="str">
        <f>LEFT(Table3[[#This Row],[EPI_DGN_ANTIC]],1)</f>
        <v>2</v>
      </c>
      <c r="C680" s="8" t="str">
        <f>LEFT(Table3[[#This Row],[EPI_DGN_ANTIC]],2)</f>
        <v>22</v>
      </c>
      <c r="D680" s="8" t="s">
        <v>1342</v>
      </c>
      <c r="E680" s="7">
        <v>0</v>
      </c>
      <c r="F680" s="24"/>
      <c r="G680" s="24"/>
      <c r="H680" s="10"/>
      <c r="I680" s="10"/>
      <c r="J680" s="7"/>
    </row>
    <row r="681" spans="1:10">
      <c r="A681" s="5">
        <v>679</v>
      </c>
      <c r="B681" t="str">
        <f>LEFT(Table3[[#This Row],[EPI_DGN_ANTIC]],1)</f>
        <v>3</v>
      </c>
      <c r="C681" s="10" t="str">
        <f>LEFT(Table3[[#This Row],[EPI_DGN_ANTIC]],2)</f>
        <v>3/</v>
      </c>
      <c r="D681" s="8" t="s">
        <v>1343</v>
      </c>
      <c r="E681" s="7">
        <v>0</v>
      </c>
      <c r="F681" s="24"/>
      <c r="G681" s="24"/>
      <c r="H681" s="10"/>
      <c r="I681" s="10"/>
      <c r="J681" s="7"/>
    </row>
    <row r="682" spans="1:10">
      <c r="A682" s="5">
        <v>680</v>
      </c>
      <c r="B682" t="str">
        <f>LEFT(Table3[[#This Row],[EPI_DGN_ANTIC]],1)</f>
        <v>2</v>
      </c>
      <c r="C682" s="10" t="str">
        <f>LEFT(Table3[[#This Row],[EPI_DGN_ANTIC]],2)</f>
        <v>21</v>
      </c>
      <c r="D682" s="8" t="s">
        <v>1344</v>
      </c>
      <c r="E682" s="7">
        <v>0</v>
      </c>
      <c r="F682" s="24"/>
      <c r="G682" s="24"/>
      <c r="H682" s="10"/>
      <c r="I682" s="10"/>
      <c r="J682" s="7"/>
    </row>
    <row r="683" spans="1:10">
      <c r="A683" s="5">
        <v>681</v>
      </c>
      <c r="B683" t="str">
        <f>LEFT(Table3[[#This Row],[EPI_DGN_ANTIC]],1)</f>
        <v>6</v>
      </c>
      <c r="C683" s="10" t="str">
        <f>LEFT(Table3[[#This Row],[EPI_DGN_ANTIC]],2)</f>
        <v>6/</v>
      </c>
      <c r="D683" s="8" t="s">
        <v>1345</v>
      </c>
      <c r="E683" s="7">
        <v>0</v>
      </c>
      <c r="F683" s="24"/>
      <c r="G683" s="24"/>
      <c r="H683" s="10"/>
      <c r="I683" s="10"/>
      <c r="J683" s="7"/>
    </row>
    <row r="684" spans="1:10">
      <c r="A684" s="5">
        <v>682</v>
      </c>
      <c r="B684" t="str">
        <f>LEFT(Table3[[#This Row],[EPI_DGN_ANTIC]],1)</f>
        <v>7</v>
      </c>
      <c r="C684" s="8" t="str">
        <f>LEFT(Table3[[#This Row],[EPI_DGN_ANTIC]],2)</f>
        <v>7/</v>
      </c>
      <c r="D684" s="8" t="s">
        <v>1346</v>
      </c>
      <c r="E684" s="7">
        <v>0</v>
      </c>
      <c r="F684" s="24"/>
      <c r="G684" s="24"/>
      <c r="H684" s="10"/>
      <c r="I684" s="10"/>
      <c r="J684" s="7"/>
    </row>
    <row r="685" spans="1:10">
      <c r="A685" s="5">
        <v>683</v>
      </c>
      <c r="B685" t="str">
        <f>LEFT(Table3[[#This Row],[EPI_DGN_ANTIC]],1)</f>
        <v>1</v>
      </c>
      <c r="C685" s="8" t="str">
        <f>LEFT(Table3[[#This Row],[EPI_DGN_ANTIC]],2)</f>
        <v>14</v>
      </c>
      <c r="D685" s="8" t="s">
        <v>1347</v>
      </c>
      <c r="E685" s="7">
        <v>0</v>
      </c>
      <c r="F685" s="24"/>
      <c r="G685" s="24"/>
      <c r="H685" s="10"/>
      <c r="I685" s="10"/>
      <c r="J685" s="7"/>
    </row>
    <row r="686" spans="1:10">
      <c r="A686" s="5">
        <v>684</v>
      </c>
      <c r="B686" t="str">
        <f>LEFT(Table3[[#This Row],[EPI_DGN_ANTIC]],1)</f>
        <v>1</v>
      </c>
      <c r="C686" s="10" t="str">
        <f>LEFT(Table3[[#This Row],[EPI_DGN_ANTIC]],2)</f>
        <v>15</v>
      </c>
      <c r="D686" s="8" t="s">
        <v>1348</v>
      </c>
      <c r="E686" s="7">
        <v>0</v>
      </c>
      <c r="F686" s="24"/>
      <c r="G686" s="24"/>
      <c r="H686" s="10"/>
      <c r="I686" s="10"/>
      <c r="J686" s="7"/>
    </row>
    <row r="687" spans="1:10">
      <c r="A687" s="5">
        <v>685</v>
      </c>
      <c r="B687" t="str">
        <f>LEFT(Table3[[#This Row],[EPI_DGN_ANTIC]],1)</f>
        <v>1</v>
      </c>
      <c r="C687" s="10" t="str">
        <f>LEFT(Table3[[#This Row],[EPI_DGN_ANTIC]],2)</f>
        <v>16</v>
      </c>
      <c r="D687" s="8" t="s">
        <v>1349</v>
      </c>
      <c r="E687" s="7">
        <v>0</v>
      </c>
      <c r="F687" s="24"/>
      <c r="G687" s="24"/>
      <c r="H687" s="10"/>
      <c r="I687" s="10"/>
      <c r="J687" s="7"/>
    </row>
    <row r="688" spans="1:10">
      <c r="A688" s="5">
        <v>686</v>
      </c>
      <c r="B688" t="str">
        <f>LEFT(Table3[[#This Row],[EPI_DGN_ANTIC]],1)</f>
        <v>1</v>
      </c>
      <c r="C688" s="10" t="str">
        <f>LEFT(Table3[[#This Row],[EPI_DGN_ANTIC]],2)</f>
        <v>17</v>
      </c>
      <c r="D688" s="8" t="s">
        <v>1350</v>
      </c>
      <c r="E688" s="7">
        <v>0</v>
      </c>
      <c r="F688" s="24"/>
      <c r="G688" s="24"/>
      <c r="H688" s="10"/>
      <c r="I688" s="10"/>
      <c r="J688" s="7"/>
    </row>
    <row r="689" spans="1:10">
      <c r="A689" s="5">
        <v>687</v>
      </c>
      <c r="B689" t="str">
        <f>LEFT(Table3[[#This Row],[EPI_DGN_ANTIC]],1)</f>
        <v>1</v>
      </c>
      <c r="C689" s="8" t="str">
        <f>LEFT(Table3[[#This Row],[EPI_DGN_ANTIC]],2)</f>
        <v>1/</v>
      </c>
      <c r="D689" s="8" t="s">
        <v>1351</v>
      </c>
      <c r="E689" s="7">
        <v>0</v>
      </c>
      <c r="F689" s="24"/>
      <c r="G689" s="24"/>
      <c r="H689" s="10"/>
      <c r="I689" s="10"/>
      <c r="J689" s="7"/>
    </row>
    <row r="690" spans="1:10">
      <c r="A690" s="5">
        <v>688</v>
      </c>
      <c r="B690" t="str">
        <f>LEFT(Table3[[#This Row],[EPI_DGN_ANTIC]],1)</f>
        <v>1</v>
      </c>
      <c r="C690" s="8" t="str">
        <f>LEFT(Table3[[#This Row],[EPI_DGN_ANTIC]],2)</f>
        <v>10</v>
      </c>
      <c r="D690" s="8" t="s">
        <v>1352</v>
      </c>
      <c r="E690" s="7">
        <v>0</v>
      </c>
      <c r="F690" s="24"/>
      <c r="G690" s="24"/>
      <c r="H690" s="10"/>
      <c r="I690" s="10"/>
      <c r="J690" s="7"/>
    </row>
    <row r="691" spans="1:10">
      <c r="A691" s="5">
        <v>689</v>
      </c>
      <c r="B691" t="str">
        <f>LEFT(Table3[[#This Row],[EPI_DGN_ANTIC]],1)</f>
        <v>4</v>
      </c>
      <c r="C691" s="10" t="str">
        <f>LEFT(Table3[[#This Row],[EPI_DGN_ANTIC]],2)</f>
        <v>4/</v>
      </c>
      <c r="D691" s="8" t="s">
        <v>1353</v>
      </c>
      <c r="E691" s="7">
        <v>0</v>
      </c>
      <c r="F691" s="24"/>
      <c r="G691" s="24"/>
      <c r="H691" s="10"/>
      <c r="I691" s="10"/>
      <c r="J691" s="7"/>
    </row>
    <row r="692" spans="1:10">
      <c r="A692" s="11">
        <v>690</v>
      </c>
      <c r="B692" t="str">
        <f>LEFT(Table3[[#This Row],[EPI_DGN_ANTIC]],1)</f>
        <v>8</v>
      </c>
      <c r="C692" s="13" t="str">
        <f>LEFT(Table3[[#This Row],[EPI_DGN_ANTIC]],2)</f>
        <v>8/</v>
      </c>
      <c r="D692" s="12" t="s">
        <v>1354</v>
      </c>
      <c r="E692" s="14">
        <v>0</v>
      </c>
      <c r="F692" s="25"/>
      <c r="G692" s="25"/>
      <c r="H692" s="13"/>
      <c r="I692" s="13"/>
      <c r="J692" s="14"/>
    </row>
    <row r="693" spans="1:10">
      <c r="A693" s="5"/>
      <c r="B693" s="18"/>
      <c r="C693" s="10"/>
      <c r="D693" s="8"/>
      <c r="E693" s="10">
        <f>COUNT(Table3[[#Headers],[#Data],[check]])</f>
        <v>691</v>
      </c>
      <c r="F693" s="10"/>
      <c r="G693" s="10"/>
    </row>
    <row r="694" spans="1:10">
      <c r="A694">
        <f>MAX(Table3[[#All],[id1]])</f>
        <v>690</v>
      </c>
      <c r="E694" s="19">
        <f>COUNTBLANK(Table3[[#Headers],[#Data],[check]])</f>
        <v>0</v>
      </c>
      <c r="F694" s="19"/>
      <c r="G694" s="27"/>
    </row>
  </sheetData>
  <conditionalFormatting sqref="E1 B1:C1 E3:E5 B693:C1048576 E7:E1048576 C199:C638 J1:J1048576 C643:C652 B4:B692 C656:C657 C662:C665 C667:C670 C674:C675 C681:C683 C686:C688 C691:C692 C677 C659:C660 C2:C197">
    <cfRule type="containsText" dxfId="52" priority="21" operator="containsText" text="0">
      <formula>NOT(ISERROR(SEARCH("0",B1)))</formula>
    </cfRule>
  </conditionalFormatting>
  <conditionalFormatting sqref="E1 B1:C1 E3:E5 B693:C1048576 E7:E1048576 C199:C638 J1:J1048576 C643:C652 B4:B692 C656:C657 C662:C665 C667:C670 C674:C675 C681:C683 C686:C688 C691:C692 C677 C659:C660 C2:C197">
    <cfRule type="cellIs" dxfId="51" priority="20" operator="equal">
      <formula>1</formula>
    </cfRule>
  </conditionalFormatting>
  <conditionalFormatting sqref="E1 B1:C1 E3:E5 B693:C1048576 E7:E1048576 C199:C638 J1:J1048576 C643:C652 B4:B692 C656:C657 C662:C665 C667:C670 C674:C675 C681:C683 C686:C688 C691:C692 C677 C659:C660 C2:C197">
    <cfRule type="containsText" dxfId="50" priority="19" operator="containsText" text="2">
      <formula>NOT(ISERROR(SEARCH("2",B1)))</formula>
    </cfRule>
  </conditionalFormatting>
  <conditionalFormatting sqref="E2 E6">
    <cfRule type="containsText" dxfId="49" priority="15" operator="containsText" text="0">
      <formula>NOT(ISERROR(SEARCH("0",E2)))</formula>
    </cfRule>
  </conditionalFormatting>
  <conditionalFormatting sqref="E2 E6">
    <cfRule type="cellIs" dxfId="48" priority="14" operator="equal">
      <formula>1</formula>
    </cfRule>
  </conditionalFormatting>
  <conditionalFormatting sqref="E2 E6">
    <cfRule type="containsText" dxfId="47" priority="13" operator="containsText" text="2">
      <formula>NOT(ISERROR(SEARCH("2",E2)))</formula>
    </cfRule>
  </conditionalFormatting>
  <conditionalFormatting sqref="L2:L4">
    <cfRule type="containsText" dxfId="46" priority="12" operator="containsText" text="0">
      <formula>NOT(ISERROR(SEARCH("0",L2)))</formula>
    </cfRule>
  </conditionalFormatting>
  <conditionalFormatting sqref="L2:L4">
    <cfRule type="cellIs" dxfId="45" priority="11" operator="equal">
      <formula>1</formula>
    </cfRule>
  </conditionalFormatting>
  <conditionalFormatting sqref="L2:L4">
    <cfRule type="containsText" dxfId="44" priority="10" operator="containsText" text="2">
      <formula>NOT(ISERROR(SEARCH("2",L2)))</formula>
    </cfRule>
  </conditionalFormatting>
  <conditionalFormatting sqref="F694:G694">
    <cfRule type="containsText" dxfId="43" priority="6" operator="containsText" text="0">
      <formula>NOT(ISERROR(SEARCH("0",F694)))</formula>
    </cfRule>
  </conditionalFormatting>
  <conditionalFormatting sqref="F694:G694">
    <cfRule type="cellIs" dxfId="42" priority="5" operator="equal">
      <formula>1</formula>
    </cfRule>
  </conditionalFormatting>
  <conditionalFormatting sqref="F694:G694">
    <cfRule type="containsText" dxfId="41" priority="4" operator="containsText" text="2">
      <formula>NOT(ISERROR(SEARCH("2",F694)))</formula>
    </cfRule>
  </conditionalFormatting>
  <conditionalFormatting sqref="F693:G693">
    <cfRule type="containsText" dxfId="40" priority="3" operator="containsText" text="0">
      <formula>NOT(ISERROR(SEARCH("0",F693)))</formula>
    </cfRule>
  </conditionalFormatting>
  <conditionalFormatting sqref="F693:G693">
    <cfRule type="cellIs" dxfId="39" priority="2" operator="equal">
      <formula>1</formula>
    </cfRule>
  </conditionalFormatting>
  <conditionalFormatting sqref="F693:G693">
    <cfRule type="containsText" dxfId="38" priority="1" operator="containsText" text="2">
      <formula>NOT(ISERROR(SEARCH("2",F693)))</formula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9"/>
  <sheetViews>
    <sheetView topLeftCell="A40" workbookViewId="0">
      <selection activeCell="F44" sqref="F44"/>
    </sheetView>
  </sheetViews>
  <sheetFormatPr defaultRowHeight="15"/>
  <cols>
    <col min="2" max="3" width="14.140625" customWidth="1"/>
    <col min="4" max="4" width="14.140625" bestFit="1" customWidth="1"/>
    <col min="5" max="5" width="14.140625" customWidth="1"/>
    <col min="6" max="7" width="20.42578125" customWidth="1"/>
    <col min="9" max="9" width="12.85546875" customWidth="1"/>
  </cols>
  <sheetData>
    <row r="1" spans="1:9">
      <c r="A1" t="s">
        <v>0</v>
      </c>
      <c r="B1" s="15" t="s">
        <v>1</v>
      </c>
      <c r="C1" s="17" t="s">
        <v>2</v>
      </c>
      <c r="D1" s="1" t="s">
        <v>3</v>
      </c>
      <c r="E1" s="10" t="s">
        <v>4</v>
      </c>
      <c r="F1" s="21" t="s">
        <v>5</v>
      </c>
      <c r="G1" s="29" t="s">
        <v>6</v>
      </c>
      <c r="H1" t="s">
        <v>7</v>
      </c>
      <c r="I1" s="1" t="s">
        <v>8</v>
      </c>
    </row>
    <row r="2" spans="1:9">
      <c r="A2" s="1">
        <v>0</v>
      </c>
      <c r="B2" t="s">
        <v>1355</v>
      </c>
      <c r="C2" t="str">
        <f>LEFT(Table1[[#This Row],[EPI_DGN_ANTIC]],1)</f>
        <v>Q</v>
      </c>
      <c r="D2" t="s">
        <v>1356</v>
      </c>
      <c r="E2" s="10">
        <v>0</v>
      </c>
      <c r="H2" s="1">
        <v>0</v>
      </c>
      <c r="I2" t="s">
        <v>1357</v>
      </c>
    </row>
    <row r="3" spans="1:9">
      <c r="A3" s="1">
        <v>1</v>
      </c>
      <c r="B3" t="str">
        <f>LEFT(Table1[[#This Row],[EPI_DGN_ANTIC]],1)</f>
        <v>Q</v>
      </c>
      <c r="C3" t="str">
        <f>LEFT(Table1[[#This Row],[EPI_DGN_ANTIC]],2)</f>
        <v>Q</v>
      </c>
      <c r="D3" t="s">
        <v>1358</v>
      </c>
      <c r="E3" s="10">
        <v>0</v>
      </c>
      <c r="H3" s="1">
        <v>1</v>
      </c>
      <c r="I3" t="s">
        <v>1359</v>
      </c>
    </row>
    <row r="4" spans="1:9">
      <c r="A4" s="1">
        <v>2</v>
      </c>
      <c r="B4" t="str">
        <f>LEFT(Table1[[#This Row],[EPI_DGN_ANTIC]],1)</f>
        <v>Q</v>
      </c>
      <c r="C4" t="str">
        <f>LEFT(Table1[[#This Row],[EPI_DGN_ANTIC]],2)</f>
        <v>Q</v>
      </c>
      <c r="D4" t="s">
        <v>1358</v>
      </c>
      <c r="E4" s="10">
        <v>0</v>
      </c>
      <c r="H4" s="1">
        <v>2</v>
      </c>
      <c r="I4" t="s">
        <v>1360</v>
      </c>
    </row>
    <row r="5" spans="1:9">
      <c r="A5" s="1">
        <v>3</v>
      </c>
      <c r="B5" t="str">
        <f>LEFT(Table1[[#This Row],[EPI_DGN_ANTIC]],1)</f>
        <v>Q</v>
      </c>
      <c r="C5" t="str">
        <f>LEFT(Table1[[#This Row],[EPI_DGN_ANTIC]],2)</f>
        <v>Qa</v>
      </c>
      <c r="D5" t="s">
        <v>1361</v>
      </c>
      <c r="E5" s="10">
        <v>0</v>
      </c>
      <c r="H5" s="1">
        <v>3</v>
      </c>
      <c r="I5" t="s">
        <v>1362</v>
      </c>
    </row>
    <row r="6" spans="1:9">
      <c r="A6" s="1">
        <v>4</v>
      </c>
      <c r="B6" t="str">
        <f>LEFT(Table1[[#This Row],[EPI_DGN_ANTIC]],1)</f>
        <v>Q</v>
      </c>
      <c r="C6" t="str">
        <f>LEFT(Table1[[#This Row],[EPI_DGN_ANTIC]],3)</f>
        <v>Qtb</v>
      </c>
      <c r="D6" t="s">
        <v>1363</v>
      </c>
      <c r="E6" s="10">
        <v>0</v>
      </c>
      <c r="H6" s="1">
        <v>4</v>
      </c>
      <c r="I6" t="s">
        <v>1364</v>
      </c>
    </row>
    <row r="7" spans="1:9">
      <c r="A7" s="1">
        <v>5</v>
      </c>
      <c r="B7" t="str">
        <f>LEFT(Table1[[#This Row],[EPI_DGN_ANTIC]],1)</f>
        <v>Q</v>
      </c>
      <c r="C7" t="str">
        <f>LEFT(Table1[[#This Row],[EPI_DGN_ANTIC]],2)</f>
        <v>Qs</v>
      </c>
      <c r="D7" t="s">
        <v>1365</v>
      </c>
      <c r="E7" s="10">
        <v>0</v>
      </c>
      <c r="H7" s="1">
        <v>5</v>
      </c>
      <c r="I7" t="s">
        <v>707</v>
      </c>
    </row>
    <row r="8" spans="1:9">
      <c r="A8" s="1">
        <v>6</v>
      </c>
      <c r="B8" t="str">
        <f>LEFT(Table1[[#This Row],[EPI_DGN_ANTIC]],1)</f>
        <v>Q</v>
      </c>
      <c r="C8" t="str">
        <f>LEFT(Table1[[#This Row],[EPI_DGN_ANTIC]],2)</f>
        <v>Qp</v>
      </c>
      <c r="D8" t="s">
        <v>1366</v>
      </c>
      <c r="E8" s="10">
        <v>0</v>
      </c>
      <c r="H8" s="1">
        <v>6</v>
      </c>
      <c r="I8" t="s">
        <v>707</v>
      </c>
    </row>
    <row r="9" spans="1:9">
      <c r="A9" s="1">
        <v>7</v>
      </c>
      <c r="B9" t="str">
        <f>LEFT(Table1[[#This Row],[EPI_DGN_ANTIC]],1)</f>
        <v>Q</v>
      </c>
      <c r="C9" t="str">
        <f>LEFT(Table1[[#This Row],[EPI_DGN_ANTIC]],2)</f>
        <v>Ql</v>
      </c>
      <c r="D9" t="s">
        <v>1367</v>
      </c>
      <c r="E9" s="10">
        <v>0</v>
      </c>
      <c r="H9" s="1">
        <v>7</v>
      </c>
      <c r="I9" t="s">
        <v>1368</v>
      </c>
    </row>
    <row r="10" spans="1:9">
      <c r="A10" s="1">
        <v>8</v>
      </c>
      <c r="B10" t="str">
        <f>LEFT(Table1[[#This Row],[EPI_DGN_ANTIC]],1)</f>
        <v>Q</v>
      </c>
      <c r="C10" t="str">
        <f>LEFT(Table1[[#This Row],[EPI_DGN_ANTIC]],2)</f>
        <v>Qs</v>
      </c>
      <c r="D10" t="s">
        <v>1369</v>
      </c>
      <c r="E10" s="10">
        <v>1</v>
      </c>
      <c r="F10" t="s">
        <v>1370</v>
      </c>
      <c r="H10" s="1">
        <v>8</v>
      </c>
      <c r="I10" t="s">
        <v>715</v>
      </c>
    </row>
    <row r="11" spans="1:9">
      <c r="A11" s="1">
        <v>9</v>
      </c>
      <c r="B11" t="str">
        <f>LEFT(Table1[[#This Row],[EPI_DGN_ANTIC]],1)</f>
        <v>Q</v>
      </c>
      <c r="C11" t="str">
        <f>LEFT(Table1[[#This Row],[EPI_DGN_ANTIC]],2)</f>
        <v>Ql</v>
      </c>
      <c r="D11" t="s">
        <v>1371</v>
      </c>
      <c r="E11" s="10">
        <v>1</v>
      </c>
      <c r="F11" t="s">
        <v>67</v>
      </c>
      <c r="H11" s="1">
        <v>9</v>
      </c>
      <c r="I11" t="s">
        <v>1372</v>
      </c>
    </row>
    <row r="12" spans="1:9">
      <c r="A12" s="1">
        <v>10</v>
      </c>
      <c r="B12" t="str">
        <f>LEFT(Table1[[#This Row],[EPI_DGN_ANTIC]],1)</f>
        <v>Q</v>
      </c>
      <c r="C12" t="str">
        <f>LEFT(Table1[[#This Row],[EPI_DGN_ANTIC]],2)</f>
        <v>Qp</v>
      </c>
      <c r="D12" t="s">
        <v>1373</v>
      </c>
      <c r="E12" s="10">
        <v>1</v>
      </c>
      <c r="F12" t="s">
        <v>1374</v>
      </c>
      <c r="H12" s="1">
        <v>10</v>
      </c>
      <c r="I12" t="s">
        <v>1375</v>
      </c>
    </row>
    <row r="13" spans="1:9">
      <c r="A13" s="1">
        <v>11</v>
      </c>
      <c r="B13" t="str">
        <f>LEFT(Table1[[#This Row],[EPI_DGN_ANTIC]],1)</f>
        <v>Q</v>
      </c>
      <c r="C13" t="str">
        <f>LEFT(Table1[[#This Row],[EPI_DGN_ANTIC]],2)</f>
        <v>Qp</v>
      </c>
      <c r="D13" t="s">
        <v>1376</v>
      </c>
      <c r="E13" s="10">
        <v>1</v>
      </c>
      <c r="F13" t="s">
        <v>1377</v>
      </c>
      <c r="H13" s="1">
        <v>11</v>
      </c>
      <c r="I13" t="s">
        <v>1378</v>
      </c>
    </row>
    <row r="14" spans="1:9">
      <c r="A14" s="1">
        <v>12</v>
      </c>
      <c r="B14" t="str">
        <f>LEFT(Table1[[#This Row],[EPI_DGN_ANTIC]],1)</f>
        <v>Q</v>
      </c>
      <c r="C14" t="str">
        <f>LEFT(Table1[[#This Row],[EPI_DGN_ANTIC]],3)</f>
        <v>Qv</v>
      </c>
      <c r="D14" t="s">
        <v>1379</v>
      </c>
      <c r="E14" s="10">
        <v>0</v>
      </c>
      <c r="H14" s="1">
        <v>12</v>
      </c>
      <c r="I14" t="s">
        <v>1380</v>
      </c>
    </row>
    <row r="15" spans="1:9">
      <c r="A15" s="1">
        <v>13</v>
      </c>
      <c r="B15" t="str">
        <f>LEFT(Table1[[#This Row],[EPI_DGN_ANTIC]],1)</f>
        <v>Q</v>
      </c>
      <c r="C15" t="str">
        <f>LEFT(Table1[[#This Row],[EPI_DGN_ANTIC]],3)</f>
        <v>Qv0</v>
      </c>
      <c r="D15" t="s">
        <v>1381</v>
      </c>
      <c r="E15" s="10">
        <v>1</v>
      </c>
      <c r="F15" t="s">
        <v>1382</v>
      </c>
      <c r="H15" s="1">
        <v>13</v>
      </c>
      <c r="I15" t="s">
        <v>1383</v>
      </c>
    </row>
    <row r="16" spans="1:9">
      <c r="A16" s="1">
        <v>14</v>
      </c>
      <c r="B16" t="str">
        <f>LEFT(Table1[[#This Row],[EPI_DGN_ANTIC]],1)</f>
        <v>Q</v>
      </c>
      <c r="C16" t="str">
        <f>LEFT(Table1[[#This Row],[EPI_DGN_ANTIC]],3)</f>
        <v>Qv1</v>
      </c>
      <c r="D16" t="s">
        <v>1384</v>
      </c>
      <c r="E16" s="10">
        <v>1</v>
      </c>
      <c r="F16" t="s">
        <v>1385</v>
      </c>
      <c r="H16" s="1">
        <v>14</v>
      </c>
      <c r="I16" t="s">
        <v>1386</v>
      </c>
    </row>
    <row r="17" spans="1:9">
      <c r="A17" s="1">
        <v>15</v>
      </c>
      <c r="B17" t="str">
        <f>LEFT(Table1[[#This Row],[EPI_DGN_ANTIC]],1)</f>
        <v>Q</v>
      </c>
      <c r="C17" t="str">
        <f>LEFT(Table1[[#This Row],[EPI_DGN_ANTIC]],3)</f>
        <v>Qv1</v>
      </c>
      <c r="D17" t="s">
        <v>1387</v>
      </c>
      <c r="E17" s="10">
        <v>1</v>
      </c>
      <c r="F17" t="s">
        <v>1388</v>
      </c>
      <c r="H17" s="1">
        <v>15</v>
      </c>
      <c r="I17" t="s">
        <v>1389</v>
      </c>
    </row>
    <row r="18" spans="1:9">
      <c r="A18" s="1">
        <v>16</v>
      </c>
      <c r="B18" t="str">
        <f>LEFT(Table1[[#This Row],[EPI_DGN_ANTIC]],1)</f>
        <v>Q</v>
      </c>
      <c r="C18" t="str">
        <f>LEFT(Table1[[#This Row],[EPI_DGN_ANTIC]],3)</f>
        <v>Qv1</v>
      </c>
      <c r="D18" t="s">
        <v>1390</v>
      </c>
      <c r="E18" s="10">
        <v>1</v>
      </c>
      <c r="F18" t="s">
        <v>1385</v>
      </c>
      <c r="H18" s="1">
        <v>16</v>
      </c>
      <c r="I18" t="s">
        <v>1391</v>
      </c>
    </row>
    <row r="19" spans="1:9">
      <c r="A19" s="1">
        <v>17</v>
      </c>
      <c r="B19" t="str">
        <f>LEFT(Table1[[#This Row],[EPI_DGN_ANTIC]],1)</f>
        <v>Q</v>
      </c>
      <c r="C19" t="str">
        <f>LEFT(Table1[[#This Row],[EPI_DGN_ANTIC]],3)</f>
        <v>Qv2</v>
      </c>
      <c r="D19" t="s">
        <v>1392</v>
      </c>
      <c r="E19" s="10">
        <v>1</v>
      </c>
      <c r="F19" t="s">
        <v>1393</v>
      </c>
      <c r="H19" s="1">
        <v>17</v>
      </c>
      <c r="I19" t="s">
        <v>1378</v>
      </c>
    </row>
    <row r="20" spans="1:9">
      <c r="A20" s="1">
        <v>18</v>
      </c>
      <c r="B20" t="str">
        <f>LEFT(Table1[[#This Row],[EPI_DGN_ANTIC]],1)</f>
        <v>Q</v>
      </c>
      <c r="C20" t="str">
        <f>LEFT(Table1[[#This Row],[EPI_DGN_ANTIC]],3)</f>
        <v>Qv2</v>
      </c>
      <c r="D20" t="s">
        <v>1394</v>
      </c>
      <c r="E20" s="10">
        <v>1</v>
      </c>
      <c r="F20" t="s">
        <v>1393</v>
      </c>
      <c r="H20" s="1">
        <v>18</v>
      </c>
      <c r="I20" t="s">
        <v>1395</v>
      </c>
    </row>
    <row r="21" spans="1:9">
      <c r="A21" s="1">
        <v>19</v>
      </c>
      <c r="B21" t="str">
        <f>LEFT(Table1[[#This Row],[EPI_DGN_ANTIC]],1)</f>
        <v>Q</v>
      </c>
      <c r="C21" t="str">
        <f>LEFT(Table1[[#This Row],[EPI_DGN_ANTIC]],3)</f>
        <v>Qv2</v>
      </c>
      <c r="D21" t="s">
        <v>1396</v>
      </c>
      <c r="E21" s="10">
        <v>1</v>
      </c>
      <c r="F21" t="s">
        <v>1393</v>
      </c>
      <c r="H21" s="1">
        <v>19</v>
      </c>
      <c r="I21" t="s">
        <v>715</v>
      </c>
    </row>
    <row r="22" spans="1:9">
      <c r="A22" s="1">
        <v>20</v>
      </c>
      <c r="B22" t="str">
        <f>LEFT(Table1[[#This Row],[EPI_DGN_ANTIC]],1)</f>
        <v>Q</v>
      </c>
      <c r="C22" t="str">
        <f>LEFT(Table1[[#This Row],[EPI_DGN_ANTIC]],3)</f>
        <v>Qv2</v>
      </c>
      <c r="D22" t="s">
        <v>1397</v>
      </c>
      <c r="E22" s="10">
        <v>1</v>
      </c>
      <c r="F22" t="s">
        <v>1393</v>
      </c>
      <c r="H22" s="1">
        <v>20</v>
      </c>
      <c r="I22" t="s">
        <v>1372</v>
      </c>
    </row>
    <row r="23" spans="1:9">
      <c r="A23" s="1">
        <v>21</v>
      </c>
      <c r="B23" t="str">
        <f>LEFT(Table1[[#This Row],[EPI_DGN_ANTIC]],1)</f>
        <v>Q</v>
      </c>
      <c r="C23" t="str">
        <f>LEFT(Table1[[#This Row],[EPI_DGN_ANTIC]],3)</f>
        <v>Qv3</v>
      </c>
      <c r="D23" t="s">
        <v>1398</v>
      </c>
      <c r="E23" s="10">
        <v>1</v>
      </c>
      <c r="F23" t="s">
        <v>1399</v>
      </c>
      <c r="H23" s="1">
        <v>21</v>
      </c>
      <c r="I23" t="s">
        <v>1400</v>
      </c>
    </row>
    <row r="24" spans="1:9">
      <c r="A24" s="1">
        <v>22</v>
      </c>
      <c r="B24" t="str">
        <f>LEFT(Table1[[#This Row],[EPI_DGN_ANTIC]],1)</f>
        <v>Q</v>
      </c>
      <c r="C24" t="str">
        <f>LEFT(Table1[[#This Row],[EPI_DGN_ANTIC]],3)</f>
        <v>Qv3</v>
      </c>
      <c r="D24" t="s">
        <v>1401</v>
      </c>
      <c r="E24" s="10">
        <v>1</v>
      </c>
      <c r="F24" t="s">
        <v>1399</v>
      </c>
      <c r="H24" s="1">
        <v>22</v>
      </c>
      <c r="I24" t="s">
        <v>1402</v>
      </c>
    </row>
    <row r="25" spans="1:9">
      <c r="A25" s="1">
        <v>23</v>
      </c>
      <c r="B25" t="str">
        <f>LEFT(Table1[[#This Row],[EPI_DGN_ANTIC]],1)</f>
        <v>Q</v>
      </c>
      <c r="C25" t="str">
        <f>LEFT(Table1[[#This Row],[EPI_DGN_ANTIC]],3)</f>
        <v>Qv3</v>
      </c>
      <c r="D25" t="s">
        <v>1403</v>
      </c>
      <c r="E25" s="10">
        <v>1</v>
      </c>
      <c r="F25" t="s">
        <v>1399</v>
      </c>
      <c r="H25" s="1">
        <v>23</v>
      </c>
      <c r="I25" t="s">
        <v>1404</v>
      </c>
    </row>
    <row r="26" spans="1:9">
      <c r="A26" s="1">
        <v>24</v>
      </c>
      <c r="B26" t="str">
        <f>LEFT(Table1[[#This Row],[EPI_DGN_ANTIC]],1)</f>
        <v>Q</v>
      </c>
      <c r="C26" t="str">
        <f>LEFT(Table1[[#This Row],[EPI_DGN_ANTIC]],3)</f>
        <v>Qva</v>
      </c>
      <c r="D26" t="s">
        <v>1405</v>
      </c>
      <c r="E26" s="10">
        <v>0</v>
      </c>
      <c r="H26" s="1">
        <v>24</v>
      </c>
      <c r="I26" t="s">
        <v>1406</v>
      </c>
    </row>
    <row r="27" spans="1:9">
      <c r="A27" s="1">
        <v>25</v>
      </c>
      <c r="B27" t="str">
        <f>LEFT(Table1[[#This Row],[EPI_DGN_ANTIC]],1)</f>
        <v>Q</v>
      </c>
      <c r="C27" t="str">
        <f>LEFT(Table1[[#This Row],[EPI_DGN_ANTIC]],3)</f>
        <v>Qvg</v>
      </c>
      <c r="D27" t="s">
        <v>1407</v>
      </c>
      <c r="E27" s="10">
        <v>1</v>
      </c>
      <c r="F27" t="s">
        <v>1408</v>
      </c>
      <c r="H27" s="1">
        <v>25</v>
      </c>
      <c r="I27" t="s">
        <v>1402</v>
      </c>
    </row>
    <row r="28" spans="1:9">
      <c r="A28" s="1">
        <v>26</v>
      </c>
      <c r="B28" t="str">
        <f>LEFT(Table1[[#This Row],[EPI_DGN_ANTIC]],1)</f>
        <v>Q</v>
      </c>
      <c r="C28" t="str">
        <f>LEFT(Table1[[#This Row],[EPI_DGN_ANTIC]],3)</f>
        <v>Qvi</v>
      </c>
      <c r="D28" t="s">
        <v>1409</v>
      </c>
      <c r="E28" s="10">
        <v>1</v>
      </c>
      <c r="F28" t="s">
        <v>1410</v>
      </c>
      <c r="H28" s="1">
        <v>26</v>
      </c>
      <c r="I28" t="s">
        <v>1411</v>
      </c>
    </row>
    <row r="29" spans="1:9">
      <c r="A29" s="1">
        <v>27</v>
      </c>
      <c r="B29" t="str">
        <f>LEFT(Table1[[#This Row],[EPI_DGN_ANTIC]],1)</f>
        <v>Q</v>
      </c>
      <c r="C29" t="str">
        <f>LEFT(Table1[[#This Row],[EPI_DGN_ANTIC]],3)</f>
        <v>Qvp</v>
      </c>
      <c r="D29" t="s">
        <v>1412</v>
      </c>
      <c r="E29" s="10">
        <v>1</v>
      </c>
      <c r="F29" t="s">
        <v>1413</v>
      </c>
      <c r="H29" s="1">
        <v>27</v>
      </c>
      <c r="I29" t="s">
        <v>1414</v>
      </c>
    </row>
    <row r="30" spans="1:9">
      <c r="A30" s="1">
        <v>28</v>
      </c>
      <c r="B30" t="str">
        <f>LEFT(Table1[[#This Row],[EPI_DGN_ANTIC]],1)</f>
        <v>Q</v>
      </c>
      <c r="C30" t="str">
        <f>LEFT(Table1[[#This Row],[EPI_DGN_ANTIC]],2)</f>
        <v>Qc</v>
      </c>
      <c r="D30" t="s">
        <v>1415</v>
      </c>
      <c r="E30" s="10">
        <v>0</v>
      </c>
      <c r="H30" s="1">
        <v>28</v>
      </c>
      <c r="I30" t="s">
        <v>1416</v>
      </c>
    </row>
    <row r="31" spans="1:9">
      <c r="A31" s="1">
        <v>29</v>
      </c>
      <c r="B31" t="str">
        <f>LEFT(Table1[[#This Row],[EPI_DGN_ANTIC]],1)</f>
        <v>Q</v>
      </c>
      <c r="C31" t="str">
        <f>LEFT(Table1[[#This Row],[EPI_DGN_ANTIC]],2)</f>
        <v>Qd</v>
      </c>
      <c r="D31" t="s">
        <v>1417</v>
      </c>
      <c r="E31" s="10">
        <v>0</v>
      </c>
      <c r="H31" s="1">
        <v>29</v>
      </c>
      <c r="I31" t="s">
        <v>1404</v>
      </c>
    </row>
    <row r="32" spans="1:9">
      <c r="A32" s="1">
        <v>30</v>
      </c>
      <c r="B32" t="str">
        <f>LEFT(Table1[[#This Row],[EPI_DGN_ANTIC]],1)</f>
        <v>Q</v>
      </c>
      <c r="C32" t="str">
        <f>LEFT(Table1[[#This Row],[EPI_DGN_ANTIC]],2)</f>
        <v>Qe</v>
      </c>
      <c r="D32" t="s">
        <v>1418</v>
      </c>
      <c r="E32" s="10">
        <v>0</v>
      </c>
      <c r="H32" s="1">
        <v>30</v>
      </c>
      <c r="I32" t="s">
        <v>1391</v>
      </c>
    </row>
    <row r="33" spans="1:9">
      <c r="A33" s="1">
        <v>31</v>
      </c>
      <c r="B33" t="str">
        <f>LEFT(Table1[[#This Row],[EPI_DGN_ANTIC]],1)</f>
        <v>Q</v>
      </c>
      <c r="C33" t="str">
        <f>LEFT(Table1[[#This Row],[EPI_DGN_ANTIC]],2)</f>
        <v>Qc</v>
      </c>
      <c r="D33" t="s">
        <v>1419</v>
      </c>
      <c r="E33" s="10">
        <v>1</v>
      </c>
      <c r="F33" t="s">
        <v>1420</v>
      </c>
      <c r="H33" s="1">
        <v>31</v>
      </c>
      <c r="I33" t="s">
        <v>1414</v>
      </c>
    </row>
    <row r="34" spans="1:9">
      <c r="A34" s="1">
        <v>32</v>
      </c>
      <c r="B34" t="str">
        <f>LEFT(Table1[[#This Row],[EPI_DGN_ANTIC]],1)</f>
        <v>Q</v>
      </c>
      <c r="C34" t="str">
        <f>LEFT(Table1[[#This Row],[EPI_DGN_ANTIC]],2)</f>
        <v>Qc</v>
      </c>
      <c r="D34" t="s">
        <v>1421</v>
      </c>
      <c r="E34" s="10">
        <v>1</v>
      </c>
      <c r="F34" t="s">
        <v>1408</v>
      </c>
      <c r="H34" s="1">
        <v>32</v>
      </c>
      <c r="I34" t="s">
        <v>1422</v>
      </c>
    </row>
    <row r="35" spans="1:9">
      <c r="A35" s="1">
        <v>33</v>
      </c>
      <c r="B35" t="str">
        <f>LEFT(Table1[[#This Row],[EPI_DGN_ANTIC]],1)</f>
        <v>Q</v>
      </c>
      <c r="C35" t="str">
        <f>LEFT(Table1[[#This Row],[EPI_DGN_ANTIC]],2)</f>
        <v>Qd</v>
      </c>
      <c r="D35" t="s">
        <v>1423</v>
      </c>
      <c r="E35" s="10">
        <v>1</v>
      </c>
      <c r="F35" t="s">
        <v>1420</v>
      </c>
      <c r="H35" s="1">
        <v>33</v>
      </c>
      <c r="I35" t="s">
        <v>1424</v>
      </c>
    </row>
    <row r="36" spans="1:9">
      <c r="A36" s="1">
        <v>34</v>
      </c>
      <c r="B36" t="str">
        <f>LEFT(Table1[[#This Row],[EPI_DGN_ANTIC]],1)</f>
        <v>Q</v>
      </c>
      <c r="C36" t="str">
        <f>LEFT(Table1[[#This Row],[EPI_DGN_ANTIC]],2)</f>
        <v>Qe</v>
      </c>
      <c r="D36" t="s">
        <v>1425</v>
      </c>
      <c r="E36" s="10">
        <v>1</v>
      </c>
      <c r="F36" t="s">
        <v>1426</v>
      </c>
      <c r="H36" s="1">
        <v>34</v>
      </c>
      <c r="I36" t="s">
        <v>707</v>
      </c>
    </row>
    <row r="37" spans="1:9">
      <c r="A37" s="1">
        <v>35</v>
      </c>
      <c r="B37" t="str">
        <f>LEFT(Table1[[#This Row],[EPI_DGN_ANTIC]],1)</f>
        <v>Q</v>
      </c>
      <c r="C37" t="str">
        <f>LEFT(Table1[[#This Row],[EPI_DGN_ANTIC]],2)</f>
        <v>Qa</v>
      </c>
      <c r="D37" t="s">
        <v>1427</v>
      </c>
      <c r="E37" s="10">
        <v>1</v>
      </c>
      <c r="F37" t="s">
        <v>1428</v>
      </c>
      <c r="H37" s="1">
        <v>35</v>
      </c>
      <c r="I37" t="s">
        <v>707</v>
      </c>
    </row>
    <row r="38" spans="1:9">
      <c r="A38" s="1">
        <v>36</v>
      </c>
      <c r="B38" t="str">
        <f>LEFT(Table1[[#This Row],[EPI_DGN_ANTIC]],1)</f>
        <v>Q</v>
      </c>
      <c r="C38" t="str">
        <f>LEFT(Table1[[#This Row],[EPI_DGN_ANTIC]],2)</f>
        <v>Qa</v>
      </c>
      <c r="D38" t="s">
        <v>1429</v>
      </c>
      <c r="E38" s="10">
        <v>1</v>
      </c>
      <c r="F38" t="s">
        <v>1430</v>
      </c>
      <c r="H38" s="1">
        <v>36</v>
      </c>
      <c r="I38" t="s">
        <v>1431</v>
      </c>
    </row>
    <row r="39" spans="1:9">
      <c r="A39" s="1">
        <v>37</v>
      </c>
      <c r="B39" t="str">
        <f>LEFT(Table1[[#This Row],[EPI_DGN_ANTIC]],1)</f>
        <v>Q</v>
      </c>
      <c r="C39" t="str">
        <f>LEFT(Table1[[#This Row],[EPI_DGN_ANTIC]],2)</f>
        <v>Qa</v>
      </c>
      <c r="D39" t="s">
        <v>1432</v>
      </c>
      <c r="E39" s="10">
        <v>1</v>
      </c>
      <c r="F39" t="s">
        <v>1433</v>
      </c>
      <c r="H39" s="1">
        <v>37</v>
      </c>
      <c r="I39" t="s">
        <v>1434</v>
      </c>
    </row>
    <row r="40" spans="1:9">
      <c r="A40" s="1">
        <v>38</v>
      </c>
      <c r="B40" t="str">
        <f>LEFT(Table1[[#This Row],[EPI_DGN_ANTIC]],1)</f>
        <v>Q</v>
      </c>
      <c r="C40" t="str">
        <f>LEFT(Table1[[#This Row],[EPI_DGN_ANTIC]],3)</f>
        <v>Qtr</v>
      </c>
      <c r="D40" t="s">
        <v>1435</v>
      </c>
      <c r="E40" s="10">
        <v>0</v>
      </c>
      <c r="H40" s="1">
        <v>38</v>
      </c>
      <c r="I40" t="s">
        <v>1436</v>
      </c>
    </row>
    <row r="41" spans="1:9">
      <c r="A41" s="1">
        <v>39</v>
      </c>
      <c r="B41" t="str">
        <f>LEFT(Table1[[#This Row],[EPI_DGN_ANTIC]],1)</f>
        <v>Q</v>
      </c>
      <c r="C41" t="str">
        <f>LEFT(Table1[[#This Row],[EPI_DGN_ANTIC]],2)</f>
        <v>Qc</v>
      </c>
      <c r="D41" t="s">
        <v>1437</v>
      </c>
      <c r="E41" s="10">
        <v>1</v>
      </c>
      <c r="F41" t="s">
        <v>1438</v>
      </c>
      <c r="H41" s="1">
        <v>39</v>
      </c>
      <c r="I41" t="s">
        <v>1431</v>
      </c>
    </row>
    <row r="42" spans="1:9">
      <c r="A42" s="1">
        <v>40</v>
      </c>
      <c r="B42" t="str">
        <f>LEFT(Table1[[#This Row],[EPI_DGN_ANTIC]],1)</f>
        <v>Q</v>
      </c>
      <c r="C42" t="str">
        <f>LEFT(Table1[[#This Row],[EPI_DGN_ANTIC]],2)</f>
        <v>Qc</v>
      </c>
      <c r="D42" t="s">
        <v>1439</v>
      </c>
      <c r="E42" s="10">
        <v>1</v>
      </c>
      <c r="F42" t="s">
        <v>1440</v>
      </c>
      <c r="H42" s="1">
        <v>40</v>
      </c>
      <c r="I42" t="s">
        <v>1441</v>
      </c>
    </row>
    <row r="43" spans="1:9">
      <c r="A43" s="1">
        <v>41</v>
      </c>
      <c r="B43" t="str">
        <f>LEFT(Table1[[#This Row],[EPI_DGN_ANTIC]],1)</f>
        <v>Q</v>
      </c>
      <c r="C43" t="str">
        <f>LEFT(Table1[[#This Row],[EPI_DGN_ANTIC]],2)</f>
        <v>Qc</v>
      </c>
      <c r="D43" t="s">
        <v>1442</v>
      </c>
      <c r="E43" s="10">
        <v>1</v>
      </c>
      <c r="F43" t="s">
        <v>1440</v>
      </c>
      <c r="H43" s="1">
        <v>41</v>
      </c>
      <c r="I43" t="s">
        <v>1431</v>
      </c>
    </row>
    <row r="44" spans="1:9">
      <c r="A44" s="1">
        <v>42</v>
      </c>
      <c r="B44" t="str">
        <f>LEFT(Table1[[#This Row],[EPI_DGN_ANTIC]],1)</f>
        <v>Q</v>
      </c>
      <c r="C44" t="str">
        <f>LEFT(Table1[[#This Row],[EPI_DGN_ANTIC]],2)</f>
        <v>Qc</v>
      </c>
      <c r="D44" t="s">
        <v>1443</v>
      </c>
      <c r="E44" s="10">
        <v>1</v>
      </c>
      <c r="F44" t="s">
        <v>1440</v>
      </c>
      <c r="H44" s="1">
        <v>42</v>
      </c>
      <c r="I44" t="s">
        <v>1444</v>
      </c>
    </row>
    <row r="45" spans="1:9">
      <c r="A45" s="1">
        <v>43</v>
      </c>
      <c r="B45" t="str">
        <f>LEFT(Table1[[#This Row],[EPI_DGN_ANTIC]],1)</f>
        <v>Q</v>
      </c>
      <c r="C45" t="str">
        <f>LEFT(Table1[[#This Row],[EPI_DGN_ANTIC]],2)</f>
        <v>Qc</v>
      </c>
      <c r="D45" t="s">
        <v>1445</v>
      </c>
      <c r="E45" s="10">
        <v>1</v>
      </c>
      <c r="F45" t="s">
        <v>1446</v>
      </c>
      <c r="H45" s="1">
        <v>43</v>
      </c>
      <c r="I45" t="s">
        <v>1431</v>
      </c>
    </row>
    <row r="46" spans="1:9">
      <c r="A46" s="1">
        <v>44</v>
      </c>
      <c r="B46" t="str">
        <f>LEFT(Table1[[#This Row],[EPI_DGN_ANTIC]],1)</f>
        <v>Q</v>
      </c>
      <c r="C46" t="str">
        <f>LEFT(Table1[[#This Row],[EPI_DGN_ANTIC]],2)</f>
        <v>Qc</v>
      </c>
      <c r="D46" t="s">
        <v>1447</v>
      </c>
      <c r="E46" s="10">
        <v>1</v>
      </c>
      <c r="F46" t="s">
        <v>1448</v>
      </c>
      <c r="H46" s="1">
        <v>44</v>
      </c>
      <c r="I46" t="s">
        <v>1449</v>
      </c>
    </row>
    <row r="47" spans="1:9">
      <c r="A47" s="1">
        <v>45</v>
      </c>
      <c r="B47" t="str">
        <f>LEFT(Table1[[#This Row],[EPI_DGN_ANTIC]],1)</f>
        <v>Q</v>
      </c>
      <c r="C47" t="str">
        <f>LEFT(Table1[[#This Row],[EPI_DGN_ANTIC]],2)</f>
        <v>Qc</v>
      </c>
      <c r="D47" t="s">
        <v>1450</v>
      </c>
      <c r="E47" s="10">
        <v>1</v>
      </c>
      <c r="F47" t="s">
        <v>1451</v>
      </c>
      <c r="H47" s="1">
        <v>45</v>
      </c>
      <c r="I47" t="s">
        <v>1436</v>
      </c>
    </row>
    <row r="48" spans="1:9">
      <c r="A48" s="1">
        <v>46</v>
      </c>
      <c r="B48" t="str">
        <f>LEFT(Table1[[#This Row],[EPI_DGN_ANTIC]],1)</f>
        <v>Q</v>
      </c>
      <c r="C48" t="str">
        <f>LEFT(Table1[[#This Row],[EPI_DGN_ANTIC]],2)</f>
        <v>Qb</v>
      </c>
      <c r="D48" t="s">
        <v>1452</v>
      </c>
      <c r="E48" s="10">
        <v>0</v>
      </c>
      <c r="H48" s="1">
        <v>46</v>
      </c>
      <c r="I48" t="s">
        <v>1444</v>
      </c>
    </row>
    <row r="49" spans="1:9">
      <c r="A49" s="1">
        <v>47</v>
      </c>
      <c r="B49" t="str">
        <f>LEFT(Table1[[#This Row],[EPI_DGN_ANTIC]],1)</f>
        <v>Q</v>
      </c>
      <c r="C49" t="str">
        <f>LEFT(Table1[[#This Row],[EPI_DGN_ANTIC]],2)</f>
        <v>Qb</v>
      </c>
      <c r="D49" t="s">
        <v>1453</v>
      </c>
      <c r="E49" s="10">
        <v>1</v>
      </c>
      <c r="F49" t="s">
        <v>1454</v>
      </c>
      <c r="H49" s="1">
        <v>47</v>
      </c>
      <c r="I49" t="s">
        <v>1455</v>
      </c>
    </row>
    <row r="50" spans="1:9">
      <c r="A50" s="1">
        <v>48</v>
      </c>
      <c r="B50" t="str">
        <f>LEFT(Table1[[#This Row],[EPI_DGN_ANTIC]],1)</f>
        <v>Q</v>
      </c>
      <c r="C50" t="str">
        <f>LEFT(Table1[[#This Row],[EPI_DGN_ANTIC]],2)</f>
        <v>Qb</v>
      </c>
      <c r="D50" t="s">
        <v>1456</v>
      </c>
      <c r="E50" s="10">
        <v>1</v>
      </c>
      <c r="F50" t="s">
        <v>1457</v>
      </c>
      <c r="H50" s="1">
        <v>48</v>
      </c>
      <c r="I50" t="s">
        <v>1436</v>
      </c>
    </row>
    <row r="51" spans="1:9">
      <c r="A51" s="1">
        <v>49</v>
      </c>
      <c r="B51" t="str">
        <f>LEFT(Table1[[#This Row],[EPI_DGN_ANTIC]],1)</f>
        <v>Q</v>
      </c>
      <c r="C51" t="str">
        <f>LEFT(Table1[[#This Row],[EPI_DGN_ANTIC]],2)</f>
        <v>Qb</v>
      </c>
      <c r="D51" t="s">
        <v>1458</v>
      </c>
      <c r="E51" s="10">
        <v>1</v>
      </c>
      <c r="F51" t="s">
        <v>1459</v>
      </c>
      <c r="H51" s="1">
        <v>49</v>
      </c>
      <c r="I51" t="s">
        <v>1460</v>
      </c>
    </row>
    <row r="52" spans="1:9">
      <c r="A52" s="1">
        <v>50</v>
      </c>
      <c r="B52" t="str">
        <f>LEFT(Table1[[#This Row],[EPI_DGN_ANTIC]],1)</f>
        <v>Q</v>
      </c>
      <c r="C52" t="str">
        <f>LEFT(Table1[[#This Row],[EPI_DGN_ANTIC]],2)</f>
        <v>Qb</v>
      </c>
      <c r="D52" t="s">
        <v>1461</v>
      </c>
      <c r="E52" s="10">
        <v>1</v>
      </c>
      <c r="F52" t="s">
        <v>1462</v>
      </c>
      <c r="H52" s="1">
        <v>50</v>
      </c>
      <c r="I52" t="s">
        <v>1449</v>
      </c>
    </row>
    <row r="53" spans="1:9">
      <c r="A53" s="1">
        <v>51</v>
      </c>
      <c r="B53" t="str">
        <f>LEFT(Table1[[#This Row],[EPI_DGN_ANTIC]],1)</f>
        <v>Q</v>
      </c>
      <c r="C53" t="str">
        <f>LEFT(Table1[[#This Row],[EPI_DGN_ANTIC]],2)</f>
        <v>Qd</v>
      </c>
      <c r="D53" t="s">
        <v>1463</v>
      </c>
      <c r="E53" s="10">
        <v>1</v>
      </c>
      <c r="F53" t="s">
        <v>1420</v>
      </c>
      <c r="H53" s="1">
        <v>51</v>
      </c>
      <c r="I53" t="s">
        <v>1464</v>
      </c>
    </row>
    <row r="54" spans="1:9">
      <c r="A54" s="1">
        <v>52</v>
      </c>
      <c r="B54" t="str">
        <f>LEFT(Table1[[#This Row],[EPI_DGN_ANTIC]],1)</f>
        <v>Q</v>
      </c>
      <c r="C54" t="str">
        <f>LEFT(Table1[[#This Row],[EPI_DGN_ANTIC]],2)</f>
        <v>Qd</v>
      </c>
      <c r="D54" t="s">
        <v>1465</v>
      </c>
      <c r="E54" s="10">
        <v>1</v>
      </c>
      <c r="F54" t="s">
        <v>1466</v>
      </c>
      <c r="H54" s="1">
        <v>52</v>
      </c>
      <c r="I54" t="s">
        <v>1431</v>
      </c>
    </row>
    <row r="55" spans="1:9">
      <c r="A55" s="1">
        <v>53</v>
      </c>
      <c r="B55" t="str">
        <f>LEFT(Table1[[#This Row],[EPI_DGN_ANTIC]],1)</f>
        <v>Q</v>
      </c>
      <c r="C55" t="str">
        <f>LEFT(Table1[[#This Row],[EPI_DGN_ANTIC]],2)</f>
        <v>Qd</v>
      </c>
      <c r="D55" t="s">
        <v>1467</v>
      </c>
      <c r="E55" s="10">
        <v>1</v>
      </c>
      <c r="F55" t="s">
        <v>1468</v>
      </c>
      <c r="H55" s="1">
        <v>53</v>
      </c>
      <c r="I55" t="s">
        <v>1436</v>
      </c>
    </row>
    <row r="56" spans="1:9">
      <c r="A56" s="1">
        <v>54</v>
      </c>
      <c r="B56" t="str">
        <f>LEFT(Table1[[#This Row],[EPI_DGN_ANTIC]],1)</f>
        <v>Q</v>
      </c>
      <c r="C56" t="str">
        <f>LEFT(Table1[[#This Row],[EPI_DGN_ANTIC]],2)</f>
        <v>Qe</v>
      </c>
      <c r="D56" t="s">
        <v>1469</v>
      </c>
      <c r="E56" s="10">
        <v>1</v>
      </c>
      <c r="F56" t="s">
        <v>1470</v>
      </c>
      <c r="H56" s="1">
        <v>54</v>
      </c>
      <c r="I56" t="s">
        <v>1436</v>
      </c>
    </row>
    <row r="57" spans="1:9">
      <c r="A57" s="1">
        <v>55</v>
      </c>
      <c r="B57" t="str">
        <f>LEFT(Table1[[#This Row],[EPI_DGN_ANTIC]],1)</f>
        <v>Q</v>
      </c>
      <c r="C57" t="str">
        <f>LEFT(Table1[[#This Row],[EPI_DGN_ANTIC]],2)</f>
        <v>Qe</v>
      </c>
      <c r="D57" t="s">
        <v>1471</v>
      </c>
      <c r="E57" s="10">
        <v>1</v>
      </c>
      <c r="F57" t="s">
        <v>1472</v>
      </c>
      <c r="H57" s="1">
        <v>55</v>
      </c>
      <c r="I57" t="s">
        <v>1473</v>
      </c>
    </row>
    <row r="58" spans="1:9">
      <c r="A58" s="1">
        <v>56</v>
      </c>
      <c r="B58" t="str">
        <f>LEFT(Table1[[#This Row],[EPI_DGN_ANTIC]],1)</f>
        <v>Q</v>
      </c>
      <c r="C58" t="str">
        <f>LEFT(Table1[[#This Row],[EPI_DGN_ANTIC]],2)</f>
        <v>Qm</v>
      </c>
      <c r="D58" t="s">
        <v>1474</v>
      </c>
      <c r="E58" s="10">
        <v>0</v>
      </c>
      <c r="H58" s="1">
        <v>56</v>
      </c>
      <c r="I58" t="s">
        <v>1436</v>
      </c>
    </row>
    <row r="59" spans="1:9">
      <c r="A59" s="1">
        <v>57</v>
      </c>
      <c r="B59" t="str">
        <f>LEFT(Table1[[#This Row],[EPI_DGN_ANTIC]],1)</f>
        <v>Q</v>
      </c>
      <c r="C59" t="str">
        <f>LEFT(Table1[[#This Row],[EPI_DGN_ANTIC]],2)</f>
        <v>Ql</v>
      </c>
      <c r="D59" t="s">
        <v>1475</v>
      </c>
      <c r="E59" s="10">
        <v>1</v>
      </c>
      <c r="F59" t="s">
        <v>1476</v>
      </c>
      <c r="H59" s="1">
        <v>57</v>
      </c>
      <c r="I59" t="s">
        <v>1477</v>
      </c>
    </row>
    <row r="60" spans="1:9">
      <c r="A60" s="1">
        <v>58</v>
      </c>
      <c r="B60" t="str">
        <f>LEFT(Table1[[#This Row],[EPI_DGN_ANTIC]],1)</f>
        <v>Q</v>
      </c>
      <c r="C60" t="str">
        <f>LEFT(Table1[[#This Row],[EPI_DGN_ANTIC]],2)</f>
        <v>Ql</v>
      </c>
      <c r="D60" t="s">
        <v>1478</v>
      </c>
      <c r="E60" s="10">
        <v>1</v>
      </c>
      <c r="F60" t="s">
        <v>1479</v>
      </c>
      <c r="H60" s="1">
        <v>58</v>
      </c>
      <c r="I60" t="s">
        <v>1480</v>
      </c>
    </row>
    <row r="61" spans="1:9">
      <c r="A61" s="1">
        <v>59</v>
      </c>
      <c r="B61" t="str">
        <f>LEFT(Table1[[#This Row],[EPI_DGN_ANTIC]],1)</f>
        <v>Q</v>
      </c>
      <c r="C61" t="str">
        <f>LEFT(Table1[[#This Row],[EPI_DGN_ANTIC]],2)</f>
        <v>Qp</v>
      </c>
      <c r="D61" t="s">
        <v>1366</v>
      </c>
      <c r="E61" s="10">
        <v>1</v>
      </c>
      <c r="F61" t="s">
        <v>1479</v>
      </c>
      <c r="H61" s="1">
        <v>59</v>
      </c>
      <c r="I61" t="s">
        <v>1481</v>
      </c>
    </row>
    <row r="62" spans="1:9">
      <c r="A62" s="1">
        <v>60</v>
      </c>
      <c r="B62" t="str">
        <f>LEFT(Table1[[#This Row],[EPI_DGN_ANTIC]],1)</f>
        <v>Q</v>
      </c>
      <c r="C62" t="str">
        <f>LEFT(Table1[[#This Row],[EPI_DGN_ANTIC]],2)</f>
        <v>Qp</v>
      </c>
      <c r="D62" t="s">
        <v>1482</v>
      </c>
      <c r="E62" s="10">
        <v>1</v>
      </c>
      <c r="F62" t="s">
        <v>1483</v>
      </c>
      <c r="H62" s="1">
        <v>60</v>
      </c>
      <c r="I62" t="s">
        <v>1484</v>
      </c>
    </row>
    <row r="63" spans="1:9">
      <c r="A63" s="1">
        <v>61</v>
      </c>
      <c r="B63" t="str">
        <f>LEFT(Table1[[#This Row],[EPI_DGN_ANTIC]],1)</f>
        <v>Q</v>
      </c>
      <c r="C63" t="str">
        <f>LEFT(Table1[[#This Row],[EPI_DGN_ANTIC]],2)</f>
        <v>Qp</v>
      </c>
      <c r="D63" t="s">
        <v>1485</v>
      </c>
      <c r="E63" s="10">
        <v>1</v>
      </c>
      <c r="F63" t="s">
        <v>1486</v>
      </c>
      <c r="H63" s="1">
        <v>61</v>
      </c>
      <c r="I63" t="s">
        <v>1487</v>
      </c>
    </row>
    <row r="64" spans="1:9">
      <c r="A64" s="1">
        <v>62</v>
      </c>
      <c r="B64" t="str">
        <f>LEFT(Table1[[#This Row],[EPI_DGN_ANTIC]],1)</f>
        <v>Q</v>
      </c>
      <c r="C64" t="str">
        <f>LEFT(Table1[[#This Row],[EPI_DGN_ANTIC]],2)</f>
        <v>Qp</v>
      </c>
      <c r="D64" t="s">
        <v>1488</v>
      </c>
      <c r="E64" s="10">
        <v>1</v>
      </c>
      <c r="F64" t="s">
        <v>1483</v>
      </c>
      <c r="H64" s="1">
        <v>62</v>
      </c>
      <c r="I64" t="s">
        <v>1487</v>
      </c>
    </row>
    <row r="65" spans="1:9">
      <c r="A65" s="1">
        <v>63</v>
      </c>
      <c r="B65" t="str">
        <f>LEFT(Table1[[#This Row],[EPI_DGN_ANTIC]],1)</f>
        <v>Q</v>
      </c>
      <c r="C65" t="str">
        <f>LEFT(Table1[[#This Row],[EPI_DGN_ANTIC]],2)</f>
        <v>Qp</v>
      </c>
      <c r="D65" t="s">
        <v>1489</v>
      </c>
      <c r="E65" s="10">
        <v>1</v>
      </c>
      <c r="F65" t="s">
        <v>1490</v>
      </c>
      <c r="H65" s="1">
        <v>63</v>
      </c>
      <c r="I65" t="s">
        <v>1491</v>
      </c>
    </row>
    <row r="66" spans="1:9">
      <c r="A66" s="1">
        <v>64</v>
      </c>
      <c r="B66" t="str">
        <f>LEFT(Table1[[#This Row],[EPI_DGN_ANTIC]],1)</f>
        <v>Q</v>
      </c>
      <c r="C66" t="str">
        <f>LEFT(Table1[[#This Row],[EPI_DGN_ANTIC]],2)</f>
        <v>Qt</v>
      </c>
      <c r="D66" t="s">
        <v>1492</v>
      </c>
      <c r="E66" s="10">
        <v>0</v>
      </c>
      <c r="H66" s="1">
        <v>64</v>
      </c>
      <c r="I66" t="s">
        <v>1491</v>
      </c>
    </row>
    <row r="67" spans="1:9">
      <c r="A67" s="1">
        <v>65</v>
      </c>
      <c r="B67" t="str">
        <f>LEFT(Table1[[#This Row],[EPI_DGN_ANTIC]],1)</f>
        <v>Q</v>
      </c>
      <c r="C67" t="str">
        <f>LEFT(Table1[[#This Row],[EPI_DGN_ANTIC]],3)</f>
        <v>Qtf</v>
      </c>
      <c r="D67" t="s">
        <v>1493</v>
      </c>
      <c r="E67" s="10">
        <v>1</v>
      </c>
      <c r="F67" t="s">
        <v>1494</v>
      </c>
      <c r="H67" s="1">
        <v>65</v>
      </c>
      <c r="I67" t="s">
        <v>1495</v>
      </c>
    </row>
    <row r="68" spans="1:9">
      <c r="A68" s="1">
        <v>66</v>
      </c>
      <c r="B68" t="str">
        <f>LEFT(Table1[[#This Row],[EPI_DGN_ANTIC]],1)</f>
        <v>Q</v>
      </c>
      <c r="C68" t="str">
        <f>LEFT(Table1[[#This Row],[EPI_DGN_ANTIC]],3)</f>
        <v>Qtf</v>
      </c>
      <c r="D68" t="s">
        <v>1496</v>
      </c>
      <c r="E68" s="10">
        <v>1</v>
      </c>
      <c r="F68" t="s">
        <v>1497</v>
      </c>
      <c r="H68" s="1">
        <v>66</v>
      </c>
      <c r="I68" t="s">
        <v>590</v>
      </c>
    </row>
    <row r="69" spans="1:9">
      <c r="A69" s="1">
        <v>67</v>
      </c>
      <c r="B69" t="str">
        <f>LEFT(Table1[[#This Row],[EPI_DGN_ANTIC]],1)</f>
        <v>Q</v>
      </c>
      <c r="C69" t="str">
        <f>LEFT(Table1[[#This Row],[EPI_DGN_ANTIC]],3)</f>
        <v>Qtl</v>
      </c>
      <c r="D69" t="s">
        <v>1498</v>
      </c>
      <c r="E69" s="10">
        <v>0</v>
      </c>
      <c r="H69" s="1">
        <v>67</v>
      </c>
      <c r="I69" t="s">
        <v>1499</v>
      </c>
    </row>
    <row r="70" spans="1:9">
      <c r="A70" s="1">
        <v>68</v>
      </c>
      <c r="B70" t="str">
        <f>LEFT(Table1[[#This Row],[EPI_DGN_ANTIC]],1)</f>
        <v>Q</v>
      </c>
      <c r="C70" t="str">
        <f>LEFT(Table1[[#This Row],[EPI_DGN_ANTIC]],3)</f>
        <v>Qtl</v>
      </c>
      <c r="D70" t="s">
        <v>1500</v>
      </c>
      <c r="E70" s="10">
        <v>1</v>
      </c>
      <c r="F70" t="s">
        <v>1501</v>
      </c>
      <c r="H70" s="1">
        <v>68</v>
      </c>
      <c r="I70" t="s">
        <v>1502</v>
      </c>
    </row>
    <row r="71" spans="1:9">
      <c r="A71" s="1">
        <v>69</v>
      </c>
      <c r="B71" t="str">
        <f>LEFT(Table1[[#This Row],[EPI_DGN_ANTIC]],1)</f>
        <v>Q</v>
      </c>
      <c r="C71" t="str">
        <f>LEFT(Table1[[#This Row],[EPI_DGN_ANTIC]],3)</f>
        <v>Qtl</v>
      </c>
      <c r="D71" t="s">
        <v>1503</v>
      </c>
      <c r="E71" s="10">
        <v>1</v>
      </c>
      <c r="F71" t="s">
        <v>1504</v>
      </c>
      <c r="H71" s="1">
        <v>69</v>
      </c>
      <c r="I71" t="s">
        <v>1502</v>
      </c>
    </row>
    <row r="72" spans="1:9">
      <c r="A72" s="1">
        <v>70</v>
      </c>
      <c r="B72" t="str">
        <f>LEFT(Table1[[#This Row],[EPI_DGN_ANTIC]],1)</f>
        <v>Q</v>
      </c>
      <c r="C72" t="str">
        <f>LEFT(Table1[[#This Row],[EPI_DGN_ANTIC]],3)</f>
        <v>Qtr</v>
      </c>
      <c r="D72" t="s">
        <v>1505</v>
      </c>
      <c r="E72" s="10">
        <v>1</v>
      </c>
      <c r="F72" t="s">
        <v>1506</v>
      </c>
      <c r="H72" s="1">
        <v>70</v>
      </c>
      <c r="I72" t="s">
        <v>191</v>
      </c>
    </row>
    <row r="73" spans="1:9">
      <c r="A73" s="1">
        <v>71</v>
      </c>
      <c r="B73" t="str">
        <f>LEFT(Table1[[#This Row],[EPI_DGN_ANTIC]],1)</f>
        <v>Q</v>
      </c>
      <c r="C73" t="str">
        <f>LEFT(Table1[[#This Row],[EPI_DGN_ANTIC]],3)</f>
        <v>Qtr</v>
      </c>
      <c r="D73" t="s">
        <v>1507</v>
      </c>
      <c r="E73" s="10">
        <v>1</v>
      </c>
      <c r="F73" t="s">
        <v>1508</v>
      </c>
      <c r="H73" s="1">
        <v>71</v>
      </c>
      <c r="I73" t="s">
        <v>1509</v>
      </c>
    </row>
    <row r="74" spans="1:9">
      <c r="A74" s="1">
        <v>72</v>
      </c>
      <c r="B74" t="str">
        <f>LEFT(Table1[[#This Row],[EPI_DGN_ANTIC]],1)</f>
        <v>Q</v>
      </c>
      <c r="C74" t="str">
        <f>LEFT(Table1[[#This Row],[EPI_DGN_ANTIC]],3)</f>
        <v>Qtr</v>
      </c>
      <c r="D74" t="s">
        <v>1510</v>
      </c>
      <c r="E74" s="10">
        <v>1</v>
      </c>
      <c r="F74" t="s">
        <v>1511</v>
      </c>
      <c r="H74" s="1">
        <v>72</v>
      </c>
      <c r="I74" t="s">
        <v>1512</v>
      </c>
    </row>
    <row r="75" spans="1:9">
      <c r="A75" s="1">
        <v>73</v>
      </c>
      <c r="B75" t="str">
        <f>LEFT(Table1[[#This Row],[EPI_DGN_ANTIC]],1)</f>
        <v>Q</v>
      </c>
      <c r="C75" t="str">
        <f>LEFT(Table1[[#This Row],[EPI_DGN_ANTIC]],3)</f>
        <v>Qts</v>
      </c>
      <c r="D75" t="s">
        <v>1513</v>
      </c>
      <c r="E75" s="10">
        <v>1</v>
      </c>
      <c r="F75" t="s">
        <v>1514</v>
      </c>
      <c r="H75" s="1">
        <v>73</v>
      </c>
      <c r="I75" t="s">
        <v>1515</v>
      </c>
    </row>
    <row r="76" spans="1:9">
      <c r="A76" s="1">
        <v>74</v>
      </c>
      <c r="B76" t="str">
        <f>LEFT(Table1[[#This Row],[EPI_DGN_ANTIC]],1)</f>
        <v>Q</v>
      </c>
      <c r="C76" t="str">
        <f>LEFT(Table1[[#This Row],[EPI_DGN_ANTIC]],3)</f>
        <v>Qts</v>
      </c>
      <c r="D76" t="s">
        <v>1516</v>
      </c>
      <c r="E76" s="10">
        <v>1</v>
      </c>
      <c r="F76" t="s">
        <v>1517</v>
      </c>
      <c r="H76" s="1">
        <v>74</v>
      </c>
      <c r="I76" t="s">
        <v>125</v>
      </c>
    </row>
    <row r="77" spans="1:9">
      <c r="A77" s="1">
        <v>75</v>
      </c>
      <c r="B77" t="str">
        <f>LEFT(Table1[[#This Row],[EPI_DGN_ANTIC]],1)</f>
        <v>Q</v>
      </c>
      <c r="C77" t="str">
        <f>LEFT(Table1[[#This Row],[EPI_DGN_ANTIC]],3)</f>
        <v>Qtv</v>
      </c>
      <c r="D77" t="s">
        <v>1518</v>
      </c>
      <c r="E77" s="10">
        <v>0</v>
      </c>
      <c r="H77" s="1">
        <v>75</v>
      </c>
      <c r="I77" t="s">
        <v>1519</v>
      </c>
    </row>
    <row r="78" spans="1:9">
      <c r="A78" s="1">
        <v>76</v>
      </c>
      <c r="B78" t="str">
        <f>LEFT(Table1[[#This Row],[EPI_DGN_ANTIC]],1)</f>
        <v>Q</v>
      </c>
      <c r="C78" t="str">
        <f>LEFT(Table1[[#This Row],[EPI_DGN_ANTIC]],3)</f>
        <v>Qtv</v>
      </c>
      <c r="D78" t="s">
        <v>1520</v>
      </c>
      <c r="E78" s="10">
        <v>1</v>
      </c>
      <c r="F78" t="s">
        <v>1521</v>
      </c>
      <c r="H78" s="1">
        <v>76</v>
      </c>
      <c r="I78" t="s">
        <v>1522</v>
      </c>
    </row>
    <row r="79" spans="1:9">
      <c r="A79" s="1">
        <v>77</v>
      </c>
      <c r="B79" t="str">
        <f>LEFT(Table1[[#This Row],[EPI_DGN_ANTIC]],1)</f>
        <v>Q</v>
      </c>
      <c r="C79" t="str">
        <f>LEFT(Table1[[#This Row],[EPI_DGN_ANTIC]],3)</f>
        <v>Qtv</v>
      </c>
      <c r="D79" t="s">
        <v>1523</v>
      </c>
      <c r="E79" s="10">
        <v>1</v>
      </c>
      <c r="F79" t="s">
        <v>1524</v>
      </c>
      <c r="H79" s="1">
        <v>77</v>
      </c>
      <c r="I79" t="s">
        <v>1525</v>
      </c>
    </row>
    <row r="80" spans="1:9">
      <c r="A80" s="1">
        <v>78</v>
      </c>
      <c r="B80" t="str">
        <f>LEFT(Table1[[#This Row],[EPI_DGN_ANTIC]],1)</f>
        <v>Q</v>
      </c>
      <c r="C80" t="str">
        <f>LEFT(Table1[[#This Row],[EPI_DGN_ANTIC]],3)</f>
        <v>Qtv</v>
      </c>
      <c r="D80" t="s">
        <v>1526</v>
      </c>
      <c r="E80" s="10">
        <v>1</v>
      </c>
      <c r="F80" t="s">
        <v>1527</v>
      </c>
      <c r="H80" s="1">
        <v>78</v>
      </c>
      <c r="I80" t="s">
        <v>1528</v>
      </c>
    </row>
    <row r="81" spans="1:9">
      <c r="A81" s="1">
        <v>79</v>
      </c>
      <c r="B81" t="str">
        <f>LEFT(Table1[[#This Row],[EPI_DGN_ANTIC]],1)</f>
        <v>Q</v>
      </c>
      <c r="C81" t="str">
        <f>LEFT(Table1[[#This Row],[EPI_DGN_ANTIC]],3)</f>
        <v>Qtv</v>
      </c>
      <c r="D81" t="s">
        <v>1529</v>
      </c>
      <c r="E81" s="10">
        <v>1</v>
      </c>
      <c r="F81" t="s">
        <v>1483</v>
      </c>
      <c r="H81" s="1">
        <v>79</v>
      </c>
      <c r="I81" t="s">
        <v>1530</v>
      </c>
    </row>
    <row r="82" spans="1:9">
      <c r="A82" s="1">
        <v>80</v>
      </c>
      <c r="B82" t="str">
        <f>LEFT(Table1[[#This Row],[EPI_DGN_ANTIC]],1)</f>
        <v>Q</v>
      </c>
      <c r="C82" t="str">
        <f>LEFT(Table1[[#This Row],[EPI_DGN_ANTIC]],3)</f>
        <v>Qv4</v>
      </c>
      <c r="D82" t="s">
        <v>1531</v>
      </c>
      <c r="E82" s="10">
        <v>1</v>
      </c>
      <c r="F82" t="s">
        <v>1532</v>
      </c>
      <c r="H82" s="1">
        <v>80</v>
      </c>
      <c r="I82" t="s">
        <v>1533</v>
      </c>
    </row>
    <row r="83" spans="1:9">
      <c r="A83" s="1">
        <v>81</v>
      </c>
      <c r="B83" t="str">
        <f>LEFT(Table1[[#This Row],[EPI_DGN_ANTIC]],1)</f>
        <v>Q</v>
      </c>
      <c r="C83" t="str">
        <f>LEFT(Table1[[#This Row],[EPI_DGN_ANTIC]],3)</f>
        <v>Qvb</v>
      </c>
      <c r="D83" t="s">
        <v>1534</v>
      </c>
      <c r="E83" s="10">
        <v>1</v>
      </c>
      <c r="F83" t="s">
        <v>1535</v>
      </c>
      <c r="H83" s="1">
        <v>81</v>
      </c>
      <c r="I83" t="s">
        <v>1536</v>
      </c>
    </row>
    <row r="84" spans="1:9">
      <c r="A84" s="1">
        <v>82</v>
      </c>
      <c r="B84" t="str">
        <f>LEFT(Table1[[#This Row],[EPI_DGN_ANTIC]],1)</f>
        <v>Q</v>
      </c>
      <c r="C84" t="str">
        <f>LEFT(Table1[[#This Row],[EPI_DGN_ANTIC]],3)</f>
        <v>Qvc</v>
      </c>
      <c r="D84" t="s">
        <v>1537</v>
      </c>
      <c r="E84" s="10">
        <v>1</v>
      </c>
      <c r="F84" t="s">
        <v>1538</v>
      </c>
      <c r="H84" s="1">
        <v>82</v>
      </c>
      <c r="I84" t="s">
        <v>1539</v>
      </c>
    </row>
    <row r="85" spans="1:9">
      <c r="A85" s="1">
        <v>83</v>
      </c>
      <c r="B85" t="str">
        <f>LEFT(Table1[[#This Row],[EPI_DGN_ANTIC]],1)</f>
        <v>Q</v>
      </c>
      <c r="C85" t="str">
        <f>LEFT(Table1[[#This Row],[EPI_DGN_ANTIC]],3)</f>
        <v>Qvg</v>
      </c>
      <c r="D85" t="s">
        <v>1540</v>
      </c>
      <c r="E85" s="10">
        <v>1</v>
      </c>
      <c r="F85" t="s">
        <v>1538</v>
      </c>
      <c r="H85" s="1">
        <v>83</v>
      </c>
      <c r="I85" t="s">
        <v>1541</v>
      </c>
    </row>
    <row r="86" spans="1:9">
      <c r="A86" s="1">
        <v>84</v>
      </c>
      <c r="B86" t="str">
        <f>LEFT(Table1[[#This Row],[EPI_DGN_ANTIC]],1)</f>
        <v>Q</v>
      </c>
      <c r="C86" t="str">
        <f>LEFT(Table1[[#This Row],[EPI_DGN_ANTIC]],3)</f>
        <v>Qvm</v>
      </c>
      <c r="D86" t="s">
        <v>1542</v>
      </c>
      <c r="E86" s="10">
        <v>1</v>
      </c>
      <c r="F86" t="s">
        <v>1543</v>
      </c>
      <c r="H86" s="1">
        <v>84</v>
      </c>
      <c r="I86" t="s">
        <v>1544</v>
      </c>
    </row>
    <row r="87" spans="1:9">
      <c r="A87" s="1">
        <v>85</v>
      </c>
      <c r="B87" t="str">
        <f>LEFT(Table1[[#This Row],[EPI_DGN_ANTIC]],1)</f>
        <v>Q</v>
      </c>
      <c r="C87" t="str">
        <f>LEFT(Table1[[#This Row],[EPI_DGN_ANTIC]],3)</f>
        <v>Qvb</v>
      </c>
      <c r="D87" t="s">
        <v>1545</v>
      </c>
      <c r="E87" s="10">
        <v>1</v>
      </c>
      <c r="F87" t="s">
        <v>1546</v>
      </c>
      <c r="H87" s="1">
        <v>85</v>
      </c>
      <c r="I87" t="s">
        <v>1547</v>
      </c>
    </row>
    <row r="88" spans="1:9">
      <c r="A88" s="1">
        <v>86</v>
      </c>
      <c r="B88" t="str">
        <f>LEFT(Table1[[#This Row],[EPI_DGN_ANTIC]],1)</f>
        <v>Q</v>
      </c>
      <c r="C88" t="str">
        <f>LEFT(Table1[[#This Row],[EPI_DGN_ANTIC]],3)</f>
        <v>Qvb</v>
      </c>
      <c r="D88" t="s">
        <v>1548</v>
      </c>
      <c r="E88" s="10">
        <v>1</v>
      </c>
      <c r="F88" t="s">
        <v>1546</v>
      </c>
      <c r="H88" s="1">
        <v>86</v>
      </c>
      <c r="I88" t="s">
        <v>1549</v>
      </c>
    </row>
    <row r="89" spans="1:9">
      <c r="A89" s="1">
        <v>87</v>
      </c>
      <c r="B89" t="str">
        <f>LEFT(Table1[[#This Row],[EPI_DGN_ANTIC]],1)</f>
        <v>N</v>
      </c>
      <c r="C89" t="str">
        <f>LEFT(Table1[[#This Row],[EPI_DGN_ANTIC]],2)</f>
        <v>N</v>
      </c>
      <c r="D89" t="s">
        <v>1550</v>
      </c>
      <c r="E89" s="10">
        <v>0</v>
      </c>
      <c r="H89" s="1">
        <v>87</v>
      </c>
      <c r="I89" t="s">
        <v>1551</v>
      </c>
    </row>
    <row r="90" spans="1:9">
      <c r="A90" s="1">
        <v>88</v>
      </c>
      <c r="B90" t="str">
        <f>LEFT(Table1[[#This Row],[EPI_DGN_ANTIC]],1)</f>
        <v>N</v>
      </c>
      <c r="C90" t="str">
        <f>LEFT(Table1[[#This Row],[EPI_DGN_ANTIC]],2)</f>
        <v>N</v>
      </c>
      <c r="D90" t="s">
        <v>1550</v>
      </c>
      <c r="E90" s="10">
        <v>0</v>
      </c>
      <c r="H90" s="1">
        <v>88</v>
      </c>
      <c r="I90" t="s">
        <v>1552</v>
      </c>
    </row>
    <row r="91" spans="1:9">
      <c r="A91" s="1">
        <v>89</v>
      </c>
      <c r="B91" t="str">
        <f>LEFT(Table1[[#This Row],[EPI_DGN_ANTIC]],1)</f>
        <v>N</v>
      </c>
      <c r="C91" t="str">
        <f>LEFT(Table1[[#This Row],[EPI_DGN_ANTIC]],2)</f>
        <v>NM</v>
      </c>
      <c r="D91" t="s">
        <v>1553</v>
      </c>
      <c r="E91" s="10">
        <v>1</v>
      </c>
      <c r="F91" t="s">
        <v>794</v>
      </c>
      <c r="H91" s="1">
        <v>89</v>
      </c>
      <c r="I91" t="s">
        <v>1554</v>
      </c>
    </row>
    <row r="92" spans="1:9">
      <c r="A92" s="1">
        <v>90</v>
      </c>
      <c r="B92" t="str">
        <f>LEFT(Table1[[#This Row],[EPI_DGN_ANTIC]],1)</f>
        <v>N</v>
      </c>
      <c r="C92" t="str">
        <f>LEFT(Table1[[#This Row],[EPI_DGN_ANTIC]],3)</f>
        <v>NMb</v>
      </c>
      <c r="D92" t="s">
        <v>1555</v>
      </c>
      <c r="E92" s="10">
        <v>1</v>
      </c>
      <c r="F92" t="s">
        <v>802</v>
      </c>
      <c r="H92" s="1">
        <v>90</v>
      </c>
      <c r="I92" t="s">
        <v>1556</v>
      </c>
    </row>
    <row r="93" spans="1:9">
      <c r="A93" s="1">
        <v>91</v>
      </c>
      <c r="B93" t="str">
        <f>LEFT(Table1[[#This Row],[EPI_DGN_ANTIC]],1)</f>
        <v>N</v>
      </c>
      <c r="C93" t="str">
        <f>LEFT(Table1[[#This Row],[EPI_DGN_ANTIC]],2)</f>
        <v>Nb</v>
      </c>
      <c r="D93" t="s">
        <v>1557</v>
      </c>
      <c r="E93" s="10">
        <v>1</v>
      </c>
      <c r="F93" t="s">
        <v>1558</v>
      </c>
      <c r="H93" s="1">
        <v>91</v>
      </c>
      <c r="I93" t="s">
        <v>1559</v>
      </c>
    </row>
    <row r="94" spans="1:9">
      <c r="A94" s="1">
        <v>92</v>
      </c>
      <c r="B94" t="str">
        <f>LEFT(Table1[[#This Row],[EPI_DGN_ANTIC]],1)</f>
        <v>N</v>
      </c>
      <c r="C94" t="str">
        <f>LEFT(Table1[[#This Row],[EPI_DGN_ANTIC]],2)</f>
        <v>Nb</v>
      </c>
      <c r="D94" t="s">
        <v>1560</v>
      </c>
      <c r="E94" s="10">
        <v>1</v>
      </c>
      <c r="F94" t="s">
        <v>1561</v>
      </c>
      <c r="H94" s="1">
        <v>92</v>
      </c>
      <c r="I94" t="s">
        <v>1562</v>
      </c>
    </row>
    <row r="95" spans="1:9">
      <c r="A95" s="1">
        <v>93</v>
      </c>
      <c r="B95" t="str">
        <f>LEFT(Table1[[#This Row],[EPI_DGN_ANTIC]],1)</f>
        <v>N</v>
      </c>
      <c r="C95" t="str">
        <f>LEFT(Table1[[#This Row],[EPI_DGN_ANTIC]],2)</f>
        <v>NM</v>
      </c>
      <c r="D95" t="s">
        <v>1563</v>
      </c>
      <c r="E95" s="10">
        <v>0</v>
      </c>
      <c r="H95" s="1">
        <v>93</v>
      </c>
      <c r="I95" t="s">
        <v>1564</v>
      </c>
    </row>
    <row r="96" spans="1:9">
      <c r="A96" s="1">
        <v>94</v>
      </c>
      <c r="B96" t="str">
        <f>LEFT(Table1[[#This Row],[EPI_DGN_ANTIC]],1)</f>
        <v>N</v>
      </c>
      <c r="C96" t="str">
        <f>LEFT(Table1[[#This Row],[EPI_DGN_ANTIC]],2)</f>
        <v>Ni</v>
      </c>
      <c r="D96" t="s">
        <v>1565</v>
      </c>
      <c r="E96" s="10">
        <v>1</v>
      </c>
      <c r="F96" t="s">
        <v>1566</v>
      </c>
      <c r="H96" s="1">
        <v>94</v>
      </c>
      <c r="I96" t="s">
        <v>1562</v>
      </c>
    </row>
    <row r="97" spans="1:9">
      <c r="A97" s="1">
        <v>95</v>
      </c>
      <c r="B97" t="str">
        <f>LEFT(Table1[[#This Row],[EPI_DGN_ANTIC]],1)</f>
        <v>N</v>
      </c>
      <c r="C97" t="str">
        <f>LEFT(Table1[[#This Row],[EPI_DGN_ANTIC]],3)</f>
        <v>NMb</v>
      </c>
      <c r="D97" t="s">
        <v>1567</v>
      </c>
      <c r="E97" s="10">
        <v>0</v>
      </c>
      <c r="H97" s="1">
        <v>95</v>
      </c>
      <c r="I97" t="s">
        <v>1562</v>
      </c>
    </row>
    <row r="98" spans="1:9">
      <c r="A98" s="1">
        <v>96</v>
      </c>
      <c r="B98" t="str">
        <f>LEFT(Table1[[#This Row],[EPI_DGN_ANTIC]],1)</f>
        <v>N</v>
      </c>
      <c r="C98" t="str">
        <f>LEFT(Table1[[#This Row],[EPI_DGN_ANTIC]],3)</f>
        <v>NMb</v>
      </c>
      <c r="D98" t="s">
        <v>1568</v>
      </c>
      <c r="E98" s="10">
        <v>1</v>
      </c>
      <c r="F98" t="s">
        <v>1569</v>
      </c>
      <c r="H98" s="1">
        <v>96</v>
      </c>
      <c r="I98" t="s">
        <v>1570</v>
      </c>
    </row>
    <row r="99" spans="1:9">
      <c r="A99" s="1">
        <v>97</v>
      </c>
      <c r="B99" t="str">
        <f>LEFT(Table1[[#This Row],[EPI_DGN_ANTIC]],1)</f>
        <v>N</v>
      </c>
      <c r="C99" t="str">
        <f>LEFT(Table1[[#This Row],[EPI_DGN_ANTIC]],3)</f>
        <v>NMb</v>
      </c>
      <c r="D99" t="s">
        <v>1571</v>
      </c>
      <c r="E99" s="10">
        <v>1</v>
      </c>
      <c r="F99" t="s">
        <v>1572</v>
      </c>
      <c r="H99" s="1">
        <v>97</v>
      </c>
      <c r="I99" t="s">
        <v>1570</v>
      </c>
    </row>
    <row r="100" spans="1:9">
      <c r="A100" s="1">
        <v>98</v>
      </c>
      <c r="B100" t="str">
        <f>LEFT(Table1[[#This Row],[EPI_DGN_ANTIC]],1)</f>
        <v>N</v>
      </c>
      <c r="C100" t="str">
        <f>LEFT(Table1[[#This Row],[EPI_DGN_ANTIC]],2)</f>
        <v>NM</v>
      </c>
      <c r="D100" t="s">
        <v>1573</v>
      </c>
      <c r="E100" s="10">
        <v>1</v>
      </c>
      <c r="F100" t="s">
        <v>794</v>
      </c>
      <c r="H100" s="1">
        <v>98</v>
      </c>
      <c r="I100" t="s">
        <v>1574</v>
      </c>
    </row>
    <row r="101" spans="1:9">
      <c r="A101" s="1">
        <v>99</v>
      </c>
      <c r="B101" t="str">
        <f>LEFT(Table1[[#This Row],[EPI_DGN_ANTIC]],1)</f>
        <v>N</v>
      </c>
      <c r="C101" t="str">
        <f>LEFT(Table1[[#This Row],[EPI_DGN_ANTIC]],3)</f>
        <v>NMc</v>
      </c>
      <c r="D101" t="s">
        <v>1575</v>
      </c>
      <c r="E101" s="10">
        <v>1</v>
      </c>
      <c r="F101" t="s">
        <v>1576</v>
      </c>
      <c r="H101" s="1">
        <v>99</v>
      </c>
      <c r="I101" t="s">
        <v>1577</v>
      </c>
    </row>
    <row r="102" spans="1:9">
      <c r="A102" s="1">
        <v>100</v>
      </c>
      <c r="B102" t="str">
        <f>LEFT(Table1[[#This Row],[EPI_DGN_ANTIC]],1)</f>
        <v>N</v>
      </c>
      <c r="C102" t="str">
        <f>LEFT(Table1[[#This Row],[EPI_DGN_ANTIC]],3)</f>
        <v>NMc</v>
      </c>
      <c r="D102" t="s">
        <v>1578</v>
      </c>
      <c r="E102" s="10">
        <v>1</v>
      </c>
      <c r="F102" t="s">
        <v>1579</v>
      </c>
      <c r="H102" s="1">
        <v>100</v>
      </c>
      <c r="I102" t="s">
        <v>1570</v>
      </c>
    </row>
    <row r="103" spans="1:9">
      <c r="A103" s="1">
        <v>101</v>
      </c>
      <c r="B103" t="str">
        <f>LEFT(Table1[[#This Row],[EPI_DGN_ANTIC]],1)</f>
        <v>N</v>
      </c>
      <c r="C103" t="str">
        <f>LEFT(Table1[[#This Row],[EPI_DGN_ANTIC]],3)</f>
        <v>NMc</v>
      </c>
      <c r="D103" t="s">
        <v>1580</v>
      </c>
      <c r="E103" s="10">
        <v>1</v>
      </c>
      <c r="F103" t="s">
        <v>1581</v>
      </c>
      <c r="H103" s="1">
        <v>101</v>
      </c>
      <c r="I103" t="s">
        <v>1582</v>
      </c>
    </row>
    <row r="104" spans="1:9">
      <c r="A104" s="1">
        <v>102</v>
      </c>
      <c r="B104" t="str">
        <f>LEFT(Table1[[#This Row],[EPI_DGN_ANTIC]],1)</f>
        <v>N</v>
      </c>
      <c r="C104" t="str">
        <f>LEFT(Table1[[#This Row],[EPI_DGN_ANTIC]],3)</f>
        <v>NMg</v>
      </c>
      <c r="D104" t="s">
        <v>1583</v>
      </c>
      <c r="E104" s="10">
        <v>1</v>
      </c>
      <c r="F104" t="s">
        <v>1584</v>
      </c>
      <c r="H104" s="1">
        <v>102</v>
      </c>
      <c r="I104" t="s">
        <v>1585</v>
      </c>
    </row>
    <row r="105" spans="1:9">
      <c r="A105" s="1">
        <v>103</v>
      </c>
      <c r="B105" t="str">
        <f>LEFT(Table1[[#This Row],[EPI_DGN_ANTIC]],1)</f>
        <v>N</v>
      </c>
      <c r="C105" t="str">
        <f>LEFT(Table1[[#This Row],[EPI_DGN_ANTIC]],3)</f>
        <v>NMg</v>
      </c>
      <c r="D105" t="s">
        <v>1586</v>
      </c>
      <c r="E105" s="10">
        <v>1</v>
      </c>
      <c r="F105" t="s">
        <v>1587</v>
      </c>
      <c r="H105" s="1">
        <v>103</v>
      </c>
      <c r="I105" t="s">
        <v>1588</v>
      </c>
    </row>
    <row r="106" spans="1:9">
      <c r="A106" s="1">
        <v>104</v>
      </c>
      <c r="B106" t="str">
        <f>LEFT(Table1[[#This Row],[EPI_DGN_ANTIC]],1)</f>
        <v>N</v>
      </c>
      <c r="C106" t="str">
        <f>LEFT(Table1[[#This Row],[EPI_DGN_ANTIC]],3)</f>
        <v>NMl</v>
      </c>
      <c r="D106" t="s">
        <v>1589</v>
      </c>
      <c r="E106" s="10">
        <v>1</v>
      </c>
      <c r="F106" t="s">
        <v>1576</v>
      </c>
      <c r="H106" s="1">
        <v>104</v>
      </c>
      <c r="I106" t="s">
        <v>162</v>
      </c>
    </row>
    <row r="107" spans="1:9">
      <c r="A107" s="1">
        <v>105</v>
      </c>
      <c r="B107" t="str">
        <f>LEFT(Table1[[#This Row],[EPI_DGN_ANTIC]],1)</f>
        <v>N</v>
      </c>
      <c r="C107" t="str">
        <f>LEFT(Table1[[#This Row],[EPI_DGN_ANTIC]],3)</f>
        <v>NMm</v>
      </c>
      <c r="D107" t="s">
        <v>1590</v>
      </c>
      <c r="E107" s="10">
        <v>0</v>
      </c>
      <c r="H107" s="1">
        <v>105</v>
      </c>
      <c r="I107" t="s">
        <v>1591</v>
      </c>
    </row>
    <row r="108" spans="1:9">
      <c r="A108" s="1">
        <v>106</v>
      </c>
      <c r="B108" t="str">
        <f>LEFT(Table1[[#This Row],[EPI_DGN_ANTIC]],1)</f>
        <v>N</v>
      </c>
      <c r="C108" t="str">
        <f>LEFT(Table1[[#This Row],[EPI_DGN_ANTIC]],3)</f>
        <v>NMl</v>
      </c>
      <c r="D108" t="s">
        <v>1592</v>
      </c>
      <c r="E108" s="10">
        <v>1</v>
      </c>
      <c r="F108" t="s">
        <v>1569</v>
      </c>
      <c r="H108" s="1">
        <v>106</v>
      </c>
      <c r="I108" t="s">
        <v>1593</v>
      </c>
    </row>
    <row r="109" spans="1:9">
      <c r="A109" s="1">
        <v>107</v>
      </c>
      <c r="B109" t="str">
        <f>LEFT(Table1[[#This Row],[EPI_DGN_ANTIC]],1)</f>
        <v>N</v>
      </c>
      <c r="C109" t="str">
        <f>LEFT(Table1[[#This Row],[EPI_DGN_ANTIC]],3)</f>
        <v>NMl</v>
      </c>
      <c r="D109" t="s">
        <v>1594</v>
      </c>
      <c r="E109" s="10">
        <v>1</v>
      </c>
      <c r="F109" t="s">
        <v>802</v>
      </c>
      <c r="H109" s="1">
        <v>107</v>
      </c>
      <c r="I109" t="s">
        <v>1591</v>
      </c>
    </row>
    <row r="110" spans="1:9">
      <c r="A110" s="1">
        <v>108</v>
      </c>
      <c r="B110" t="str">
        <f>LEFT(Table1[[#This Row],[EPI_DGN_ANTIC]],1)</f>
        <v>N</v>
      </c>
      <c r="C110" t="str">
        <f>LEFT(Table1[[#This Row],[EPI_DGN_ANTIC]],3)</f>
        <v>NMF</v>
      </c>
      <c r="D110" t="s">
        <v>1595</v>
      </c>
      <c r="E110" s="10">
        <v>0</v>
      </c>
      <c r="H110" s="1">
        <v>108</v>
      </c>
      <c r="I110" t="s">
        <v>1596</v>
      </c>
    </row>
    <row r="111" spans="1:9">
      <c r="A111" s="1">
        <v>109</v>
      </c>
      <c r="B111" t="str">
        <f>LEFT(Table1[[#This Row],[EPI_DGN_ANTIC]],1)</f>
        <v>N</v>
      </c>
      <c r="C111" t="str">
        <f>LEFT(Table1[[#This Row],[EPI_DGN_ANTIC]],3)</f>
        <v>NML</v>
      </c>
      <c r="D111" t="s">
        <v>1597</v>
      </c>
      <c r="E111" s="10">
        <v>1</v>
      </c>
      <c r="F111" t="s">
        <v>1598</v>
      </c>
      <c r="H111" s="1">
        <v>109</v>
      </c>
      <c r="I111" t="s">
        <v>1599</v>
      </c>
    </row>
    <row r="112" spans="1:9">
      <c r="A112" s="1">
        <v>110</v>
      </c>
      <c r="B112" t="str">
        <f>LEFT(Table1[[#This Row],[EPI_DGN_ANTIC]],1)</f>
        <v>N</v>
      </c>
      <c r="C112" t="str">
        <f>LEFT(Table1[[#This Row],[EPI_DGN_ANTIC]],2)</f>
        <v>NP</v>
      </c>
      <c r="D112" t="s">
        <v>1600</v>
      </c>
      <c r="E112" s="10">
        <v>0</v>
      </c>
      <c r="H112" s="1">
        <v>110</v>
      </c>
      <c r="I112" t="s">
        <v>1601</v>
      </c>
    </row>
    <row r="113" spans="1:9">
      <c r="A113" s="1">
        <v>111</v>
      </c>
      <c r="B113" t="str">
        <f>LEFT(Table1[[#This Row],[EPI_DGN_ANTIC]],1)</f>
        <v>N</v>
      </c>
      <c r="C113" t="str">
        <f>LEFT(Table1[[#This Row],[EPI_DGN_ANTIC]],3)</f>
        <v>NPa</v>
      </c>
      <c r="D113" t="s">
        <v>1602</v>
      </c>
      <c r="E113" s="10">
        <v>1</v>
      </c>
      <c r="F113" t="s">
        <v>1603</v>
      </c>
      <c r="H113" s="1">
        <v>111</v>
      </c>
      <c r="I113" t="s">
        <v>1604</v>
      </c>
    </row>
    <row r="114" spans="1:9">
      <c r="A114" s="1">
        <v>112</v>
      </c>
      <c r="B114" t="str">
        <f>LEFT(Table1[[#This Row],[EPI_DGN_ANTIC]],1)</f>
        <v>N</v>
      </c>
      <c r="C114" t="str">
        <f>LEFT(Table1[[#This Row],[EPI_DGN_ANTIC]],3)</f>
        <v>NPg</v>
      </c>
      <c r="D114" t="s">
        <v>1605</v>
      </c>
      <c r="E114" s="10">
        <v>1</v>
      </c>
      <c r="F114" t="s">
        <v>1603</v>
      </c>
      <c r="H114" s="1">
        <v>112</v>
      </c>
      <c r="I114" t="s">
        <v>1606</v>
      </c>
    </row>
    <row r="115" spans="1:9">
      <c r="A115" s="1">
        <v>113</v>
      </c>
      <c r="B115" t="str">
        <f>LEFT(Table1[[#This Row],[EPI_DGN_ANTIC]],1)</f>
        <v>N</v>
      </c>
      <c r="C115" t="str">
        <f>LEFT(Table1[[#This Row],[EPI_DGN_ANTIC]],3)</f>
        <v>NPm</v>
      </c>
      <c r="D115" t="s">
        <v>1607</v>
      </c>
      <c r="E115" s="10">
        <v>0</v>
      </c>
      <c r="H115" s="1">
        <v>113</v>
      </c>
      <c r="I115" t="s">
        <v>1608</v>
      </c>
    </row>
    <row r="116" spans="1:9">
      <c r="A116" s="1">
        <v>114</v>
      </c>
      <c r="B116" t="str">
        <f>LEFT(Table1[[#This Row],[EPI_DGN_ANTIC]],1)</f>
        <v>N</v>
      </c>
      <c r="C116" t="str">
        <f>LEFT(Table1[[#This Row],[EPI_DGN_ANTIC]],3)</f>
        <v>NPL</v>
      </c>
      <c r="D116" t="s">
        <v>1609</v>
      </c>
      <c r="E116" s="10">
        <v>0</v>
      </c>
      <c r="H116" s="1">
        <v>114</v>
      </c>
      <c r="I116" t="s">
        <v>1601</v>
      </c>
    </row>
    <row r="117" spans="1:9">
      <c r="A117" s="1">
        <v>115</v>
      </c>
      <c r="B117" t="str">
        <f>LEFT(Table1[[#This Row],[EPI_DGN_ANTIC]],1)</f>
        <v>N</v>
      </c>
      <c r="C117" t="str">
        <f>LEFT(Table1[[#This Row],[EPI_DGN_ANTIC]],3)</f>
        <v>NPA</v>
      </c>
      <c r="D117" t="s">
        <v>1610</v>
      </c>
      <c r="E117" s="10">
        <v>1</v>
      </c>
      <c r="F117" t="s">
        <v>1611</v>
      </c>
      <c r="H117" s="1">
        <v>115</v>
      </c>
      <c r="I117" t="s">
        <v>1612</v>
      </c>
    </row>
    <row r="118" spans="1:9">
      <c r="A118" s="1">
        <v>116</v>
      </c>
      <c r="B118" t="str">
        <f>LEFT(Table1[[#This Row],[EPI_DGN_ANTIC]],1)</f>
        <v>N</v>
      </c>
      <c r="C118" t="str">
        <f>LEFT(Table1[[#This Row],[EPI_DGN_ANTIC]],3)</f>
        <v>NPA</v>
      </c>
      <c r="D118" t="s">
        <v>1613</v>
      </c>
      <c r="E118" s="10">
        <v>1</v>
      </c>
      <c r="F118" t="s">
        <v>1611</v>
      </c>
      <c r="H118" s="1">
        <v>116</v>
      </c>
      <c r="I118" t="s">
        <v>1614</v>
      </c>
    </row>
    <row r="119" spans="1:9">
      <c r="A119" s="1">
        <v>117</v>
      </c>
      <c r="B119" t="str">
        <f>LEFT(Table1[[#This Row],[EPI_DGN_ANTIC]],1)</f>
        <v>N</v>
      </c>
      <c r="C119" t="str">
        <f>LEFT(Table1[[#This Row],[EPI_DGN_ANTIC]],3)</f>
        <v>NPF</v>
      </c>
      <c r="D119" t="s">
        <v>1615</v>
      </c>
      <c r="E119" s="10">
        <v>1</v>
      </c>
      <c r="F119" t="s">
        <v>1616</v>
      </c>
      <c r="H119" s="1">
        <v>117</v>
      </c>
      <c r="I119" t="s">
        <v>1617</v>
      </c>
    </row>
    <row r="120" spans="1:9">
      <c r="A120" s="1">
        <v>118</v>
      </c>
      <c r="B120" t="str">
        <f>LEFT(Table1[[#This Row],[EPI_DGN_ANTIC]],1)</f>
        <v>N</v>
      </c>
      <c r="C120" t="str">
        <f>LEFT(Table1[[#This Row],[EPI_DGN_ANTIC]],3)</f>
        <v>NPF</v>
      </c>
      <c r="D120" t="s">
        <v>1618</v>
      </c>
      <c r="E120" s="10">
        <v>1</v>
      </c>
      <c r="F120" t="s">
        <v>1619</v>
      </c>
      <c r="H120" s="1">
        <v>118</v>
      </c>
      <c r="I120" t="s">
        <v>1620</v>
      </c>
    </row>
    <row r="121" spans="1:9">
      <c r="A121" s="1">
        <v>119</v>
      </c>
      <c r="B121" t="str">
        <f>LEFT(Table1[[#This Row],[EPI_DGN_ANTIC]],1)</f>
        <v>N</v>
      </c>
      <c r="C121" t="str">
        <f>LEFT(Table1[[#This Row],[EPI_DGN_ANTIC]],3)</f>
        <v>NPF</v>
      </c>
      <c r="D121" t="s">
        <v>1621</v>
      </c>
      <c r="E121" s="10">
        <v>1</v>
      </c>
      <c r="F121" t="s">
        <v>1622</v>
      </c>
      <c r="H121" s="1">
        <v>119</v>
      </c>
      <c r="I121" t="s">
        <v>1623</v>
      </c>
    </row>
    <row r="122" spans="1:9">
      <c r="A122" s="1">
        <v>120</v>
      </c>
      <c r="B122" t="str">
        <f>LEFT(Table1[[#This Row],[EPI_DGN_ANTIC]],1)</f>
        <v>N</v>
      </c>
      <c r="C122" t="str">
        <f>LEFT(Table1[[#This Row],[EPI_DGN_ANTIC]],3)</f>
        <v>NPL</v>
      </c>
      <c r="D122" t="s">
        <v>1624</v>
      </c>
      <c r="E122" s="10">
        <v>1</v>
      </c>
      <c r="F122" t="s">
        <v>794</v>
      </c>
      <c r="H122" s="1">
        <v>120</v>
      </c>
      <c r="I122" t="s">
        <v>1625</v>
      </c>
    </row>
    <row r="123" spans="1:9">
      <c r="A123" s="1">
        <v>121</v>
      </c>
      <c r="B123" t="str">
        <f>LEFT(Table1[[#This Row],[EPI_DGN_ANTIC]],1)</f>
        <v>N</v>
      </c>
      <c r="C123" t="str">
        <f>LEFT(Table1[[#This Row],[EPI_DGN_ANTIC]],3)</f>
        <v>NPF</v>
      </c>
      <c r="D123" t="s">
        <v>1626</v>
      </c>
      <c r="E123" s="10">
        <v>1</v>
      </c>
      <c r="F123" t="s">
        <v>1619</v>
      </c>
      <c r="H123" s="1">
        <v>121</v>
      </c>
      <c r="I123" t="s">
        <v>1627</v>
      </c>
    </row>
    <row r="124" spans="1:9">
      <c r="A124" s="1">
        <v>122</v>
      </c>
      <c r="B124" t="str">
        <f>LEFT(Table1[[#This Row],[EPI_DGN_ANTIC]],1)</f>
        <v>N</v>
      </c>
      <c r="C124" t="str">
        <f>LEFT(Table1[[#This Row],[EPI_DGN_ANTIC]],3)</f>
        <v>NPL</v>
      </c>
      <c r="D124" t="s">
        <v>1628</v>
      </c>
      <c r="E124" s="10">
        <v>1</v>
      </c>
      <c r="F124" t="s">
        <v>794</v>
      </c>
      <c r="H124" s="1">
        <v>122</v>
      </c>
      <c r="I124" t="s">
        <v>1629</v>
      </c>
    </row>
    <row r="125" spans="1:9">
      <c r="A125" s="1">
        <v>123</v>
      </c>
      <c r="B125" t="str">
        <f>LEFT(Table1[[#This Row],[EPI_DGN_ANTIC]],1)</f>
        <v>N</v>
      </c>
      <c r="C125" t="str">
        <f>LEFT(Table1[[#This Row],[EPI_DGN_ANTIC]],3)</f>
        <v>NPM</v>
      </c>
      <c r="D125" t="s">
        <v>1630</v>
      </c>
      <c r="E125" s="10">
        <v>1</v>
      </c>
      <c r="F125" t="s">
        <v>1587</v>
      </c>
      <c r="H125" s="1">
        <v>123</v>
      </c>
      <c r="I125" t="s">
        <v>1631</v>
      </c>
    </row>
    <row r="126" spans="1:9">
      <c r="A126" s="1">
        <v>124</v>
      </c>
      <c r="B126" t="str">
        <f>LEFT(Table1[[#This Row],[EPI_DGN_ANTIC]],1)</f>
        <v>O</v>
      </c>
      <c r="C126" t="str">
        <f>LEFT(Table1[[#This Row],[EPI_DGN_ANTIC]],2)</f>
        <v>O</v>
      </c>
      <c r="D126" t="s">
        <v>1632</v>
      </c>
      <c r="E126" s="10">
        <v>0</v>
      </c>
      <c r="H126" s="1">
        <v>124</v>
      </c>
      <c r="I126" t="s">
        <v>1633</v>
      </c>
    </row>
    <row r="127" spans="1:9">
      <c r="A127" s="1">
        <v>125</v>
      </c>
      <c r="B127" t="str">
        <f>LEFT(Table1[[#This Row],[EPI_DGN_ANTIC]],1)</f>
        <v>O</v>
      </c>
      <c r="C127" t="str">
        <f>LEFT(Table1[[#This Row],[EPI_DGN_ANTIC]],2)</f>
        <v>O</v>
      </c>
      <c r="D127" t="s">
        <v>1632</v>
      </c>
      <c r="E127" s="10">
        <v>0</v>
      </c>
      <c r="H127" s="1">
        <v>125</v>
      </c>
      <c r="I127" t="s">
        <v>1634</v>
      </c>
    </row>
    <row r="128" spans="1:9">
      <c r="A128" s="1">
        <v>126</v>
      </c>
      <c r="B128" t="str">
        <f>LEFT(Table1[[#This Row],[EPI_DGN_ANTIC]],1)</f>
        <v>O</v>
      </c>
      <c r="C128" t="str">
        <f>LEFT(Table1[[#This Row],[EPI_DGN_ANTIC]],2)</f>
        <v>OM</v>
      </c>
      <c r="D128" t="s">
        <v>1635</v>
      </c>
      <c r="E128" s="10">
        <v>0</v>
      </c>
      <c r="H128" s="1">
        <v>126</v>
      </c>
      <c r="I128" t="s">
        <v>1636</v>
      </c>
    </row>
    <row r="129" spans="1:9">
      <c r="A129" s="1">
        <v>127</v>
      </c>
      <c r="B129" t="str">
        <f>LEFT(Table1[[#This Row],[EPI_DGN_ANTIC]],1)</f>
        <v>O</v>
      </c>
      <c r="C129" t="str">
        <f>LEFT(Table1[[#This Row],[EPI_DGN_ANTIC]],2)</f>
        <v>Oc</v>
      </c>
      <c r="D129" t="s">
        <v>1637</v>
      </c>
      <c r="E129" s="10">
        <v>1</v>
      </c>
      <c r="F129" t="s">
        <v>1638</v>
      </c>
      <c r="H129" s="1">
        <v>127</v>
      </c>
      <c r="I129" t="s">
        <v>1639</v>
      </c>
    </row>
    <row r="130" spans="1:9">
      <c r="A130" s="1">
        <v>128</v>
      </c>
      <c r="B130" t="str">
        <f>LEFT(Table1[[#This Row],[EPI_DGN_ANTIC]],1)</f>
        <v>O</v>
      </c>
      <c r="C130" t="str">
        <f>LEFT(Table1[[#This Row],[EPI_DGN_ANTIC]],2)</f>
        <v>Oc</v>
      </c>
      <c r="D130" t="s">
        <v>1640</v>
      </c>
      <c r="E130" s="10">
        <v>1</v>
      </c>
      <c r="F130" t="s">
        <v>1641</v>
      </c>
      <c r="G130" s="10"/>
      <c r="H130" s="1">
        <v>128</v>
      </c>
      <c r="I130" t="s">
        <v>1642</v>
      </c>
    </row>
    <row r="131" spans="1:9">
      <c r="A131" s="1">
        <v>129</v>
      </c>
      <c r="B131" t="str">
        <f>LEFT(Table1[[#This Row],[EPI_DGN_ANTIC]],1)</f>
        <v>O</v>
      </c>
      <c r="C131" t="str">
        <f>LEFT(Table1[[#This Row],[EPI_DGN_ANTIC]],2)</f>
        <v>Og</v>
      </c>
      <c r="D131" t="s">
        <v>1643</v>
      </c>
      <c r="E131" s="10">
        <v>1</v>
      </c>
      <c r="F131" t="s">
        <v>1638</v>
      </c>
      <c r="G131" s="10"/>
      <c r="H131" s="1">
        <v>129</v>
      </c>
      <c r="I131" t="s">
        <v>1644</v>
      </c>
    </row>
    <row r="132" spans="1:9">
      <c r="A132" s="1">
        <v>130</v>
      </c>
      <c r="B132" t="str">
        <f>LEFT(Table1[[#This Row],[EPI_DGN_ANTIC]],1)</f>
        <v>O</v>
      </c>
      <c r="C132" t="str">
        <f>LEFT(Table1[[#This Row],[EPI_DGN_ANTIC]],2)</f>
        <v>Ol</v>
      </c>
      <c r="D132" t="s">
        <v>1645</v>
      </c>
      <c r="E132" s="10">
        <v>1</v>
      </c>
      <c r="F132" t="s">
        <v>1641</v>
      </c>
      <c r="G132" s="10"/>
      <c r="H132" s="1">
        <v>130</v>
      </c>
      <c r="I132" t="s">
        <v>1646</v>
      </c>
    </row>
    <row r="133" spans="1:9">
      <c r="A133" s="1">
        <v>131</v>
      </c>
      <c r="B133" t="str">
        <f>LEFT(Table1[[#This Row],[EPI_DGN_ANTIC]],1)</f>
        <v>O</v>
      </c>
      <c r="C133" t="str">
        <f>LEFT(Table1[[#This Row],[EPI_DGN_ANTIC]],2)</f>
        <v>Ol</v>
      </c>
      <c r="D133" t="s">
        <v>1647</v>
      </c>
      <c r="E133" s="10">
        <v>1</v>
      </c>
      <c r="F133" t="s">
        <v>1641</v>
      </c>
      <c r="G133" s="10"/>
      <c r="H133" s="1">
        <v>131</v>
      </c>
      <c r="I133" t="s">
        <v>1648</v>
      </c>
    </row>
    <row r="134" spans="1:9">
      <c r="A134" s="1">
        <v>132</v>
      </c>
      <c r="B134" t="str">
        <f>LEFT(Table1[[#This Row],[EPI_DGN_ANTIC]],1)</f>
        <v>P</v>
      </c>
      <c r="C134" t="str">
        <f>LEFT(Table1[[#This Row],[EPI_DGN_ANTIC]],2)</f>
        <v>P</v>
      </c>
      <c r="D134" t="s">
        <v>1649</v>
      </c>
      <c r="E134" s="10">
        <v>0</v>
      </c>
      <c r="G134" s="10"/>
      <c r="H134" s="1">
        <v>132</v>
      </c>
      <c r="I134" t="s">
        <v>1601</v>
      </c>
    </row>
    <row r="135" spans="1:9">
      <c r="A135" s="1">
        <v>133</v>
      </c>
      <c r="B135" t="str">
        <f>LEFT(Table1[[#This Row],[EPI_DGN_ANTIC]],1)</f>
        <v>P</v>
      </c>
      <c r="C135" t="str">
        <f>LEFT(Table1[[#This Row],[EPI_DGN_ANTIC]],2)</f>
        <v>P</v>
      </c>
      <c r="D135" t="s">
        <v>1649</v>
      </c>
      <c r="E135" s="10">
        <v>0</v>
      </c>
      <c r="G135" s="10"/>
      <c r="H135" s="1">
        <v>133</v>
      </c>
      <c r="I135" t="s">
        <v>1650</v>
      </c>
    </row>
    <row r="136" spans="1:9">
      <c r="A136" s="1">
        <v>134</v>
      </c>
      <c r="B136" t="str">
        <f>LEFT(Table1[[#This Row],[EPI_DGN_ANTIC]],1)</f>
        <v>P</v>
      </c>
      <c r="C136" t="str">
        <f>LEFT(Table1[[#This Row],[EPI_DGN_ANTIC]],2)</f>
        <v>Pc</v>
      </c>
      <c r="D136" t="s">
        <v>1651</v>
      </c>
      <c r="E136" s="10">
        <v>1</v>
      </c>
      <c r="F136" t="s">
        <v>1652</v>
      </c>
      <c r="G136" s="10"/>
      <c r="H136" s="1">
        <v>134</v>
      </c>
      <c r="I136" t="s">
        <v>1653</v>
      </c>
    </row>
    <row r="137" spans="1:9">
      <c r="A137" s="1">
        <v>135</v>
      </c>
      <c r="B137" t="str">
        <f>LEFT(Table1[[#This Row],[EPI_DGN_ANTIC]],1)</f>
        <v>P</v>
      </c>
      <c r="C137" t="str">
        <f>LEFT(Table1[[#This Row],[EPI_DGN_ANTIC]],2)</f>
        <v>Pd</v>
      </c>
      <c r="D137" t="s">
        <v>1654</v>
      </c>
      <c r="E137" s="10">
        <v>1</v>
      </c>
      <c r="F137" t="s">
        <v>646</v>
      </c>
      <c r="G137" s="10"/>
      <c r="H137" s="1">
        <v>135</v>
      </c>
      <c r="I137" t="s">
        <v>1655</v>
      </c>
    </row>
    <row r="138" spans="1:9">
      <c r="A138" s="1">
        <v>136</v>
      </c>
      <c r="B138" t="str">
        <f>LEFT(Table1[[#This Row],[EPI_DGN_ANTIC]],1)</f>
        <v>P</v>
      </c>
      <c r="C138" t="str">
        <f>LEFT(Table1[[#This Row],[EPI_DGN_ANTIC]],2)</f>
        <v>PI</v>
      </c>
      <c r="D138" t="s">
        <v>1656</v>
      </c>
      <c r="E138" s="10">
        <v>0</v>
      </c>
      <c r="G138" s="10"/>
      <c r="H138" s="1">
        <v>136</v>
      </c>
      <c r="I138" t="s">
        <v>1653</v>
      </c>
    </row>
    <row r="139" spans="1:9">
      <c r="A139" s="1">
        <v>137</v>
      </c>
      <c r="B139" t="str">
        <f>LEFT(Table1[[#This Row],[EPI_DGN_ANTIC]],1)</f>
        <v>P</v>
      </c>
      <c r="C139" t="str">
        <f>LEFT(Table1[[#This Row],[EPI_DGN_ANTIC]],3)</f>
        <v>PEB</v>
      </c>
      <c r="D139" t="s">
        <v>1657</v>
      </c>
      <c r="E139" s="10">
        <v>0</v>
      </c>
      <c r="G139" s="10"/>
      <c r="H139" s="1">
        <v>137</v>
      </c>
      <c r="I139" t="s">
        <v>1650</v>
      </c>
    </row>
    <row r="140" spans="1:9">
      <c r="A140" s="1">
        <v>138</v>
      </c>
      <c r="B140" t="str">
        <f>LEFT(Table1[[#This Row],[EPI_DGN_ANTIC]],1)</f>
        <v>P</v>
      </c>
      <c r="C140" t="str">
        <f>LEFT(Table1[[#This Row],[EPI_DGN_ANTIC]],2)</f>
        <v>Pl</v>
      </c>
      <c r="D140" t="s">
        <v>1658</v>
      </c>
      <c r="E140" s="10">
        <v>1</v>
      </c>
      <c r="F140" t="s">
        <v>1659</v>
      </c>
      <c r="G140" s="10"/>
      <c r="H140" s="1">
        <v>138</v>
      </c>
      <c r="I140" t="s">
        <v>1650</v>
      </c>
    </row>
    <row r="141" spans="1:9">
      <c r="A141" s="1">
        <v>139</v>
      </c>
      <c r="B141" t="str">
        <f>LEFT(Table1[[#This Row],[EPI_DGN_ANTIC]],1)</f>
        <v>P</v>
      </c>
      <c r="C141" t="str">
        <f>LEFT(Table1[[#This Row],[EPI_DGN_ANTIC]],2)</f>
        <v>PI</v>
      </c>
      <c r="D141" t="s">
        <v>1660</v>
      </c>
      <c r="E141" s="10">
        <v>1</v>
      </c>
      <c r="F141" t="s">
        <v>1661</v>
      </c>
      <c r="G141" s="10"/>
      <c r="H141" s="1">
        <v>139</v>
      </c>
      <c r="I141" t="s">
        <v>1650</v>
      </c>
    </row>
    <row r="142" spans="1:9">
      <c r="A142" s="1">
        <v>140</v>
      </c>
      <c r="B142" t="str">
        <f>LEFT(Table1[[#This Row],[EPI_DGN_ANTIC]],1)</f>
        <v>P</v>
      </c>
      <c r="C142" t="s">
        <v>1662</v>
      </c>
      <c r="D142" t="s">
        <v>1663</v>
      </c>
      <c r="E142" s="10">
        <v>1</v>
      </c>
      <c r="F142" t="s">
        <v>1664</v>
      </c>
      <c r="G142" s="10"/>
      <c r="H142" s="1">
        <v>140</v>
      </c>
      <c r="I142" t="s">
        <v>1665</v>
      </c>
    </row>
    <row r="143" spans="1:9">
      <c r="A143" s="1">
        <v>141</v>
      </c>
      <c r="B143" t="str">
        <f>LEFT(Table1[[#This Row],[EPI_DGN_ANTIC]],1)</f>
        <v>P</v>
      </c>
      <c r="C143" t="str">
        <f>LEFT(Table1[[#This Row],[EPI_DGN_ANTIC]],3)</f>
        <v>PEI</v>
      </c>
      <c r="D143" t="s">
        <v>1666</v>
      </c>
      <c r="E143" s="10">
        <v>1</v>
      </c>
      <c r="F143" t="s">
        <v>1667</v>
      </c>
      <c r="G143" s="10"/>
      <c r="H143" s="1">
        <v>141</v>
      </c>
      <c r="I143" t="s">
        <v>1665</v>
      </c>
    </row>
    <row r="144" spans="1:9">
      <c r="A144" s="1">
        <v>142</v>
      </c>
      <c r="B144" t="str">
        <f>LEFT(Table1[[#This Row],[EPI_DGN_ANTIC]],1)</f>
        <v>P</v>
      </c>
      <c r="C144" t="str">
        <f>LEFT(Table1[[#This Row],[EPI_DGN_ANTIC]],3)</f>
        <v>PEI</v>
      </c>
      <c r="D144" t="s">
        <v>1668</v>
      </c>
      <c r="E144" s="10">
        <v>1</v>
      </c>
      <c r="F144" t="s">
        <v>50</v>
      </c>
      <c r="G144" s="10"/>
      <c r="H144" s="1">
        <v>142</v>
      </c>
      <c r="I144" t="s">
        <v>1665</v>
      </c>
    </row>
    <row r="145" spans="1:9">
      <c r="A145" s="1">
        <v>143</v>
      </c>
      <c r="B145" t="str">
        <f>LEFT(Table1[[#This Row],[EPI_DGN_ANTIC]],1)</f>
        <v>P</v>
      </c>
      <c r="C145" t="str">
        <f>LEFT(Table1[[#This Row],[EPI_DGN_ANTIC]],3)</f>
        <v>PEI</v>
      </c>
      <c r="D145" t="s">
        <v>1669</v>
      </c>
      <c r="E145" s="10">
        <v>1</v>
      </c>
      <c r="F145" t="s">
        <v>1670</v>
      </c>
      <c r="G145" s="10"/>
      <c r="H145" s="1">
        <v>143</v>
      </c>
      <c r="I145" t="s">
        <v>1671</v>
      </c>
    </row>
    <row r="146" spans="1:9">
      <c r="A146" s="1">
        <v>144</v>
      </c>
      <c r="B146" t="str">
        <f>LEFT(Table1[[#This Row],[EPI_DGN_ANTIC]],1)</f>
        <v>P</v>
      </c>
      <c r="C146" t="str">
        <f>LEFT(Table1[[#This Row],[EPI_DGN_ANTIC]],3)</f>
        <v>PEI</v>
      </c>
      <c r="D146" t="s">
        <v>1672</v>
      </c>
      <c r="E146" s="10">
        <v>1</v>
      </c>
      <c r="F146" t="s">
        <v>1673</v>
      </c>
      <c r="G146" s="10"/>
      <c r="H146" s="1">
        <v>144</v>
      </c>
      <c r="I146" t="s">
        <v>1674</v>
      </c>
    </row>
    <row r="147" spans="1:9">
      <c r="A147" s="1">
        <v>145</v>
      </c>
      <c r="B147" t="str">
        <f>LEFT(Table1[[#This Row],[EPI_DGN_ANTIC]],1)</f>
        <v>P</v>
      </c>
      <c r="C147" t="str">
        <f>LEFT(Table1[[#This Row],[EPI_DGN_ANTIC]],3)</f>
        <v>PEI</v>
      </c>
      <c r="D147" t="s">
        <v>1675</v>
      </c>
      <c r="E147" s="10">
        <v>1</v>
      </c>
      <c r="F147" t="s">
        <v>1676</v>
      </c>
      <c r="G147" s="10"/>
      <c r="H147" s="1">
        <v>145</v>
      </c>
      <c r="I147" t="s">
        <v>1677</v>
      </c>
    </row>
    <row r="148" spans="1:9">
      <c r="A148" s="1">
        <v>146</v>
      </c>
      <c r="B148" t="str">
        <f>LEFT(Table1[[#This Row],[EPI_DGN_ANTIC]],1)</f>
        <v>P</v>
      </c>
      <c r="C148" t="str">
        <f>LEFT(Table1[[#This Row],[EPI_DGN_ANTIC]],3)</f>
        <v>PEI</v>
      </c>
      <c r="D148" t="s">
        <v>1678</v>
      </c>
      <c r="E148" s="10">
        <v>1</v>
      </c>
      <c r="F148" t="s">
        <v>98</v>
      </c>
      <c r="H148" s="1">
        <v>146</v>
      </c>
      <c r="I148" t="s">
        <v>1679</v>
      </c>
    </row>
    <row r="149" spans="1:9">
      <c r="A149" s="1">
        <v>147</v>
      </c>
      <c r="B149" t="str">
        <f>LEFT(Table1[[#This Row],[EPI_DGN_ANTIC]],1)</f>
        <v>T</v>
      </c>
      <c r="C149" t="str">
        <f>LEFT(Table1[[#This Row],[EPI_DGN_ANTIC]],2)</f>
        <v>T</v>
      </c>
      <c r="D149" t="s">
        <v>1680</v>
      </c>
      <c r="E149" s="10">
        <v>0</v>
      </c>
      <c r="H149" s="1">
        <v>147</v>
      </c>
      <c r="I149" t="s">
        <v>1552</v>
      </c>
    </row>
    <row r="150" spans="1:9">
      <c r="A150" s="1">
        <v>148</v>
      </c>
      <c r="B150" t="str">
        <f>LEFT(Table1[[#This Row],[EPI_DGN_ANTIC]],1)</f>
        <v>T</v>
      </c>
      <c r="C150" t="str">
        <f>LEFT(Table1[[#This Row],[EPI_DGN_ANTIC]],2)</f>
        <v>T</v>
      </c>
      <c r="D150" t="s">
        <v>1680</v>
      </c>
      <c r="E150" s="10">
        <v>0</v>
      </c>
      <c r="H150" s="1">
        <v>148</v>
      </c>
      <c r="I150" t="s">
        <v>1674</v>
      </c>
    </row>
    <row r="151" spans="1:9">
      <c r="A151" s="1">
        <v>149</v>
      </c>
      <c r="B151" t="str">
        <f>LEFT(Table1[[#This Row],[EPI_DGN_ANTIC]],1)</f>
        <v>T</v>
      </c>
      <c r="C151" t="str">
        <f>LEFT(Table1[[#This Row],[EPI_DGN_ANTIC]],2)</f>
        <v>Tb</v>
      </c>
      <c r="D151" t="s">
        <v>1681</v>
      </c>
      <c r="E151" s="10">
        <v>0</v>
      </c>
      <c r="H151" s="1">
        <v>149</v>
      </c>
      <c r="I151" t="s">
        <v>1679</v>
      </c>
    </row>
    <row r="152" spans="1:9">
      <c r="A152" s="1">
        <v>150</v>
      </c>
      <c r="B152" t="str">
        <f>LEFT(Table1[[#This Row],[EPI_DGN_ANTIC]],1)</f>
        <v>T</v>
      </c>
      <c r="C152" t="str">
        <f>LEFT(Table1[[#This Row],[EPI_DGN_ANTIC]],2)</f>
        <v>Tc</v>
      </c>
      <c r="D152" t="s">
        <v>1682</v>
      </c>
      <c r="E152" s="10">
        <v>1</v>
      </c>
      <c r="F152" t="s">
        <v>1683</v>
      </c>
      <c r="H152" s="1">
        <v>150</v>
      </c>
      <c r="I152" t="s">
        <v>1684</v>
      </c>
    </row>
    <row r="153" spans="1:9">
      <c r="A153" s="1">
        <v>151</v>
      </c>
      <c r="B153" t="str">
        <f>LEFT(Table1[[#This Row],[EPI_DGN_ANTIC]],1)</f>
        <v>T</v>
      </c>
      <c r="C153" t="str">
        <f>LEFT(Table1[[#This Row],[EPI_DGN_ANTIC]],2)</f>
        <v>Tg</v>
      </c>
      <c r="D153" t="s">
        <v>1685</v>
      </c>
      <c r="E153" s="10">
        <v>1</v>
      </c>
      <c r="F153" t="s">
        <v>1683</v>
      </c>
      <c r="H153" s="1">
        <v>151</v>
      </c>
      <c r="I153" t="s">
        <v>1686</v>
      </c>
    </row>
    <row r="154" spans="1:9">
      <c r="A154" s="1">
        <v>152</v>
      </c>
      <c r="B154" t="str">
        <f>LEFT(Table1[[#This Row],[EPI_DGN_ANTIC]],1)</f>
        <v>T</v>
      </c>
      <c r="C154" t="str">
        <f>LEFT(Table1[[#This Row],[EPI_DGN_ANTIC]],2)</f>
        <v>Tk</v>
      </c>
      <c r="D154" t="s">
        <v>1687</v>
      </c>
      <c r="E154" s="10">
        <v>0</v>
      </c>
      <c r="H154" s="1">
        <v>152</v>
      </c>
      <c r="I154" t="s">
        <v>1688</v>
      </c>
    </row>
    <row r="155" spans="1:9">
      <c r="A155" s="1">
        <v>153</v>
      </c>
      <c r="B155" t="str">
        <f>LEFT(Table1[[#This Row],[EPI_DGN_ANTIC]],1)</f>
        <v>T</v>
      </c>
      <c r="C155" t="str">
        <f>LEFT(Table1[[#This Row],[EPI_DGN_ANTIC]],2)</f>
        <v>Tm</v>
      </c>
      <c r="D155" t="s">
        <v>1689</v>
      </c>
      <c r="E155" s="10">
        <v>1</v>
      </c>
      <c r="F155" t="s">
        <v>1690</v>
      </c>
      <c r="H155" s="1">
        <v>153</v>
      </c>
      <c r="I155" t="s">
        <v>1691</v>
      </c>
    </row>
    <row r="156" spans="1:9">
      <c r="A156" s="1">
        <v>154</v>
      </c>
      <c r="B156" t="str">
        <f>LEFT(Table1[[#This Row],[EPI_DGN_ANTIC]],1)</f>
        <v>T</v>
      </c>
      <c r="C156" t="str">
        <f>LEFT(Table1[[#This Row],[EPI_DGN_ANTIC]],2)</f>
        <v>Tm</v>
      </c>
      <c r="D156" t="s">
        <v>1692</v>
      </c>
      <c r="E156" s="10">
        <v>1</v>
      </c>
      <c r="F156" t="s">
        <v>1693</v>
      </c>
      <c r="H156" s="1">
        <v>154</v>
      </c>
      <c r="I156" t="s">
        <v>1694</v>
      </c>
    </row>
    <row r="157" spans="1:9">
      <c r="A157" s="1">
        <v>155</v>
      </c>
      <c r="B157" t="str">
        <f>LEFT(Table1[[#This Row],[EPI_DGN_ANTIC]],1)</f>
        <v>T</v>
      </c>
      <c r="C157" t="str">
        <f>LEFT(Table1[[#This Row],[EPI_DGN_ANTIC]],2)</f>
        <v>Tm</v>
      </c>
      <c r="D157" t="s">
        <v>1695</v>
      </c>
      <c r="E157" s="10">
        <v>1</v>
      </c>
      <c r="F157" t="s">
        <v>348</v>
      </c>
      <c r="H157" s="1">
        <v>155</v>
      </c>
      <c r="I157" t="s">
        <v>1696</v>
      </c>
    </row>
    <row r="158" spans="1:9">
      <c r="A158" s="1">
        <v>156</v>
      </c>
      <c r="B158" t="str">
        <f>LEFT(Table1[[#This Row],[EPI_DGN_ANTIC]],1)</f>
        <v>T</v>
      </c>
      <c r="C158" t="str">
        <f>LEFT(Table1[[#This Row],[EPI_DGN_ANTIC]],2)</f>
        <v>Tm</v>
      </c>
      <c r="D158" t="s">
        <v>1697</v>
      </c>
      <c r="E158" s="10">
        <v>1</v>
      </c>
      <c r="F158" t="s">
        <v>1698</v>
      </c>
      <c r="H158" s="1">
        <v>156</v>
      </c>
      <c r="I158" t="s">
        <v>1699</v>
      </c>
    </row>
    <row r="159" spans="1:9">
      <c r="A159" s="1">
        <v>157</v>
      </c>
      <c r="B159" t="str">
        <f>LEFT(Table1[[#This Row],[EPI_DGN_ANTIC]],1)</f>
        <v>P</v>
      </c>
      <c r="C159" t="str">
        <f>LEFT(Table1[[#This Row],[EPI_DGN_ANTIC]],2)</f>
        <v>Pr</v>
      </c>
      <c r="D159" t="s">
        <v>1700</v>
      </c>
      <c r="E159" s="10">
        <v>1</v>
      </c>
      <c r="F159" t="s">
        <v>1701</v>
      </c>
      <c r="H159" s="1">
        <v>157</v>
      </c>
      <c r="I159" t="s">
        <v>1702</v>
      </c>
    </row>
    <row r="160" spans="1:9">
      <c r="A160" s="1">
        <v>158</v>
      </c>
      <c r="B160" t="str">
        <f>LEFT(Table1[[#This Row],[EPI_DGN_ANTIC]],1)</f>
        <v>P</v>
      </c>
      <c r="C160" t="str">
        <f>LEFT(Table1[[#This Row],[EPI_DGN_ANTIC]],2)</f>
        <v>Pr</v>
      </c>
      <c r="D160" t="s">
        <v>1703</v>
      </c>
      <c r="E160" s="10">
        <v>0</v>
      </c>
      <c r="H160" s="1">
        <v>158</v>
      </c>
      <c r="I160" t="s">
        <v>1704</v>
      </c>
    </row>
    <row r="161" spans="1:9">
      <c r="A161" s="1">
        <v>159</v>
      </c>
      <c r="B161" t="str">
        <f>LEFT(Table1[[#This Row],[EPI_DGN_ANTIC]],1)</f>
        <v>S</v>
      </c>
      <c r="C161" t="str">
        <f>LEFT(Table1[[#This Row],[EPI_DGN_ANTIC]],2)</f>
        <v>S</v>
      </c>
      <c r="D161" t="s">
        <v>1705</v>
      </c>
      <c r="E161" s="10">
        <v>0</v>
      </c>
      <c r="H161" s="1">
        <v>159</v>
      </c>
      <c r="I161" t="s">
        <v>1706</v>
      </c>
    </row>
    <row r="162" spans="1:9">
      <c r="A162" s="1">
        <v>160</v>
      </c>
      <c r="B162" t="str">
        <f>LEFT(Table1[[#This Row],[EPI_DGN_ANTIC]],1)</f>
        <v>S</v>
      </c>
      <c r="C162" t="str">
        <f>LEFT(Table1[[#This Row],[EPI_DGN_ANTIC]],2)</f>
        <v>Sv</v>
      </c>
      <c r="D162" t="s">
        <v>1707</v>
      </c>
      <c r="E162" s="10">
        <v>0</v>
      </c>
      <c r="H162" s="1">
        <v>160</v>
      </c>
      <c r="I162" t="s">
        <v>1708</v>
      </c>
    </row>
    <row r="163" spans="1:9">
      <c r="A163" s="1">
        <v>161</v>
      </c>
      <c r="B163" t="str">
        <f>LEFT(Table1[[#This Row],[EPI_DGN_ANTIC]],1)</f>
        <v>S</v>
      </c>
      <c r="C163" t="str">
        <f>LEFT(Table1[[#This Row],[EPI_DGN_ANTIC]],2)</f>
        <v>SD</v>
      </c>
      <c r="D163" t="s">
        <v>1709</v>
      </c>
      <c r="E163" s="10">
        <v>0</v>
      </c>
      <c r="H163" s="1">
        <v>161</v>
      </c>
      <c r="I163" t="s">
        <v>285</v>
      </c>
    </row>
    <row r="164" spans="1:9">
      <c r="A164" s="1">
        <v>162</v>
      </c>
      <c r="B164" t="str">
        <f>LEFT(Table1[[#This Row],[EPI_DGN_ANTIC]],1)</f>
        <v>S</v>
      </c>
      <c r="C164" t="str">
        <f>LEFT(Table1[[#This Row],[EPI_DGN_ANTIC]],2)</f>
        <v>Sv</v>
      </c>
      <c r="D164" t="s">
        <v>1710</v>
      </c>
      <c r="E164" s="10">
        <v>1</v>
      </c>
      <c r="F164" t="s">
        <v>1711</v>
      </c>
      <c r="H164" s="1">
        <v>162</v>
      </c>
      <c r="I164" t="s">
        <v>1712</v>
      </c>
    </row>
    <row r="165" spans="1:9">
      <c r="A165" s="1">
        <v>163</v>
      </c>
      <c r="B165" t="str">
        <f>LEFT(Table1[[#This Row],[EPI_DGN_ANTIC]],1)</f>
        <v>S</v>
      </c>
      <c r="C165" t="str">
        <f>LEFT(Table1[[#This Row],[EPI_DGN_ANTIC]],2)</f>
        <v>SD</v>
      </c>
      <c r="D165" t="s">
        <v>1713</v>
      </c>
      <c r="E165" s="10">
        <v>1</v>
      </c>
      <c r="F165" t="s">
        <v>1714</v>
      </c>
      <c r="H165" s="1">
        <v>163</v>
      </c>
      <c r="I165" t="s">
        <v>1702</v>
      </c>
    </row>
    <row r="166" spans="1:9">
      <c r="A166" s="1">
        <v>164</v>
      </c>
      <c r="B166" t="str">
        <f>LEFT(Table1[[#This Row],[EPI_DGN_ANTIC]],1)</f>
        <v>S</v>
      </c>
      <c r="C166" t="str">
        <f>LEFT(Table1[[#This Row],[EPI_DGN_ANTIC]],2)</f>
        <v>SD</v>
      </c>
      <c r="D166" t="s">
        <v>1715</v>
      </c>
      <c r="E166" s="10">
        <v>1</v>
      </c>
      <c r="F166" t="s">
        <v>1716</v>
      </c>
      <c r="H166" s="1">
        <v>164</v>
      </c>
      <c r="I166" t="s">
        <v>1717</v>
      </c>
    </row>
    <row r="167" spans="1:9">
      <c r="A167" s="1">
        <v>165</v>
      </c>
      <c r="B167" t="str">
        <f>LEFT(Table1[[#This Row],[EPI_DGN_ANTIC]],1)</f>
        <v>P</v>
      </c>
      <c r="C167" t="str">
        <f>LEFT(Table1[[#This Row],[EPI_DGN_ANTIC]],2)</f>
        <v>Pz</v>
      </c>
      <c r="D167" t="s">
        <v>1718</v>
      </c>
      <c r="E167" s="10">
        <v>0</v>
      </c>
      <c r="H167" s="1">
        <v>165</v>
      </c>
      <c r="I167" t="s">
        <v>1719</v>
      </c>
    </row>
    <row r="168" spans="1:9">
      <c r="A168" s="1">
        <v>166</v>
      </c>
      <c r="B168" t="str">
        <f>LEFT(Table1[[#This Row],[EPI_DGN_ANTIC]],1)</f>
        <v>P</v>
      </c>
      <c r="C168" t="str">
        <f>LEFT(Table1[[#This Row],[EPI_DGN_ANTIC]],2)</f>
        <v>Pz</v>
      </c>
      <c r="D168" t="s">
        <v>1718</v>
      </c>
      <c r="E168" s="10">
        <v>1</v>
      </c>
      <c r="F168" t="s">
        <v>1720</v>
      </c>
      <c r="H168" s="1">
        <v>166</v>
      </c>
      <c r="I168" t="s">
        <v>1721</v>
      </c>
    </row>
    <row r="169" spans="1:9">
      <c r="A169" s="1">
        <v>167</v>
      </c>
      <c r="B169" t="str">
        <f>LEFT(Table1[[#This Row],[EPI_DGN_ANTIC]],1)</f>
        <v>O</v>
      </c>
      <c r="C169" t="str">
        <f>LEFT(Table1[[#This Row],[EPI_DGN_ANTIC]],2)</f>
        <v>Or</v>
      </c>
      <c r="D169" t="s">
        <v>1722</v>
      </c>
      <c r="E169" s="10">
        <v>0</v>
      </c>
      <c r="H169" s="1">
        <v>167</v>
      </c>
      <c r="I169" t="s">
        <v>1723</v>
      </c>
    </row>
    <row r="170" spans="1:9">
      <c r="A170" s="1">
        <v>168</v>
      </c>
      <c r="B170" t="str">
        <f>LEFT(Table1[[#This Row],[EPI_DGN_ANTIC]],1)</f>
        <v>O</v>
      </c>
      <c r="C170" t="str">
        <f>LEFT(Table1[[#This Row],[EPI_DGN_ANTIC]],3)</f>
        <v>Orc</v>
      </c>
      <c r="D170" t="s">
        <v>1724</v>
      </c>
      <c r="E170" s="10">
        <v>1</v>
      </c>
      <c r="F170" t="s">
        <v>1725</v>
      </c>
      <c r="H170" s="1">
        <v>168</v>
      </c>
      <c r="I170" t="s">
        <v>1726</v>
      </c>
    </row>
    <row r="171" spans="1:9">
      <c r="A171" s="1">
        <v>169</v>
      </c>
      <c r="B171" t="str">
        <f>LEFT(Table1[[#This Row],[EPI_DGN_ANTIC]],1)</f>
        <v>O</v>
      </c>
      <c r="C171" t="str">
        <f>LEFT(Table1[[#This Row],[EPI_DGN_ANTIC]],3)</f>
        <v>Ord</v>
      </c>
      <c r="D171" t="s">
        <v>1727</v>
      </c>
      <c r="E171" s="10">
        <v>0</v>
      </c>
      <c r="H171" s="1">
        <v>169</v>
      </c>
      <c r="I171" t="s">
        <v>1728</v>
      </c>
    </row>
    <row r="172" spans="1:9">
      <c r="A172" s="1">
        <v>170</v>
      </c>
      <c r="B172" t="str">
        <f>LEFT(Table1[[#This Row],[EPI_DGN_ANTIC]],1)</f>
        <v>O</v>
      </c>
      <c r="C172" t="str">
        <f>LEFT(Table1[[#This Row],[EPI_DGN_ANTIC]],3)</f>
        <v>Ord</v>
      </c>
      <c r="D172" t="s">
        <v>1729</v>
      </c>
      <c r="E172" s="10">
        <v>1</v>
      </c>
      <c r="F172" t="s">
        <v>1730</v>
      </c>
      <c r="H172" s="1">
        <v>170</v>
      </c>
      <c r="I172" t="s">
        <v>1731</v>
      </c>
    </row>
    <row r="173" spans="1:9">
      <c r="A173" s="1">
        <v>171</v>
      </c>
      <c r="B173" t="str">
        <f>LEFT(Table1[[#This Row],[EPI_DGN_ANTIC]],1)</f>
        <v>X</v>
      </c>
      <c r="C173" t="str">
        <f>LEFT(Table1[[#This Row],[EPI_DGN_ANTIC]],2)</f>
        <v>X</v>
      </c>
      <c r="D173" t="s">
        <v>1355</v>
      </c>
      <c r="E173" s="10">
        <v>0</v>
      </c>
      <c r="H173" s="1">
        <v>171</v>
      </c>
      <c r="I173" t="s">
        <v>1574</v>
      </c>
    </row>
    <row r="174" spans="1:9">
      <c r="A174" s="1">
        <v>172</v>
      </c>
      <c r="B174" t="str">
        <f>LEFT(Table1[[#This Row],[EPI_DGN_ANTIC]],1)</f>
        <v>P</v>
      </c>
      <c r="C174" t="str">
        <f>LEFT(Table1[[#This Row],[EPI_DGN_ANTIC]],2)</f>
        <v>Pm</v>
      </c>
      <c r="D174" t="s">
        <v>1732</v>
      </c>
      <c r="E174" s="10">
        <v>0</v>
      </c>
      <c r="H174" s="1">
        <v>172</v>
      </c>
      <c r="I174" t="s">
        <v>1733</v>
      </c>
    </row>
    <row r="175" spans="1:9">
      <c r="A175" s="1">
        <v>173</v>
      </c>
      <c r="B175" t="str">
        <f>LEFT(Table1[[#This Row],[EPI_DGN_ANTIC]],1)</f>
        <v>N</v>
      </c>
      <c r="C175" t="str">
        <f>LEFT(Table1[[#This Row],[EPI_DGN_ANTIC]],3)</f>
        <v>NMc</v>
      </c>
      <c r="D175" t="s">
        <v>1734</v>
      </c>
      <c r="E175" s="10">
        <v>1</v>
      </c>
      <c r="F175" t="s">
        <v>1735</v>
      </c>
      <c r="H175" s="1">
        <v>173</v>
      </c>
      <c r="I175" t="s">
        <v>1736</v>
      </c>
    </row>
    <row r="176" spans="1:9">
      <c r="A176" s="1">
        <v>174</v>
      </c>
      <c r="B176" t="str">
        <f>LEFT(Table1[[#This Row],[EPI_DGN_ANTIC]],1)</f>
        <v>N</v>
      </c>
      <c r="C176" t="str">
        <f>LEFT(Table1[[#This Row],[EPI_DGN_ANTIC]],3)</f>
        <v>NMs</v>
      </c>
      <c r="D176" t="s">
        <v>1737</v>
      </c>
      <c r="E176" s="10">
        <v>1</v>
      </c>
      <c r="F176" t="s">
        <v>1738</v>
      </c>
      <c r="H176" s="1">
        <v>174</v>
      </c>
      <c r="I176" t="s">
        <v>1739</v>
      </c>
    </row>
    <row r="177" spans="1:9">
      <c r="A177" s="1">
        <v>175</v>
      </c>
      <c r="B177" t="str">
        <f>LEFT(Table1[[#This Row],[EPI_DGN_ANTIC]],1)</f>
        <v>N</v>
      </c>
      <c r="C177" t="str">
        <f>LEFT(Table1[[#This Row],[EPI_DGN_ANTIC]],3)</f>
        <v>NPg</v>
      </c>
      <c r="D177" t="s">
        <v>1740</v>
      </c>
      <c r="E177" s="10">
        <v>1</v>
      </c>
      <c r="F177" t="s">
        <v>1741</v>
      </c>
      <c r="H177" s="1">
        <v>175</v>
      </c>
      <c r="I177" t="s">
        <v>1742</v>
      </c>
    </row>
    <row r="178" spans="1:9">
      <c r="A178" s="1">
        <v>176</v>
      </c>
      <c r="B178" t="str">
        <f>LEFT(Table1[[#This Row],[EPI_DGN_ANTIC]],1)</f>
        <v>O</v>
      </c>
      <c r="C178" t="str">
        <f>LEFT(Table1[[#This Row],[EPI_DGN_ANTIC]],2)</f>
        <v>Oa</v>
      </c>
      <c r="D178" t="s">
        <v>1743</v>
      </c>
      <c r="E178" s="10">
        <v>1</v>
      </c>
      <c r="F178" t="s">
        <v>1638</v>
      </c>
      <c r="H178" s="1">
        <v>176</v>
      </c>
      <c r="I178" t="s">
        <v>1378</v>
      </c>
    </row>
    <row r="179" spans="1:9">
      <c r="A179" s="1">
        <v>177</v>
      </c>
      <c r="B179" t="str">
        <f>LEFT(Table1[[#This Row],[EPI_DGN_ANTIC]],1)</f>
        <v>O</v>
      </c>
      <c r="C179" t="str">
        <f>LEFT(Table1[[#This Row],[EPI_DGN_ANTIC]],2)</f>
        <v>Ob</v>
      </c>
      <c r="D179" t="s">
        <v>1744</v>
      </c>
      <c r="E179" s="10">
        <v>1</v>
      </c>
      <c r="F179" t="s">
        <v>1745</v>
      </c>
      <c r="H179" s="1">
        <v>177</v>
      </c>
      <c r="I179" t="s">
        <v>1746</v>
      </c>
    </row>
    <row r="180" spans="1:9">
      <c r="A180" s="1">
        <v>178</v>
      </c>
      <c r="B180" t="str">
        <f>LEFT(Table1[[#This Row],[EPI_DGN_ANTIC]],1)</f>
        <v>O</v>
      </c>
      <c r="C180" t="str">
        <f>LEFT(Table1[[#This Row],[EPI_DGN_ANTIC]],2)</f>
        <v>Ob</v>
      </c>
      <c r="D180" t="s">
        <v>1747</v>
      </c>
      <c r="E180" s="10">
        <v>1</v>
      </c>
      <c r="F180" t="s">
        <v>1641</v>
      </c>
      <c r="H180" s="1">
        <v>178</v>
      </c>
      <c r="I180" t="s">
        <v>1748</v>
      </c>
    </row>
    <row r="181" spans="1:9">
      <c r="A181" s="1">
        <v>179</v>
      </c>
      <c r="B181" t="str">
        <f>LEFT(Table1[[#This Row],[EPI_DGN_ANTIC]],1)</f>
        <v>O</v>
      </c>
      <c r="C181" t="str">
        <f>LEFT(Table1[[#This Row],[EPI_DGN_ANTIC]],2)</f>
        <v>Ob</v>
      </c>
      <c r="D181" t="s">
        <v>1749</v>
      </c>
      <c r="E181" s="10">
        <v>1</v>
      </c>
      <c r="F181" t="s">
        <v>1638</v>
      </c>
      <c r="H181" s="1">
        <v>179</v>
      </c>
      <c r="I181" t="s">
        <v>1750</v>
      </c>
    </row>
    <row r="182" spans="1:9">
      <c r="A182" s="1">
        <v>180</v>
      </c>
      <c r="B182" t="str">
        <f>LEFT(Table1[[#This Row],[EPI_DGN_ANTIC]],1)</f>
        <v>O</v>
      </c>
      <c r="C182" t="str">
        <f>LEFT(Table1[[#This Row],[EPI_DGN_ANTIC]],2)</f>
        <v>OC</v>
      </c>
      <c r="D182" t="s">
        <v>1751</v>
      </c>
      <c r="E182" s="10">
        <v>1</v>
      </c>
      <c r="F182" t="s">
        <v>1752</v>
      </c>
      <c r="H182" s="1">
        <v>180</v>
      </c>
      <c r="I182" t="s">
        <v>1491</v>
      </c>
    </row>
    <row r="183" spans="1:9">
      <c r="A183" s="1">
        <v>181</v>
      </c>
      <c r="B183" t="str">
        <f>LEFT(Table1[[#This Row],[EPI_DGN_ANTIC]],1)</f>
        <v>O</v>
      </c>
      <c r="C183" t="str">
        <f>LEFT(Table1[[#This Row],[EPI_DGN_ANTIC]],2)</f>
        <v>Og</v>
      </c>
      <c r="D183" t="s">
        <v>1753</v>
      </c>
      <c r="E183" s="10">
        <v>0</v>
      </c>
      <c r="H183" s="1">
        <v>181</v>
      </c>
      <c r="I183" t="s">
        <v>1491</v>
      </c>
    </row>
    <row r="184" spans="1:9">
      <c r="A184" s="1">
        <v>182</v>
      </c>
      <c r="B184" t="str">
        <f>LEFT(Table1[[#This Row],[EPI_DGN_ANTIC]],1)</f>
        <v>O</v>
      </c>
      <c r="C184" t="str">
        <f>LEFT(Table1[[#This Row],[EPI_DGN_ANTIC]],2)</f>
        <v>Oc</v>
      </c>
      <c r="D184" t="s">
        <v>1754</v>
      </c>
      <c r="E184" s="10">
        <v>1</v>
      </c>
      <c r="F184" t="s">
        <v>1755</v>
      </c>
      <c r="H184" s="1">
        <v>182</v>
      </c>
      <c r="I184" t="s">
        <v>1491</v>
      </c>
    </row>
    <row r="185" spans="1:9">
      <c r="A185" s="1">
        <v>183</v>
      </c>
      <c r="B185" t="str">
        <f>LEFT(Table1[[#This Row],[EPI_DGN_ANTIC]],1)</f>
        <v>O</v>
      </c>
      <c r="C185" t="str">
        <f>LEFT(Table1[[#This Row],[EPI_DGN_ANTIC]],2)</f>
        <v>Oc</v>
      </c>
      <c r="D185" t="s">
        <v>1756</v>
      </c>
      <c r="E185" s="10">
        <v>1</v>
      </c>
      <c r="F185" t="s">
        <v>1638</v>
      </c>
      <c r="H185" s="1">
        <v>183</v>
      </c>
      <c r="I185" t="s">
        <v>1726</v>
      </c>
    </row>
    <row r="186" spans="1:9">
      <c r="A186" s="1">
        <v>184</v>
      </c>
      <c r="B186" t="str">
        <f>LEFT(Table1[[#This Row],[EPI_DGN_ANTIC]],1)</f>
        <v>O</v>
      </c>
      <c r="C186" t="str">
        <f>LEFT(Table1[[#This Row],[EPI_DGN_ANTIC]],2)</f>
        <v>OC</v>
      </c>
      <c r="D186" t="s">
        <v>1757</v>
      </c>
      <c r="E186" s="10">
        <v>1</v>
      </c>
      <c r="F186" t="s">
        <v>1758</v>
      </c>
      <c r="H186" s="1">
        <v>184</v>
      </c>
      <c r="I186" t="s">
        <v>1759</v>
      </c>
    </row>
    <row r="187" spans="1:9">
      <c r="A187" s="1">
        <v>185</v>
      </c>
      <c r="B187" t="str">
        <f>LEFT(Table1[[#This Row],[EPI_DGN_ANTIC]],1)</f>
        <v>O</v>
      </c>
      <c r="C187" t="str">
        <f>LEFT(Table1[[#This Row],[EPI_DGN_ANTIC]],2)</f>
        <v>Oc</v>
      </c>
      <c r="D187" t="s">
        <v>1760</v>
      </c>
      <c r="E187" s="10">
        <v>1</v>
      </c>
      <c r="F187" t="s">
        <v>1638</v>
      </c>
      <c r="H187" s="1">
        <v>185</v>
      </c>
      <c r="I187" t="s">
        <v>1103</v>
      </c>
    </row>
    <row r="188" spans="1:9">
      <c r="A188" s="1">
        <v>186</v>
      </c>
      <c r="B188" t="str">
        <f>LEFT(Table1[[#This Row],[EPI_DGN_ANTIC]],1)</f>
        <v>O</v>
      </c>
      <c r="C188" t="str">
        <f>LEFT(Table1[[#This Row],[EPI_DGN_ANTIC]],2)</f>
        <v>Oc</v>
      </c>
      <c r="D188" t="s">
        <v>1761</v>
      </c>
      <c r="E188" s="10">
        <v>1</v>
      </c>
      <c r="F188" t="s">
        <v>1755</v>
      </c>
      <c r="H188" s="1">
        <v>186</v>
      </c>
      <c r="I188" t="s">
        <v>1762</v>
      </c>
    </row>
    <row r="189" spans="1:9">
      <c r="A189" s="1">
        <v>187</v>
      </c>
      <c r="B189" t="str">
        <f>LEFT(Table1[[#This Row],[EPI_DGN_ANTIC]],1)</f>
        <v>O</v>
      </c>
      <c r="C189" t="str">
        <f>LEFT(Table1[[#This Row],[EPI_DGN_ANTIC]],2)</f>
        <v>Oc</v>
      </c>
      <c r="D189" t="s">
        <v>1763</v>
      </c>
      <c r="E189" s="10">
        <v>1</v>
      </c>
      <c r="F189" t="s">
        <v>1764</v>
      </c>
      <c r="H189" s="1">
        <v>187</v>
      </c>
      <c r="I189" t="s">
        <v>1765</v>
      </c>
    </row>
    <row r="190" spans="1:9">
      <c r="A190" s="1">
        <v>188</v>
      </c>
      <c r="B190" t="str">
        <f>LEFT(Table1[[#This Row],[EPI_DGN_ANTIC]],1)</f>
        <v>O</v>
      </c>
      <c r="C190" t="str">
        <f>LEFT(Table1[[#This Row],[EPI_DGN_ANTIC]],2)</f>
        <v>Oc</v>
      </c>
      <c r="D190" t="s">
        <v>1766</v>
      </c>
      <c r="E190" s="10">
        <v>1</v>
      </c>
      <c r="F190" t="s">
        <v>1767</v>
      </c>
      <c r="H190" s="1">
        <v>188</v>
      </c>
      <c r="I190" t="s">
        <v>1768</v>
      </c>
    </row>
    <row r="191" spans="1:9">
      <c r="A191" s="1">
        <v>189</v>
      </c>
      <c r="B191" t="str">
        <f>LEFT(Table1[[#This Row],[EPI_DGN_ANTIC]],1)</f>
        <v>O</v>
      </c>
      <c r="C191" t="str">
        <f>LEFT(Table1[[#This Row],[EPI_DGN_ANTIC]],2)</f>
        <v>OC</v>
      </c>
      <c r="D191" t="s">
        <v>1769</v>
      </c>
      <c r="E191" s="10">
        <v>1</v>
      </c>
      <c r="F191" t="s">
        <v>1758</v>
      </c>
      <c r="H191" s="1">
        <v>189</v>
      </c>
      <c r="I191" t="s">
        <v>1770</v>
      </c>
    </row>
    <row r="192" spans="1:9">
      <c r="A192" s="1">
        <v>190</v>
      </c>
      <c r="B192" t="str">
        <f>LEFT(Table1[[#This Row],[EPI_DGN_ANTIC]],1)</f>
        <v>O</v>
      </c>
      <c r="C192" t="str">
        <f>LEFT(Table1[[#This Row],[EPI_DGN_ANTIC]],2)</f>
        <v>Oc</v>
      </c>
      <c r="D192" t="s">
        <v>1771</v>
      </c>
      <c r="E192" s="10">
        <v>1</v>
      </c>
      <c r="F192" t="s">
        <v>1772</v>
      </c>
      <c r="H192" s="1">
        <v>190</v>
      </c>
      <c r="I192" t="s">
        <v>1773</v>
      </c>
    </row>
    <row r="193" spans="1:9">
      <c r="A193" s="1">
        <v>191</v>
      </c>
      <c r="B193" t="str">
        <f>LEFT(Table1[[#This Row],[EPI_DGN_ANTIC]],1)</f>
        <v>O</v>
      </c>
      <c r="C193" t="str">
        <f>LEFT(Table1[[#This Row],[EPI_DGN_ANTIC]],2)</f>
        <v>Ol</v>
      </c>
      <c r="D193" t="s">
        <v>1774</v>
      </c>
      <c r="E193" s="10">
        <v>1</v>
      </c>
      <c r="F193" t="s">
        <v>1641</v>
      </c>
      <c r="H193" s="1">
        <v>191</v>
      </c>
      <c r="I193" t="s">
        <v>1775</v>
      </c>
    </row>
    <row r="194" spans="1:9">
      <c r="A194" s="1">
        <v>192</v>
      </c>
      <c r="B194" t="str">
        <f>LEFT(Table1[[#This Row],[EPI_DGN_ANTIC]],1)</f>
        <v>O</v>
      </c>
      <c r="C194" t="str">
        <f>LEFT(Table1[[#This Row],[EPI_DGN_ANTIC]],2)</f>
        <v>Ol</v>
      </c>
      <c r="D194" t="s">
        <v>1776</v>
      </c>
      <c r="E194" s="10">
        <v>1</v>
      </c>
      <c r="F194" t="s">
        <v>1777</v>
      </c>
      <c r="H194" s="1">
        <v>192</v>
      </c>
      <c r="I194" t="s">
        <v>1778</v>
      </c>
    </row>
    <row r="195" spans="1:9">
      <c r="A195" s="1">
        <v>193</v>
      </c>
      <c r="B195" t="str">
        <f>LEFT(Table1[[#This Row],[EPI_DGN_ANTIC]],1)</f>
        <v>O</v>
      </c>
      <c r="C195" t="str">
        <f>LEFT(Table1[[#This Row],[EPI_DGN_ANTIC]],2)</f>
        <v>Ol</v>
      </c>
      <c r="D195" t="s">
        <v>1779</v>
      </c>
      <c r="E195" s="10">
        <v>1</v>
      </c>
      <c r="F195" t="s">
        <v>1780</v>
      </c>
      <c r="H195" s="1">
        <v>193</v>
      </c>
      <c r="I195" t="s">
        <v>1778</v>
      </c>
    </row>
    <row r="196" spans="1:9">
      <c r="A196" s="1">
        <v>194</v>
      </c>
      <c r="B196" t="str">
        <f>LEFT(Table1[[#This Row],[EPI_DGN_ANTIC]],1)</f>
        <v>O</v>
      </c>
      <c r="C196" t="str">
        <f>LEFT(Table1[[#This Row],[EPI_DGN_ANTIC]],3)</f>
        <v>ORc</v>
      </c>
      <c r="D196" t="s">
        <v>1781</v>
      </c>
      <c r="E196" s="10">
        <v>1</v>
      </c>
      <c r="F196" t="s">
        <v>1782</v>
      </c>
      <c r="H196" s="1">
        <v>194</v>
      </c>
      <c r="I196" t="s">
        <v>1783</v>
      </c>
    </row>
    <row r="197" spans="1:9">
      <c r="A197" s="1">
        <v>195</v>
      </c>
      <c r="B197" t="str">
        <f>LEFT(Table1[[#This Row],[EPI_DGN_ANTIC]],1)</f>
        <v>O</v>
      </c>
      <c r="C197" t="str">
        <f>LEFT(Table1[[#This Row],[EPI_DGN_ANTIC]],3)</f>
        <v>Ord</v>
      </c>
      <c r="D197" t="s">
        <v>1727</v>
      </c>
      <c r="E197" s="10">
        <v>1</v>
      </c>
      <c r="F197" t="s">
        <v>1784</v>
      </c>
      <c r="H197" s="1">
        <v>195</v>
      </c>
      <c r="I197" t="s">
        <v>1785</v>
      </c>
    </row>
    <row r="198" spans="1:9">
      <c r="A198" s="1">
        <v>196</v>
      </c>
      <c r="B198" t="s">
        <v>1632</v>
      </c>
      <c r="C198" t="s">
        <v>1727</v>
      </c>
      <c r="D198" t="s">
        <v>1786</v>
      </c>
      <c r="E198" s="10">
        <v>1</v>
      </c>
      <c r="F198" t="s">
        <v>1784</v>
      </c>
      <c r="G198" s="22" t="s">
        <v>786</v>
      </c>
      <c r="H198" s="1">
        <v>196</v>
      </c>
      <c r="I198" t="s">
        <v>1787</v>
      </c>
    </row>
    <row r="199" spans="1:9">
      <c r="A199" s="1">
        <v>197</v>
      </c>
      <c r="B199" t="s">
        <v>1632</v>
      </c>
      <c r="C199" t="s">
        <v>1727</v>
      </c>
      <c r="D199" t="s">
        <v>1788</v>
      </c>
      <c r="E199" s="10">
        <v>1</v>
      </c>
      <c r="F199" t="s">
        <v>1730</v>
      </c>
      <c r="G199" s="22" t="s">
        <v>786</v>
      </c>
      <c r="H199" s="1">
        <v>197</v>
      </c>
      <c r="I199" t="s">
        <v>1789</v>
      </c>
    </row>
    <row r="200" spans="1:9">
      <c r="A200" s="1">
        <v>198</v>
      </c>
      <c r="B200" t="str">
        <f>LEFT(Table1[[#This Row],[EPI_DGN_ANTIC]],1)</f>
        <v>P</v>
      </c>
      <c r="C200" t="str">
        <f>LEFT(Table1[[#This Row],[EPI_DGN_ANTIC]],3)</f>
        <v>PEI</v>
      </c>
      <c r="D200" t="s">
        <v>1790</v>
      </c>
      <c r="E200" s="10">
        <v>1</v>
      </c>
      <c r="F200" t="s">
        <v>1791</v>
      </c>
      <c r="H200" s="1">
        <v>198</v>
      </c>
      <c r="I200" t="s">
        <v>1792</v>
      </c>
    </row>
    <row r="201" spans="1:9">
      <c r="A201" s="1">
        <v>199</v>
      </c>
      <c r="B201" t="str">
        <f>LEFT(Table1[[#This Row],[EPI_DGN_ANTIC]],1)</f>
        <v>P</v>
      </c>
      <c r="C201" t="str">
        <f>LEFT(Table1[[#This Row],[EPI_DGN_ANTIC]],3)</f>
        <v>PEI</v>
      </c>
      <c r="D201" t="s">
        <v>1793</v>
      </c>
      <c r="E201" s="10">
        <v>1</v>
      </c>
      <c r="F201" t="s">
        <v>1791</v>
      </c>
      <c r="H201" s="1">
        <v>199</v>
      </c>
      <c r="I201" t="s">
        <v>1794</v>
      </c>
    </row>
    <row r="202" spans="1:9">
      <c r="A202" s="1">
        <v>200</v>
      </c>
      <c r="B202" t="str">
        <f>LEFT(Table1[[#This Row],[EPI_DGN_ANTIC]],1)</f>
        <v>P</v>
      </c>
      <c r="C202" t="str">
        <f>LEFT(Table1[[#This Row],[EPI_DGN_ANTIC]],2)</f>
        <v>Pm</v>
      </c>
      <c r="D202" t="s">
        <v>1795</v>
      </c>
      <c r="E202" s="10">
        <v>1</v>
      </c>
      <c r="F202" t="s">
        <v>1796</v>
      </c>
      <c r="H202" s="1">
        <v>200</v>
      </c>
      <c r="I202" t="s">
        <v>1797</v>
      </c>
    </row>
    <row r="203" spans="1:9">
      <c r="A203" s="1">
        <v>201</v>
      </c>
      <c r="B203" t="str">
        <f>LEFT(Table1[[#This Row],[EPI_DGN_ANTIC]],1)</f>
        <v>N</v>
      </c>
      <c r="C203" t="str">
        <f>LEFT(Table1[[#This Row],[EPI_DGN_ANTIC]],2)</f>
        <v>NB</v>
      </c>
      <c r="D203" t="s">
        <v>1798</v>
      </c>
      <c r="E203" s="10">
        <v>0</v>
      </c>
      <c r="H203" s="1">
        <v>201</v>
      </c>
      <c r="I203" t="s">
        <v>1799</v>
      </c>
    </row>
    <row r="204" spans="1:9">
      <c r="A204" s="1">
        <v>202</v>
      </c>
      <c r="B204" t="str">
        <f>LEFT(Table1[[#This Row],[EPI_DGN_ANTIC]],1)</f>
        <v>S</v>
      </c>
      <c r="C204" t="str">
        <f>LEFT(Table1[[#This Row],[EPI_DGN_ANTIC]],2)</f>
        <v>SD</v>
      </c>
      <c r="D204" t="s">
        <v>1800</v>
      </c>
      <c r="E204" s="10">
        <v>1</v>
      </c>
      <c r="F204" t="s">
        <v>1801</v>
      </c>
      <c r="H204" s="1">
        <v>202</v>
      </c>
      <c r="I204" t="s">
        <v>1802</v>
      </c>
    </row>
    <row r="205" spans="1:9">
      <c r="A205" s="1">
        <v>203</v>
      </c>
      <c r="B205" t="str">
        <f>LEFT(Table1[[#This Row],[EPI_DGN_ANTIC]],1)</f>
        <v>T</v>
      </c>
      <c r="C205" t="str">
        <f>LEFT(Table1[[#This Row],[EPI_DGN_ANTIC]],2)</f>
        <v>TS</v>
      </c>
      <c r="D205" t="s">
        <v>1803</v>
      </c>
      <c r="E205" s="10">
        <v>1</v>
      </c>
      <c r="F205" t="s">
        <v>1804</v>
      </c>
      <c r="H205" s="1">
        <v>203</v>
      </c>
      <c r="I205" t="s">
        <v>1805</v>
      </c>
    </row>
    <row r="206" spans="1:9">
      <c r="A206" s="1">
        <v>204</v>
      </c>
      <c r="B206" t="str">
        <f>LEFT(Table1[[#This Row],[EPI_DGN_ANTIC]],1)</f>
        <v>T</v>
      </c>
      <c r="C206" t="str">
        <f>LEFT(Table1[[#This Row],[EPI_DGN_ANTIC]],2)</f>
        <v>TS</v>
      </c>
      <c r="D206" t="s">
        <v>1806</v>
      </c>
      <c r="E206" s="10">
        <v>1</v>
      </c>
      <c r="F206" t="s">
        <v>1807</v>
      </c>
      <c r="H206" s="1">
        <v>204</v>
      </c>
      <c r="I206" t="s">
        <v>1808</v>
      </c>
    </row>
    <row r="207" spans="1:9">
      <c r="A207" s="1">
        <v>205</v>
      </c>
      <c r="B207" t="str">
        <f>LEFT(Table1[[#This Row],[EPI_DGN_ANTIC]],1)</f>
        <v>T</v>
      </c>
      <c r="C207" t="str">
        <f>LEFT(Table1[[#This Row],[EPI_DGN_ANTIC]],2)</f>
        <v>TS</v>
      </c>
      <c r="D207" t="s">
        <v>1809</v>
      </c>
      <c r="E207" s="10">
        <v>1</v>
      </c>
      <c r="F207" t="s">
        <v>1810</v>
      </c>
      <c r="H207" s="1">
        <v>205</v>
      </c>
      <c r="I207" t="s">
        <v>1811</v>
      </c>
    </row>
    <row r="208" spans="1:9">
      <c r="A208" s="1">
        <v>206</v>
      </c>
      <c r="B208" t="str">
        <f>LEFT(Table1[[#This Row],[EPI_DGN_ANTIC]],1)</f>
        <v>T</v>
      </c>
      <c r="C208" t="str">
        <f>LEFT(Table1[[#This Row],[EPI_DGN_ANTIC]],2)</f>
        <v>Tm</v>
      </c>
      <c r="D208" t="s">
        <v>1812</v>
      </c>
      <c r="E208" s="10">
        <v>0</v>
      </c>
      <c r="H208" s="1">
        <v>206</v>
      </c>
      <c r="I208" t="s">
        <v>944</v>
      </c>
    </row>
    <row r="209" spans="1:9">
      <c r="A209" s="1">
        <v>207</v>
      </c>
      <c r="B209" t="str">
        <f>LEFT(Table1[[#This Row],[EPI_DGN_ANTIC]],1)</f>
        <v>Q</v>
      </c>
      <c r="C209" t="str">
        <f>LEFT(Table1[[#This Row],[EPI_DGN_ANTIC]],2)</f>
        <v>Qb</v>
      </c>
      <c r="D209" t="s">
        <v>1813</v>
      </c>
      <c r="E209" s="10">
        <v>1</v>
      </c>
      <c r="F209" t="s">
        <v>1814</v>
      </c>
      <c r="H209" s="1">
        <v>207</v>
      </c>
      <c r="I209" t="s">
        <v>274</v>
      </c>
    </row>
    <row r="210" spans="1:9">
      <c r="A210" s="1">
        <v>208</v>
      </c>
      <c r="B210" t="str">
        <f>LEFT(Table1[[#This Row],[EPI_DGN_ANTIC]],1)</f>
        <v>Q</v>
      </c>
      <c r="C210" t="str">
        <f>LEFT(Table1[[#This Row],[EPI_DGN_ANTIC]],2)</f>
        <v>Qc</v>
      </c>
      <c r="D210" t="s">
        <v>1815</v>
      </c>
      <c r="E210" s="10">
        <v>1</v>
      </c>
      <c r="F210" t="s">
        <v>1466</v>
      </c>
      <c r="H210" s="1">
        <v>208</v>
      </c>
      <c r="I210" t="s">
        <v>242</v>
      </c>
    </row>
    <row r="211" spans="1:9">
      <c r="A211" s="1">
        <v>209</v>
      </c>
      <c r="B211" t="str">
        <f>LEFT(Table1[[#This Row],[EPI_DGN_ANTIC]],1)</f>
        <v>Q</v>
      </c>
      <c r="C211" t="str">
        <f>LEFT(Table1[[#This Row],[EPI_DGN_ANTIC]],2)</f>
        <v>Qd</v>
      </c>
      <c r="D211" t="s">
        <v>1816</v>
      </c>
      <c r="E211" s="10">
        <v>1</v>
      </c>
      <c r="F211" t="s">
        <v>1817</v>
      </c>
      <c r="H211" s="1">
        <v>209</v>
      </c>
      <c r="I211" t="s">
        <v>1818</v>
      </c>
    </row>
    <row r="212" spans="1:9">
      <c r="A212" s="1">
        <v>210</v>
      </c>
      <c r="B212" t="str">
        <f>LEFT(Table1[[#This Row],[EPI_DGN_ANTIC]],1)</f>
        <v>Q</v>
      </c>
      <c r="C212" t="str">
        <f>LEFT(Table1[[#This Row],[EPI_DGN_ANTIC]],2)</f>
        <v>Ql</v>
      </c>
      <c r="D212" t="s">
        <v>1819</v>
      </c>
      <c r="E212" s="10">
        <v>1</v>
      </c>
      <c r="F212" t="s">
        <v>1820</v>
      </c>
      <c r="H212" s="1">
        <v>210</v>
      </c>
      <c r="I212" t="s">
        <v>1821</v>
      </c>
    </row>
    <row r="213" spans="1:9">
      <c r="A213" s="1">
        <v>211</v>
      </c>
      <c r="B213" t="str">
        <f>LEFT(Table1[[#This Row],[EPI_DGN_ANTIC]],1)</f>
        <v>Q</v>
      </c>
      <c r="C213" t="str">
        <f>LEFT(Table1[[#This Row],[EPI_DGN_ANTIC]],3)</f>
        <v>Qtc</v>
      </c>
      <c r="D213" t="s">
        <v>1822</v>
      </c>
      <c r="E213" s="10">
        <v>0</v>
      </c>
      <c r="H213" s="1">
        <v>211</v>
      </c>
      <c r="I213" t="s">
        <v>779</v>
      </c>
    </row>
    <row r="214" spans="1:9">
      <c r="A214" s="1">
        <v>212</v>
      </c>
      <c r="B214" t="str">
        <f>LEFT(Table1[[#This Row],[EPI_DGN_ANTIC]],1)</f>
        <v>Q</v>
      </c>
      <c r="C214" t="str">
        <f>LEFT(Table1[[#This Row],[EPI_DGN_ANTIC]],3)</f>
        <v>Qvt</v>
      </c>
      <c r="D214" t="s">
        <v>1823</v>
      </c>
      <c r="E214" s="10">
        <v>1</v>
      </c>
      <c r="F214" t="s">
        <v>1824</v>
      </c>
      <c r="H214" s="1">
        <v>212</v>
      </c>
      <c r="I214" t="s">
        <v>509</v>
      </c>
    </row>
    <row r="215" spans="1:9">
      <c r="A215" s="1">
        <v>213</v>
      </c>
      <c r="B215" t="str">
        <f>LEFT(Table1[[#This Row],[EPI_DGN_ANTIC]],1)</f>
        <v>O</v>
      </c>
      <c r="C215" t="str">
        <f>LEFT(Table1[[#This Row],[EPI_DGN_ANTIC]],2)</f>
        <v>Oc</v>
      </c>
      <c r="D215" t="s">
        <v>1825</v>
      </c>
      <c r="E215" s="10">
        <v>1</v>
      </c>
      <c r="F215" t="s">
        <v>1576</v>
      </c>
      <c r="H215" s="1">
        <v>213</v>
      </c>
      <c r="I215" t="s">
        <v>1530</v>
      </c>
    </row>
    <row r="216" spans="1:9">
      <c r="A216" s="1">
        <v>214</v>
      </c>
      <c r="B216" t="str">
        <f>LEFT(Table1[[#This Row],[EPI_DGN_ANTIC]],1)</f>
        <v>T</v>
      </c>
      <c r="C216" t="str">
        <f>LEFT(Table1[[#This Row],[EPI_DGN_ANTIC]],2)</f>
        <v>TL</v>
      </c>
      <c r="D216" t="s">
        <v>1826</v>
      </c>
      <c r="E216" s="10">
        <v>1</v>
      </c>
      <c r="F216" t="s">
        <v>1827</v>
      </c>
      <c r="H216" s="1">
        <v>214</v>
      </c>
      <c r="I216" t="s">
        <v>129</v>
      </c>
    </row>
    <row r="217" spans="1:9">
      <c r="A217" s="1">
        <v>215</v>
      </c>
      <c r="B217" t="str">
        <f>LEFT(Table1[[#This Row],[EPI_DGN_ANTIC]],1)</f>
        <v>T</v>
      </c>
      <c r="C217" t="str">
        <f>LEFT(Table1[[#This Row],[EPI_DGN_ANTIC]],2)</f>
        <v>TM</v>
      </c>
      <c r="D217" t="s">
        <v>1828</v>
      </c>
      <c r="E217" s="10">
        <v>1</v>
      </c>
      <c r="F217" t="s">
        <v>1829</v>
      </c>
      <c r="H217" s="1">
        <v>215</v>
      </c>
      <c r="I217" t="s">
        <v>582</v>
      </c>
    </row>
    <row r="218" spans="1:9">
      <c r="A218" s="1">
        <v>216</v>
      </c>
      <c r="B218" t="str">
        <f>LEFT(Table1[[#This Row],[EPI_DGN_ANTIC]],1)</f>
        <v>O</v>
      </c>
      <c r="C218" t="str">
        <f>LEFT(Table1[[#This Row],[EPI_DGN_ANTIC]],2)</f>
        <v>Oc</v>
      </c>
      <c r="D218" t="s">
        <v>1830</v>
      </c>
      <c r="E218" s="10">
        <v>1</v>
      </c>
      <c r="F218" t="s">
        <v>1831</v>
      </c>
      <c r="H218" s="1">
        <v>216</v>
      </c>
      <c r="I218" t="s">
        <v>1832</v>
      </c>
    </row>
    <row r="219" spans="1:9">
      <c r="A219" s="1">
        <v>217</v>
      </c>
      <c r="B219" t="s">
        <v>1632</v>
      </c>
      <c r="C219" t="s">
        <v>1727</v>
      </c>
      <c r="D219" t="s">
        <v>1833</v>
      </c>
      <c r="E219" s="10">
        <v>1</v>
      </c>
      <c r="F219" t="s">
        <v>1730</v>
      </c>
      <c r="G219" s="30" t="s">
        <v>704</v>
      </c>
      <c r="H219" s="1">
        <v>217</v>
      </c>
      <c r="I219" t="s">
        <v>1834</v>
      </c>
    </row>
    <row r="220" spans="1:9">
      <c r="A220" s="1">
        <v>218</v>
      </c>
      <c r="B220" t="s">
        <v>1632</v>
      </c>
      <c r="C220" t="s">
        <v>1727</v>
      </c>
      <c r="D220" t="s">
        <v>1835</v>
      </c>
      <c r="E220" s="10">
        <v>1</v>
      </c>
      <c r="F220" t="s">
        <v>1730</v>
      </c>
      <c r="G220" s="30" t="s">
        <v>704</v>
      </c>
      <c r="H220" s="1">
        <v>218</v>
      </c>
      <c r="I220" t="s">
        <v>1359</v>
      </c>
    </row>
    <row r="221" spans="1:9">
      <c r="A221" s="1">
        <v>219</v>
      </c>
      <c r="B221" t="s">
        <v>1632</v>
      </c>
      <c r="C221" t="s">
        <v>1727</v>
      </c>
      <c r="D221" t="s">
        <v>1836</v>
      </c>
      <c r="E221" s="10">
        <v>1</v>
      </c>
      <c r="F221" t="s">
        <v>1730</v>
      </c>
      <c r="G221" s="30" t="s">
        <v>704</v>
      </c>
      <c r="H221" s="1">
        <v>219</v>
      </c>
      <c r="I221" t="s">
        <v>1837</v>
      </c>
    </row>
    <row r="222" spans="1:9">
      <c r="A222" s="1">
        <v>220</v>
      </c>
      <c r="B222" t="s">
        <v>1355</v>
      </c>
      <c r="C222" t="str">
        <f>LEFT(Table1[[#This Row],[EPI_DGN_ANTIC]],1)</f>
        <v>A</v>
      </c>
      <c r="D222" t="s">
        <v>1150</v>
      </c>
      <c r="E222" s="10">
        <v>0</v>
      </c>
      <c r="H222" s="1">
        <v>220</v>
      </c>
      <c r="I222" t="s">
        <v>1411</v>
      </c>
    </row>
    <row r="223" spans="1:9">
      <c r="A223" s="1">
        <v>221</v>
      </c>
      <c r="B223" t="s">
        <v>1355</v>
      </c>
      <c r="C223" t="str">
        <f>LEFT(Table1[[#This Row],[EPI_DGN_ANTIC]],1)</f>
        <v>A</v>
      </c>
      <c r="D223" t="s">
        <v>1150</v>
      </c>
      <c r="E223" s="10">
        <v>0</v>
      </c>
      <c r="H223" s="1">
        <v>221</v>
      </c>
      <c r="I223" t="s">
        <v>1838</v>
      </c>
    </row>
    <row r="224" spans="1:9">
      <c r="A224" s="1">
        <v>222</v>
      </c>
      <c r="B224" t="s">
        <v>1355</v>
      </c>
      <c r="C224" t="str">
        <f>LEFT(Table1[[#This Row],[EPI_DGN_ANTIC]],1)</f>
        <v>A</v>
      </c>
      <c r="D224" t="s">
        <v>1839</v>
      </c>
      <c r="E224" s="10">
        <v>0</v>
      </c>
      <c r="H224" s="1">
        <v>222</v>
      </c>
      <c r="I224" t="s">
        <v>1840</v>
      </c>
    </row>
    <row r="225" spans="1:9">
      <c r="A225" s="1">
        <v>223</v>
      </c>
      <c r="B225" t="s">
        <v>1355</v>
      </c>
      <c r="C225" t="str">
        <f>LEFT(Table1[[#This Row],[EPI_DGN_ANTIC]],1)</f>
        <v>A</v>
      </c>
      <c r="D225" t="s">
        <v>1841</v>
      </c>
      <c r="E225" s="10">
        <v>0</v>
      </c>
      <c r="H225" s="1">
        <v>223</v>
      </c>
      <c r="I225" t="s">
        <v>1840</v>
      </c>
    </row>
    <row r="226" spans="1:9">
      <c r="A226" s="1">
        <v>224</v>
      </c>
      <c r="B226" t="s">
        <v>1355</v>
      </c>
      <c r="C226" t="str">
        <f>LEFT(Table1[[#This Row],[EPI_DGN_ANTIC]],1)</f>
        <v>A</v>
      </c>
      <c r="D226" t="s">
        <v>1842</v>
      </c>
      <c r="E226" s="10">
        <v>0</v>
      </c>
      <c r="H226" s="1">
        <v>224</v>
      </c>
      <c r="I226" t="s">
        <v>1840</v>
      </c>
    </row>
    <row r="227" spans="1:9">
      <c r="A227" s="1">
        <v>225</v>
      </c>
      <c r="B227" t="s">
        <v>1355</v>
      </c>
      <c r="C227" t="str">
        <f>LEFT(Table1[[#This Row],[EPI_DGN_ANTIC]],1)</f>
        <v>A</v>
      </c>
      <c r="D227" t="s">
        <v>1843</v>
      </c>
      <c r="E227" s="10">
        <v>0</v>
      </c>
      <c r="H227" s="1">
        <v>225</v>
      </c>
      <c r="I227" t="s">
        <v>1840</v>
      </c>
    </row>
    <row r="228" spans="1:9">
      <c r="A228" s="1">
        <v>226</v>
      </c>
      <c r="B228" t="s">
        <v>1355</v>
      </c>
      <c r="C228" t="str">
        <f>LEFT(Table1[[#This Row],[EPI_DGN_ANTIC]],1)</f>
        <v>A</v>
      </c>
      <c r="D228" t="s">
        <v>1844</v>
      </c>
      <c r="E228" s="10">
        <v>0</v>
      </c>
      <c r="H228" s="1">
        <v>226</v>
      </c>
      <c r="I228" t="s">
        <v>1845</v>
      </c>
    </row>
    <row r="229" spans="1:9">
      <c r="A229" s="1">
        <v>227</v>
      </c>
      <c r="B229" t="s">
        <v>1355</v>
      </c>
      <c r="C229" t="str">
        <f>LEFT(Table1[[#This Row],[EPI_DGN_ANTIC]],1)</f>
        <v>A</v>
      </c>
      <c r="D229" t="s">
        <v>1150</v>
      </c>
      <c r="E229" s="10">
        <v>0</v>
      </c>
      <c r="H229" s="1">
        <v>227</v>
      </c>
      <c r="I229" t="s">
        <v>1846</v>
      </c>
    </row>
    <row r="230" spans="1:9">
      <c r="A230" s="1">
        <v>228</v>
      </c>
      <c r="B230" t="s">
        <v>1355</v>
      </c>
      <c r="C230" t="str">
        <f>LEFT(Table1[[#This Row],[EPI_DGN_ANTIC]],1)</f>
        <v>A</v>
      </c>
      <c r="D230" t="s">
        <v>1839</v>
      </c>
      <c r="E230" s="10">
        <v>0</v>
      </c>
      <c r="H230" s="1">
        <v>228</v>
      </c>
      <c r="I230" t="s">
        <v>1847</v>
      </c>
    </row>
    <row r="231" spans="1:9">
      <c r="A231" s="1">
        <v>229</v>
      </c>
      <c r="B231" t="s">
        <v>1355</v>
      </c>
      <c r="C231" t="str">
        <f>LEFT(Table1[[#This Row],[EPI_DGN_ANTIC]],1)</f>
        <v>A</v>
      </c>
      <c r="D231" t="s">
        <v>1843</v>
      </c>
      <c r="E231" s="10">
        <v>0</v>
      </c>
      <c r="H231" s="1">
        <v>229</v>
      </c>
      <c r="I231" t="s">
        <v>1848</v>
      </c>
    </row>
    <row r="232" spans="1:9">
      <c r="A232" s="1">
        <v>230</v>
      </c>
      <c r="B232" t="s">
        <v>1355</v>
      </c>
      <c r="C232" t="str">
        <f>LEFT(Table1[[#This Row],[EPI_DGN_ANTIC]],1)</f>
        <v>A</v>
      </c>
      <c r="D232" t="s">
        <v>1842</v>
      </c>
      <c r="E232" s="10">
        <v>0</v>
      </c>
      <c r="H232" s="1">
        <v>230</v>
      </c>
      <c r="I232" t="s">
        <v>1846</v>
      </c>
    </row>
    <row r="233" spans="1:9">
      <c r="A233" s="1">
        <v>231</v>
      </c>
      <c r="B233" t="s">
        <v>1355</v>
      </c>
      <c r="C233" t="str">
        <f>LEFT(Table1[[#This Row],[EPI_DGN_ANTIC]],1)</f>
        <v>A</v>
      </c>
      <c r="D233" t="s">
        <v>1844</v>
      </c>
      <c r="E233" s="10">
        <v>0</v>
      </c>
      <c r="H233" s="1">
        <v>231</v>
      </c>
      <c r="I233" t="s">
        <v>1849</v>
      </c>
    </row>
    <row r="234" spans="1:9">
      <c r="A234" s="1">
        <v>232</v>
      </c>
      <c r="B234" t="s">
        <v>1355</v>
      </c>
      <c r="C234" t="str">
        <f>LEFT(Table1[[#This Row],[EPI_DGN_ANTIC]],1)</f>
        <v>A</v>
      </c>
      <c r="D234" t="s">
        <v>1841</v>
      </c>
      <c r="E234" s="10">
        <v>0</v>
      </c>
      <c r="H234" s="1">
        <v>232</v>
      </c>
      <c r="I234" t="s">
        <v>1850</v>
      </c>
    </row>
    <row r="235" spans="1:9">
      <c r="A235" s="1">
        <v>233</v>
      </c>
      <c r="B235" t="s">
        <v>1355</v>
      </c>
      <c r="C235" t="str">
        <f>LEFT(Table1[[#This Row],[EPI_DGN_ANTIC]],1)</f>
        <v>A</v>
      </c>
      <c r="D235" t="s">
        <v>1851</v>
      </c>
      <c r="E235" s="10">
        <v>0</v>
      </c>
      <c r="H235" s="1">
        <v>233</v>
      </c>
      <c r="I235" t="s">
        <v>1852</v>
      </c>
    </row>
    <row r="236" spans="1:9">
      <c r="A236" s="1">
        <v>234</v>
      </c>
      <c r="B236" t="s">
        <v>1355</v>
      </c>
      <c r="C236" t="str">
        <f>LEFT(Table1[[#This Row],[EPI_DGN_ANTIC]],1)</f>
        <v>E</v>
      </c>
      <c r="D236" t="s">
        <v>10</v>
      </c>
      <c r="E236" s="10">
        <v>0</v>
      </c>
      <c r="H236" s="1">
        <v>234</v>
      </c>
      <c r="I236" t="s">
        <v>1853</v>
      </c>
    </row>
    <row r="237" spans="1:9">
      <c r="A237" s="1">
        <v>235</v>
      </c>
      <c r="B237" t="s">
        <v>1355</v>
      </c>
      <c r="C237" t="str">
        <f>LEFT(Table1[[#This Row],[EPI_DGN_ANTIC]],1)</f>
        <v>J</v>
      </c>
      <c r="D237" t="s">
        <v>270</v>
      </c>
      <c r="E237" s="10">
        <v>0</v>
      </c>
      <c r="H237" s="1">
        <v>235</v>
      </c>
      <c r="I237" t="s">
        <v>1719</v>
      </c>
    </row>
    <row r="238" spans="1:9">
      <c r="A238" s="1">
        <v>236</v>
      </c>
      <c r="B238" t="str">
        <f>LEFT(Table1[[#This Row],[EPI_DGN_ANTIC]],1)</f>
        <v>N</v>
      </c>
      <c r="C238" t="str">
        <f>LEFT(Table1[[#This Row],[EPI_DGN_ANTIC]],2)</f>
        <v>N</v>
      </c>
      <c r="D238" t="s">
        <v>1550</v>
      </c>
      <c r="E238" s="10">
        <v>0</v>
      </c>
      <c r="H238" s="1">
        <v>236</v>
      </c>
      <c r="I238" t="s">
        <v>1704</v>
      </c>
    </row>
    <row r="239" spans="1:9">
      <c r="A239" s="1">
        <v>237</v>
      </c>
      <c r="B239" t="str">
        <f>LEFT(Table1[[#This Row],[EPI_DGN_ANTIC]],1)</f>
        <v>Q</v>
      </c>
      <c r="C239" t="str">
        <f>LEFT(Table1[[#This Row],[EPI_DGN_ANTIC]],2)</f>
        <v>Q</v>
      </c>
      <c r="D239" t="s">
        <v>1358</v>
      </c>
      <c r="E239" s="10">
        <v>0</v>
      </c>
      <c r="H239" s="1">
        <v>237</v>
      </c>
      <c r="I239" t="s">
        <v>1854</v>
      </c>
    </row>
    <row r="240" spans="1:9">
      <c r="A240" s="1">
        <v>238</v>
      </c>
      <c r="B240" t="s">
        <v>1355</v>
      </c>
      <c r="C240" t="str">
        <f>LEFT(Table1[[#This Row],[EPI_DGN_ANTIC]],1)</f>
        <v>Q</v>
      </c>
      <c r="D240" t="s">
        <v>1855</v>
      </c>
      <c r="E240" s="10">
        <v>0</v>
      </c>
      <c r="H240" s="1">
        <v>238</v>
      </c>
      <c r="I240" t="s">
        <v>1570</v>
      </c>
    </row>
    <row r="241" spans="1:9">
      <c r="A241" s="1">
        <v>239</v>
      </c>
      <c r="B241" t="s">
        <v>1355</v>
      </c>
      <c r="C241" t="str">
        <f>LEFT(Table1[[#This Row],[EPI_DGN_ANTIC]],1)</f>
        <v>Q</v>
      </c>
      <c r="D241" t="s">
        <v>1856</v>
      </c>
      <c r="E241" s="10">
        <v>0</v>
      </c>
      <c r="H241" s="1">
        <v>239</v>
      </c>
      <c r="I241" t="s">
        <v>1691</v>
      </c>
    </row>
    <row r="242" spans="1:9">
      <c r="A242" s="1">
        <v>240</v>
      </c>
      <c r="B242" t="str">
        <f>LEFT(Table1[[#This Row],[EPI_DGN_ANTIC]],1)</f>
        <v>Q</v>
      </c>
      <c r="C242" t="str">
        <f>LEFT(Table1[[#This Row],[EPI_DGN_ANTIC]],2)</f>
        <v>Qa</v>
      </c>
      <c r="D242" t="s">
        <v>1857</v>
      </c>
      <c r="E242" s="10">
        <v>0</v>
      </c>
      <c r="H242" s="1">
        <v>240</v>
      </c>
      <c r="I242" t="s">
        <v>1696</v>
      </c>
    </row>
    <row r="243" spans="1:9">
      <c r="A243" s="1">
        <v>241</v>
      </c>
      <c r="B243" t="str">
        <f>LEFT(Table1[[#This Row],[EPI_DGN_ANTIC]],1)</f>
        <v>Q</v>
      </c>
      <c r="C243" t="str">
        <f>LEFT(Table1[[#This Row],[EPI_DGN_ANTIC]],2)</f>
        <v>Qc</v>
      </c>
      <c r="D243" t="s">
        <v>1415</v>
      </c>
      <c r="E243" s="10">
        <v>0</v>
      </c>
      <c r="H243" s="1">
        <v>241</v>
      </c>
      <c r="I243" t="s">
        <v>1574</v>
      </c>
    </row>
    <row r="244" spans="1:9">
      <c r="A244" s="1">
        <v>242</v>
      </c>
      <c r="B244" t="s">
        <v>1355</v>
      </c>
      <c r="C244" t="str">
        <f>LEFT(Table1[[#This Row],[EPI_DGN_ANTIC]],1)</f>
        <v>Q</v>
      </c>
      <c r="D244" t="s">
        <v>1858</v>
      </c>
      <c r="E244" s="10">
        <v>0</v>
      </c>
      <c r="H244" s="1">
        <v>242</v>
      </c>
      <c r="I244" t="s">
        <v>1859</v>
      </c>
    </row>
    <row r="245" spans="1:9">
      <c r="A245" s="1">
        <v>243</v>
      </c>
      <c r="B245" t="s">
        <v>1355</v>
      </c>
      <c r="C245" t="str">
        <f>LEFT(Table1[[#This Row],[EPI_DGN_ANTIC]],1)</f>
        <v>Q</v>
      </c>
      <c r="D245" t="s">
        <v>1860</v>
      </c>
      <c r="E245" s="10">
        <v>0</v>
      </c>
      <c r="H245" s="1">
        <v>243</v>
      </c>
      <c r="I245" t="s">
        <v>151</v>
      </c>
    </row>
    <row r="246" spans="1:9">
      <c r="A246" s="1">
        <v>244</v>
      </c>
      <c r="B246" t="s">
        <v>1355</v>
      </c>
      <c r="C246" t="str">
        <f>LEFT(Table1[[#This Row],[EPI_DGN_ANTIC]],1)</f>
        <v>Q</v>
      </c>
      <c r="D246" t="s">
        <v>1861</v>
      </c>
      <c r="E246" s="10">
        <v>0</v>
      </c>
      <c r="H246" s="1">
        <v>244</v>
      </c>
      <c r="I246" t="s">
        <v>1522</v>
      </c>
    </row>
    <row r="247" spans="1:9">
      <c r="A247" s="1">
        <v>245</v>
      </c>
      <c r="B247" t="s">
        <v>1355</v>
      </c>
      <c r="C247" t="str">
        <f>LEFT(Table1[[#This Row],[EPI_DGN_ANTIC]],1)</f>
        <v>Q</v>
      </c>
      <c r="D247" t="s">
        <v>1862</v>
      </c>
      <c r="E247" s="10">
        <v>0</v>
      </c>
      <c r="H247" s="1">
        <v>245</v>
      </c>
      <c r="I247" t="s">
        <v>1863</v>
      </c>
    </row>
    <row r="248" spans="1:9">
      <c r="A248" s="1">
        <v>246</v>
      </c>
      <c r="B248" t="s">
        <v>1355</v>
      </c>
      <c r="C248" t="str">
        <f>LEFT(Table1[[#This Row],[EPI_DGN_ANTIC]],1)</f>
        <v>Q</v>
      </c>
      <c r="D248" t="s">
        <v>1864</v>
      </c>
      <c r="E248" s="10">
        <v>0</v>
      </c>
      <c r="H248" s="1">
        <v>246</v>
      </c>
      <c r="I248" t="s">
        <v>1863</v>
      </c>
    </row>
    <row r="249" spans="1:9">
      <c r="A249" s="1">
        <v>247</v>
      </c>
      <c r="B249" t="s">
        <v>1355</v>
      </c>
      <c r="C249" t="str">
        <f>LEFT(Table1[[#This Row],[EPI_DGN_ANTIC]],1)</f>
        <v>Q</v>
      </c>
      <c r="D249" t="s">
        <v>1865</v>
      </c>
      <c r="E249" s="10">
        <v>0</v>
      </c>
      <c r="H249" s="1">
        <v>247</v>
      </c>
      <c r="I249" t="s">
        <v>1852</v>
      </c>
    </row>
    <row r="250" spans="1:9">
      <c r="A250" s="1">
        <v>248</v>
      </c>
      <c r="B250" t="s">
        <v>1355</v>
      </c>
      <c r="C250" t="str">
        <f>LEFT(Table1[[#This Row],[EPI_DGN_ANTIC]],1)</f>
        <v>Q</v>
      </c>
      <c r="D250" t="s">
        <v>1866</v>
      </c>
      <c r="E250" s="10">
        <v>0</v>
      </c>
      <c r="H250" s="1">
        <v>248</v>
      </c>
      <c r="I250" t="s">
        <v>1853</v>
      </c>
    </row>
    <row r="251" spans="1:9">
      <c r="A251" s="1">
        <v>249</v>
      </c>
      <c r="B251" t="s">
        <v>1355</v>
      </c>
      <c r="C251" t="str">
        <f>LEFT(Table1[[#This Row],[EPI_DGN_ANTIC]],1)</f>
        <v>Q</v>
      </c>
      <c r="D251" t="s">
        <v>1867</v>
      </c>
      <c r="E251" s="10">
        <v>0</v>
      </c>
      <c r="H251" s="1">
        <v>249</v>
      </c>
      <c r="I251" t="s">
        <v>1868</v>
      </c>
    </row>
    <row r="252" spans="1:9">
      <c r="A252" s="1">
        <v>250</v>
      </c>
      <c r="B252" t="s">
        <v>1355</v>
      </c>
      <c r="C252" t="str">
        <f>LEFT(Table1[[#This Row],[EPI_DGN_ANTIC]],1)</f>
        <v>Q</v>
      </c>
      <c r="D252" t="s">
        <v>1869</v>
      </c>
      <c r="E252" s="10">
        <v>0</v>
      </c>
      <c r="H252" s="1">
        <v>250</v>
      </c>
      <c r="I252" t="s">
        <v>1870</v>
      </c>
    </row>
    <row r="253" spans="1:9">
      <c r="A253" s="1">
        <v>251</v>
      </c>
      <c r="B253" t="s">
        <v>1355</v>
      </c>
      <c r="C253" t="str">
        <f>LEFT(Table1[[#This Row],[EPI_DGN_ANTIC]],1)</f>
        <v>Q</v>
      </c>
      <c r="D253" t="s">
        <v>1871</v>
      </c>
      <c r="E253" s="10">
        <v>0</v>
      </c>
      <c r="H253" s="1">
        <v>251</v>
      </c>
      <c r="I253" t="s">
        <v>1872</v>
      </c>
    </row>
    <row r="254" spans="1:9">
      <c r="A254" s="1">
        <v>252</v>
      </c>
      <c r="B254" t="str">
        <f>LEFT(Table1[[#This Row],[EPI_DGN_ANTIC]],1)</f>
        <v>Q</v>
      </c>
      <c r="C254" t="str">
        <f>LEFT(Table1[[#This Row],[EPI_DGN_ANTIC]],3)</f>
        <v>Qv2</v>
      </c>
      <c r="D254" t="s">
        <v>1873</v>
      </c>
      <c r="E254" s="10">
        <v>0</v>
      </c>
      <c r="F254" t="s">
        <v>1393</v>
      </c>
      <c r="H254" s="1">
        <v>252</v>
      </c>
      <c r="I254" t="s">
        <v>1874</v>
      </c>
    </row>
    <row r="255" spans="1:9">
      <c r="A255" s="1">
        <v>253</v>
      </c>
      <c r="B255" t="s">
        <v>1355</v>
      </c>
      <c r="C255" t="str">
        <f>LEFT(Table1[[#This Row],[EPI_DGN_ANTIC]],1)</f>
        <v>J</v>
      </c>
      <c r="D255" t="s">
        <v>1875</v>
      </c>
      <c r="E255" s="10">
        <v>0</v>
      </c>
      <c r="H255" s="1">
        <v>253</v>
      </c>
      <c r="I255" t="s">
        <v>1876</v>
      </c>
    </row>
    <row r="256" spans="1:9">
      <c r="A256" s="1">
        <v>254</v>
      </c>
      <c r="B256" t="s">
        <v>1355</v>
      </c>
      <c r="C256" t="str">
        <f>LEFT(Table1[[#This Row],[EPI_DGN_ANTIC]],2)</f>
        <v>NB</v>
      </c>
      <c r="D256" t="s">
        <v>1877</v>
      </c>
      <c r="E256" s="10">
        <v>0</v>
      </c>
      <c r="H256" s="1">
        <v>254</v>
      </c>
      <c r="I256" t="s">
        <v>1878</v>
      </c>
    </row>
    <row r="257" spans="1:9">
      <c r="A257" s="1">
        <v>255</v>
      </c>
      <c r="B257" t="s">
        <v>1355</v>
      </c>
      <c r="C257" t="str">
        <f>LEFT(Table1[[#This Row],[EPI_DGN_ANTIC]],2)</f>
        <v>NB</v>
      </c>
      <c r="D257" t="s">
        <v>1879</v>
      </c>
      <c r="E257" s="10">
        <v>0</v>
      </c>
      <c r="H257" s="1">
        <v>255</v>
      </c>
      <c r="I257" t="s">
        <v>1880</v>
      </c>
    </row>
    <row r="258" spans="1:9">
      <c r="A258" s="1">
        <v>256</v>
      </c>
      <c r="B258" t="s">
        <v>1355</v>
      </c>
      <c r="C258" t="str">
        <f>LEFT(Table1[[#This Row],[EPI_DGN_ANTIC]],2)</f>
        <v>NP</v>
      </c>
      <c r="D258" t="s">
        <v>1881</v>
      </c>
      <c r="E258" s="10">
        <v>0</v>
      </c>
      <c r="H258" s="1">
        <v>256</v>
      </c>
      <c r="I258" t="s">
        <v>1882</v>
      </c>
    </row>
    <row r="259" spans="1:9">
      <c r="A259" s="1">
        <v>257</v>
      </c>
      <c r="B259" t="s">
        <v>1355</v>
      </c>
      <c r="C259" t="str">
        <f>LEFT(Table1[[#This Row],[EPI_DGN_ANTIC]],1)</f>
        <v>E</v>
      </c>
      <c r="D259" t="s">
        <v>1316</v>
      </c>
      <c r="E259" s="10">
        <v>0</v>
      </c>
      <c r="H259" s="1">
        <v>257</v>
      </c>
      <c r="I259" t="s">
        <v>990</v>
      </c>
    </row>
    <row r="260" spans="1:9">
      <c r="A260" s="1">
        <v>258</v>
      </c>
      <c r="B260" t="s">
        <v>1355</v>
      </c>
      <c r="C260" t="str">
        <f>LEFT(Table1[[#This Row],[EPI_DGN_ANTIC]],1)</f>
        <v>Q</v>
      </c>
      <c r="D260" t="s">
        <v>1883</v>
      </c>
      <c r="E260" s="10">
        <v>0</v>
      </c>
      <c r="H260" s="1">
        <v>258</v>
      </c>
      <c r="I260" t="s">
        <v>1487</v>
      </c>
    </row>
    <row r="261" spans="1:9">
      <c r="A261" s="1">
        <v>259</v>
      </c>
      <c r="B261" t="s">
        <v>1355</v>
      </c>
      <c r="C261" t="str">
        <f>LEFT(Table1[[#This Row],[EPI_DGN_ANTIC]],1)</f>
        <v>G</v>
      </c>
      <c r="D261" t="s">
        <v>292</v>
      </c>
      <c r="E261" s="10">
        <v>0</v>
      </c>
      <c r="H261" s="1">
        <v>259</v>
      </c>
      <c r="I261" t="s">
        <v>1487</v>
      </c>
    </row>
    <row r="262" spans="1:9">
      <c r="A262" s="1">
        <v>260</v>
      </c>
      <c r="B262" t="s">
        <v>1355</v>
      </c>
      <c r="C262" t="str">
        <f>LEFT(Table1[[#This Row],[EPI_DGN_ANTIC]],1)</f>
        <v>G</v>
      </c>
      <c r="D262" t="s">
        <v>1884</v>
      </c>
      <c r="E262" s="10">
        <v>0</v>
      </c>
      <c r="H262" s="1">
        <v>260</v>
      </c>
      <c r="I262" t="s">
        <v>1491</v>
      </c>
    </row>
    <row r="263" spans="1:9">
      <c r="A263" s="1">
        <v>261</v>
      </c>
      <c r="B263" t="s">
        <v>1355</v>
      </c>
      <c r="C263" t="str">
        <f>LEFT(Table1[[#This Row],[EPI_DGN_ANTIC]],1)</f>
        <v>G</v>
      </c>
      <c r="D263" t="s">
        <v>1885</v>
      </c>
      <c r="E263" s="10">
        <v>0</v>
      </c>
      <c r="H263" s="1">
        <v>261</v>
      </c>
      <c r="I263" t="s">
        <v>1585</v>
      </c>
    </row>
    <row r="264" spans="1:9">
      <c r="A264" s="1">
        <v>262</v>
      </c>
      <c r="B264" t="s">
        <v>1355</v>
      </c>
      <c r="C264" t="str">
        <f>LEFT(Table1[[#This Row],[EPI_DGN_ANTIC]],1)</f>
        <v>G</v>
      </c>
      <c r="D264" t="s">
        <v>1886</v>
      </c>
      <c r="E264" s="10">
        <v>0</v>
      </c>
      <c r="H264" s="1">
        <v>262</v>
      </c>
      <c r="I264" t="s">
        <v>1840</v>
      </c>
    </row>
    <row r="265" spans="1:9">
      <c r="A265" s="1">
        <v>263</v>
      </c>
      <c r="B265" t="s">
        <v>1355</v>
      </c>
      <c r="C265" t="str">
        <f>LEFT(Table1[[#This Row],[EPI_DGN_ANTIC]],1)</f>
        <v>Z</v>
      </c>
      <c r="D265" t="s">
        <v>867</v>
      </c>
      <c r="E265" s="10">
        <v>0</v>
      </c>
      <c r="H265" s="1">
        <v>263</v>
      </c>
      <c r="I265" t="s">
        <v>1491</v>
      </c>
    </row>
    <row r="266" spans="1:9">
      <c r="A266" s="1">
        <v>264</v>
      </c>
      <c r="B266" t="s">
        <v>1355</v>
      </c>
      <c r="C266" t="str">
        <f>LEFT(Table1[[#This Row],[EPI_DGN_ANTIC]],1)</f>
        <v>Z</v>
      </c>
      <c r="D266" t="s">
        <v>870</v>
      </c>
      <c r="E266" s="10">
        <v>0</v>
      </c>
      <c r="H266" s="1">
        <v>264</v>
      </c>
      <c r="I266" t="s">
        <v>1887</v>
      </c>
    </row>
    <row r="267" spans="1:9">
      <c r="A267" s="1">
        <v>265</v>
      </c>
      <c r="B267" t="s">
        <v>1355</v>
      </c>
      <c r="C267" t="str">
        <f>LEFT(Table1[[#This Row],[EPI_DGN_ANTIC]],1)</f>
        <v>Z</v>
      </c>
      <c r="D267" t="s">
        <v>867</v>
      </c>
      <c r="E267" s="10">
        <v>0</v>
      </c>
      <c r="H267" s="1">
        <v>265</v>
      </c>
      <c r="I267" t="s">
        <v>1888</v>
      </c>
    </row>
    <row r="268" spans="1:9">
      <c r="A268" s="1">
        <v>266</v>
      </c>
      <c r="B268" t="s">
        <v>1355</v>
      </c>
      <c r="C268" t="str">
        <f>LEFT(Table1[[#This Row],[EPI_DGN_ANTIC]],1)</f>
        <v>Z</v>
      </c>
      <c r="D268" t="s">
        <v>350</v>
      </c>
      <c r="E268" s="10">
        <v>0</v>
      </c>
      <c r="H268" s="1">
        <v>266</v>
      </c>
      <c r="I268" t="s">
        <v>1889</v>
      </c>
    </row>
    <row r="269" spans="1:9">
      <c r="A269" s="1">
        <v>267</v>
      </c>
      <c r="B269" t="s">
        <v>1355</v>
      </c>
      <c r="C269" t="str">
        <f>LEFT(Table1[[#This Row],[EPI_DGN_ANTIC]],1)</f>
        <v>K</v>
      </c>
      <c r="D269" t="s">
        <v>568</v>
      </c>
      <c r="E269" s="10">
        <v>0</v>
      </c>
      <c r="H269" s="1">
        <v>267</v>
      </c>
      <c r="I269" t="s">
        <v>1890</v>
      </c>
    </row>
    <row r="270" spans="1:9">
      <c r="A270" s="1">
        <v>268</v>
      </c>
      <c r="B270" t="s">
        <v>1355</v>
      </c>
      <c r="C270" t="str">
        <f>LEFT(Table1[[#This Row],[EPI_DGN_ANTIC]],1)</f>
        <v>K</v>
      </c>
      <c r="D270" t="s">
        <v>128</v>
      </c>
      <c r="E270" s="10">
        <v>0</v>
      </c>
      <c r="H270" s="1">
        <v>268</v>
      </c>
      <c r="I270" t="s">
        <v>1891</v>
      </c>
    </row>
    <row r="271" spans="1:9">
      <c r="A271" s="1">
        <v>269</v>
      </c>
      <c r="B271" t="s">
        <v>1355</v>
      </c>
      <c r="C271" t="str">
        <f>LEFT(Table1[[#This Row],[EPI_DGN_ANTIC]],2)</f>
        <v>Pr</v>
      </c>
      <c r="D271" t="s">
        <v>1700</v>
      </c>
      <c r="E271" s="10">
        <v>0</v>
      </c>
      <c r="H271" s="1">
        <v>269</v>
      </c>
      <c r="I271" t="s">
        <v>1892</v>
      </c>
    </row>
    <row r="272" spans="1:9">
      <c r="A272" s="1">
        <v>270</v>
      </c>
      <c r="B272" t="str">
        <f>LEFT(Table1[[#This Row],[EPI_DGN_ANTIC]],1)</f>
        <v>P</v>
      </c>
      <c r="C272" t="str">
        <f>LEFT(Table1[[#This Row],[EPI_DGN_ANTIC]],2)</f>
        <v>P</v>
      </c>
      <c r="D272" t="s">
        <v>1649</v>
      </c>
      <c r="E272" s="10">
        <v>0</v>
      </c>
      <c r="H272" s="1">
        <v>270</v>
      </c>
      <c r="I272" t="s">
        <v>1893</v>
      </c>
    </row>
    <row r="273" spans="1:9">
      <c r="A273" s="1">
        <v>271</v>
      </c>
      <c r="B273" t="s">
        <v>1355</v>
      </c>
      <c r="C273" t="str">
        <f>LEFT(Table1[[#This Row],[EPI_DGN_ANTIC]],1)</f>
        <v>E</v>
      </c>
      <c r="D273" t="s">
        <v>34</v>
      </c>
      <c r="E273" s="10">
        <v>0</v>
      </c>
      <c r="H273" s="1">
        <v>271</v>
      </c>
      <c r="I273" t="s">
        <v>1894</v>
      </c>
    </row>
    <row r="274" spans="1:9">
      <c r="A274" s="1">
        <v>272</v>
      </c>
      <c r="B274" t="s">
        <v>1355</v>
      </c>
      <c r="C274" t="str">
        <f>LEFT(Table1[[#This Row],[EPI_DGN_ANTIC]],1)</f>
        <v>G</v>
      </c>
      <c r="D274" t="s">
        <v>292</v>
      </c>
      <c r="E274" s="10">
        <v>0</v>
      </c>
      <c r="H274" s="1">
        <v>272</v>
      </c>
      <c r="I274" t="s">
        <v>1895</v>
      </c>
    </row>
    <row r="275" spans="1:9">
      <c r="A275" s="1">
        <v>273</v>
      </c>
      <c r="B275" t="s">
        <v>1355</v>
      </c>
      <c r="C275" t="str">
        <f>LEFT(Table1[[#This Row],[EPI_DGN_ANTIC]],1)</f>
        <v>G</v>
      </c>
      <c r="D275" t="s">
        <v>639</v>
      </c>
      <c r="E275" s="10">
        <v>0</v>
      </c>
      <c r="H275" s="1">
        <v>273</v>
      </c>
      <c r="I275" t="s">
        <v>1406</v>
      </c>
    </row>
    <row r="276" spans="1:9">
      <c r="A276" s="1">
        <v>274</v>
      </c>
      <c r="B276" t="str">
        <f>LEFT(Table1[[#This Row],[EPI_DGN_ANTIC]],1)</f>
        <v>N</v>
      </c>
      <c r="C276" t="str">
        <f>LEFT(Table1[[#This Row],[EPI_DGN_ANTIC]],2)</f>
        <v>N</v>
      </c>
      <c r="D276" t="s">
        <v>1550</v>
      </c>
      <c r="E276" s="10">
        <v>0</v>
      </c>
      <c r="H276" s="1">
        <v>274</v>
      </c>
      <c r="I276" t="s">
        <v>1896</v>
      </c>
    </row>
    <row r="277" spans="1:9">
      <c r="A277" s="1">
        <v>275</v>
      </c>
      <c r="B277" t="str">
        <f>LEFT(Table1[[#This Row],[EPI_DGN_ANTIC]],1)</f>
        <v>N</v>
      </c>
      <c r="C277" t="str">
        <f>LEFT(Table1[[#This Row],[EPI_DGN_ANTIC]],3)</f>
        <v>NMg</v>
      </c>
      <c r="D277" t="s">
        <v>1897</v>
      </c>
      <c r="E277" s="10">
        <v>0</v>
      </c>
      <c r="H277" s="1">
        <v>275</v>
      </c>
      <c r="I277" t="s">
        <v>1898</v>
      </c>
    </row>
    <row r="278" spans="1:9">
      <c r="A278" s="1">
        <v>276</v>
      </c>
      <c r="B278" t="str">
        <f>LEFT(Table1[[#This Row],[EPI_DGN_ANTIC]],1)</f>
        <v>N</v>
      </c>
      <c r="C278" t="str">
        <f>LEFT(Table1[[#This Row],[EPI_DGN_ANTIC]],3)</f>
        <v>NMg</v>
      </c>
      <c r="D278" t="s">
        <v>1899</v>
      </c>
      <c r="E278" s="10">
        <v>1</v>
      </c>
      <c r="F278" t="s">
        <v>1735</v>
      </c>
      <c r="H278" s="1">
        <v>276</v>
      </c>
      <c r="I278" t="s">
        <v>1900</v>
      </c>
    </row>
    <row r="279" spans="1:9">
      <c r="A279" s="1">
        <v>277</v>
      </c>
      <c r="B279" t="str">
        <f>LEFT(Table1[[#This Row],[EPI_DGN_ANTIC]],1)</f>
        <v>S</v>
      </c>
      <c r="C279" t="str">
        <f>LEFT(Table1[[#This Row],[EPI_DGN_ANTIC]],2)</f>
        <v>Sm</v>
      </c>
      <c r="D279" t="s">
        <v>1901</v>
      </c>
      <c r="E279" s="10">
        <v>0</v>
      </c>
      <c r="H279" s="1">
        <v>277</v>
      </c>
      <c r="I279" t="s">
        <v>1902</v>
      </c>
    </row>
    <row r="280" spans="1:9">
      <c r="A280" s="1">
        <v>278</v>
      </c>
      <c r="B280" t="str">
        <f>LEFT(Table1[[#This Row],[EPI_DGN_ANTIC]],1)</f>
        <v>S</v>
      </c>
      <c r="C280" t="str">
        <f>LEFT(Table1[[#This Row],[EPI_DGN_ANTIC]],2)</f>
        <v>Sm</v>
      </c>
      <c r="D280" t="s">
        <v>1903</v>
      </c>
      <c r="E280" s="10">
        <v>1</v>
      </c>
      <c r="F280" t="s">
        <v>1904</v>
      </c>
      <c r="H280" s="1">
        <v>278</v>
      </c>
      <c r="I280" t="s">
        <v>1905</v>
      </c>
    </row>
    <row r="281" spans="1:9">
      <c r="A281" s="1">
        <v>279</v>
      </c>
      <c r="B281" t="str">
        <f>LEFT(Table1[[#This Row],[EPI_DGN_ANTIC]],1)</f>
        <v>N</v>
      </c>
      <c r="C281" t="str">
        <f>LEFT(Table1[[#This Row],[EPI_DGN_ANTIC]],2)</f>
        <v>N</v>
      </c>
      <c r="D281" t="s">
        <v>1550</v>
      </c>
      <c r="E281" s="10">
        <v>0</v>
      </c>
      <c r="H281" s="1">
        <v>279</v>
      </c>
      <c r="I281" t="s">
        <v>1906</v>
      </c>
    </row>
    <row r="282" spans="1:9">
      <c r="A282" s="1">
        <v>280</v>
      </c>
      <c r="B282" t="str">
        <f>LEFT(Table1[[#This Row],[EPI_DGN_ANTIC]],1)</f>
        <v>O</v>
      </c>
      <c r="C282" t="str">
        <f>LEFT(Table1[[#This Row],[EPI_DGN_ANTIC]],2)</f>
        <v>O</v>
      </c>
      <c r="D282" t="s">
        <v>1632</v>
      </c>
      <c r="E282" s="10">
        <v>0</v>
      </c>
      <c r="H282" s="1">
        <v>280</v>
      </c>
      <c r="I282" t="s">
        <v>1907</v>
      </c>
    </row>
    <row r="283" spans="1:9">
      <c r="A283" s="1">
        <v>281</v>
      </c>
      <c r="B283" t="str">
        <f>LEFT(Table1[[#This Row],[EPI_DGN_ANTIC]],1)</f>
        <v>O</v>
      </c>
      <c r="C283" t="str">
        <f>LEFT(Table1[[#This Row],[EPI_DGN_ANTIC]],2)</f>
        <v>Or</v>
      </c>
      <c r="D283" t="s">
        <v>1722</v>
      </c>
      <c r="E283" s="10">
        <v>1</v>
      </c>
      <c r="F283" t="s">
        <v>1908</v>
      </c>
      <c r="H283" s="1">
        <v>281</v>
      </c>
      <c r="I283" t="s">
        <v>1095</v>
      </c>
    </row>
    <row r="284" spans="1:9">
      <c r="A284" s="1">
        <v>282</v>
      </c>
      <c r="B284" t="s">
        <v>1632</v>
      </c>
      <c r="C284" t="s">
        <v>1722</v>
      </c>
      <c r="D284" t="s">
        <v>1909</v>
      </c>
      <c r="E284" s="10">
        <v>1</v>
      </c>
      <c r="F284" t="s">
        <v>1908</v>
      </c>
      <c r="G284" s="30" t="s">
        <v>704</v>
      </c>
      <c r="H284" s="1">
        <v>282</v>
      </c>
      <c r="I284" t="s">
        <v>1910</v>
      </c>
    </row>
    <row r="285" spans="1:9">
      <c r="A285" s="1">
        <v>283</v>
      </c>
      <c r="B285" t="s">
        <v>1632</v>
      </c>
      <c r="C285" t="s">
        <v>1722</v>
      </c>
      <c r="D285" t="s">
        <v>1911</v>
      </c>
      <c r="E285" s="10">
        <v>1</v>
      </c>
      <c r="F285" t="s">
        <v>1908</v>
      </c>
      <c r="G285" s="30" t="s">
        <v>704</v>
      </c>
      <c r="H285" s="1">
        <v>283</v>
      </c>
      <c r="I285" t="s">
        <v>1912</v>
      </c>
    </row>
    <row r="286" spans="1:9">
      <c r="A286" s="1">
        <v>284</v>
      </c>
      <c r="B286" t="s">
        <v>1632</v>
      </c>
      <c r="C286" t="s">
        <v>1722</v>
      </c>
      <c r="D286" t="s">
        <v>1913</v>
      </c>
      <c r="E286" s="10">
        <v>1</v>
      </c>
      <c r="F286" t="s">
        <v>1908</v>
      </c>
      <c r="G286" s="30" t="s">
        <v>704</v>
      </c>
      <c r="H286" s="1">
        <v>284</v>
      </c>
      <c r="I286" t="s">
        <v>1912</v>
      </c>
    </row>
    <row r="287" spans="1:9">
      <c r="A287" s="1">
        <v>285</v>
      </c>
      <c r="B287" t="s">
        <v>1632</v>
      </c>
      <c r="C287" t="s">
        <v>1722</v>
      </c>
      <c r="D287" t="s">
        <v>1914</v>
      </c>
      <c r="E287" s="10">
        <v>1</v>
      </c>
      <c r="F287" t="s">
        <v>1915</v>
      </c>
      <c r="G287" s="22" t="s">
        <v>786</v>
      </c>
      <c r="H287" s="1">
        <v>285</v>
      </c>
      <c r="I287" t="s">
        <v>1916</v>
      </c>
    </row>
    <row r="288" spans="1:9">
      <c r="A288" s="1">
        <v>286</v>
      </c>
      <c r="B288" t="str">
        <f>LEFT(Table1[[#This Row],[EPI_DGN_ANTIC]],1)</f>
        <v>O</v>
      </c>
      <c r="C288" t="str">
        <f>LEFT(Table1[[#This Row],[EPI_DGN_ANTIC]],2)</f>
        <v>O</v>
      </c>
      <c r="D288" t="s">
        <v>1632</v>
      </c>
      <c r="E288" s="10">
        <v>0</v>
      </c>
      <c r="H288" s="1">
        <v>286</v>
      </c>
      <c r="I288" t="s">
        <v>1917</v>
      </c>
    </row>
    <row r="289" spans="1:9">
      <c r="A289" s="1">
        <v>287</v>
      </c>
      <c r="B289" t="str">
        <f>LEFT(Table1[[#This Row],[EPI_DGN_ANTIC]],1)</f>
        <v>P</v>
      </c>
      <c r="C289" t="str">
        <f>LEFT(Table1[[#This Row],[EPI_DGN_ANTIC]],2)</f>
        <v>P</v>
      </c>
      <c r="D289" t="s">
        <v>1649</v>
      </c>
      <c r="E289" s="10">
        <v>0</v>
      </c>
      <c r="H289" s="1">
        <v>287</v>
      </c>
      <c r="I289" t="s">
        <v>1918</v>
      </c>
    </row>
    <row r="290" spans="1:9">
      <c r="A290" s="1">
        <v>288</v>
      </c>
      <c r="B290" t="str">
        <f>LEFT(Table1[[#This Row],[EPI_DGN_ANTIC]],1)</f>
        <v>P</v>
      </c>
      <c r="C290" t="str">
        <f>LEFT(Table1[[#This Row],[EPI_DGN_ANTIC]],2)</f>
        <v>Pa</v>
      </c>
      <c r="D290" t="s">
        <v>1919</v>
      </c>
      <c r="E290" s="10">
        <v>0</v>
      </c>
      <c r="H290" s="1">
        <v>288</v>
      </c>
      <c r="I290" t="s">
        <v>1920</v>
      </c>
    </row>
    <row r="291" spans="1:9">
      <c r="A291" s="1">
        <v>289</v>
      </c>
      <c r="B291" t="str">
        <f>LEFT(Table1[[#This Row],[EPI_DGN_ANTIC]],1)</f>
        <v>P</v>
      </c>
      <c r="C291" t="str">
        <f>LEFT(Table1[[#This Row],[EPI_DGN_ANTIC]],2)</f>
        <v>Pr</v>
      </c>
      <c r="D291" t="s">
        <v>1703</v>
      </c>
      <c r="E291" s="10">
        <v>1</v>
      </c>
      <c r="F291" t="s">
        <v>1921</v>
      </c>
      <c r="H291" s="1">
        <v>289</v>
      </c>
      <c r="I291" t="s">
        <v>1922</v>
      </c>
    </row>
    <row r="292" spans="1:9">
      <c r="A292" s="1">
        <v>290</v>
      </c>
      <c r="B292" t="str">
        <f>LEFT(Table1[[#This Row],[EPI_DGN_ANTIC]],1)</f>
        <v>P</v>
      </c>
      <c r="C292" t="s">
        <v>1657</v>
      </c>
      <c r="D292" t="s">
        <v>1923</v>
      </c>
      <c r="E292" s="10">
        <v>1</v>
      </c>
      <c r="F292" t="s">
        <v>1924</v>
      </c>
      <c r="H292" s="1">
        <v>290</v>
      </c>
      <c r="I292" t="s">
        <v>1912</v>
      </c>
    </row>
    <row r="293" spans="1:9">
      <c r="A293" s="1">
        <v>291</v>
      </c>
      <c r="B293" t="str">
        <f>LEFT(Table1[[#This Row],[EPI_DGN_ANTIC]],1)</f>
        <v>Q</v>
      </c>
      <c r="C293" t="str">
        <f>LEFT(Table1[[#This Row],[EPI_DGN_ANTIC]],2)</f>
        <v>Q</v>
      </c>
      <c r="D293" t="s">
        <v>1358</v>
      </c>
      <c r="E293" s="10">
        <v>0</v>
      </c>
      <c r="H293" s="1">
        <v>291</v>
      </c>
      <c r="I293" t="s">
        <v>1918</v>
      </c>
    </row>
    <row r="294" spans="1:9">
      <c r="A294" s="1">
        <v>292</v>
      </c>
      <c r="B294" t="str">
        <f>LEFT(Table1[[#This Row],[EPI_DGN_ANTIC]],1)</f>
        <v>Q</v>
      </c>
      <c r="C294" t="str">
        <f>LEFT(Table1[[#This Row],[EPI_DGN_ANTIC]],3)</f>
        <v>Qv</v>
      </c>
      <c r="D294" t="s">
        <v>1379</v>
      </c>
      <c r="E294" s="10">
        <v>1</v>
      </c>
      <c r="F294" t="s">
        <v>1925</v>
      </c>
      <c r="H294" s="1">
        <v>292</v>
      </c>
      <c r="I294" t="s">
        <v>1912</v>
      </c>
    </row>
    <row r="295" spans="1:9">
      <c r="A295" s="1">
        <v>293</v>
      </c>
      <c r="B295" t="str">
        <f>LEFT(Table1[[#This Row],[EPI_DGN_ANTIC]],1)</f>
        <v>S</v>
      </c>
      <c r="C295" t="str">
        <f>LEFT(Table1[[#This Row],[EPI_DGN_ANTIC]],2)</f>
        <v>S</v>
      </c>
      <c r="D295" t="s">
        <v>1705</v>
      </c>
      <c r="E295" s="10">
        <v>0</v>
      </c>
      <c r="H295" s="1">
        <v>293</v>
      </c>
      <c r="I295" t="s">
        <v>1912</v>
      </c>
    </row>
    <row r="296" spans="1:9">
      <c r="A296" s="1">
        <v>294</v>
      </c>
      <c r="B296" t="str">
        <f>LEFT(Table1[[#This Row],[EPI_DGN_ANTIC]],1)</f>
        <v>S</v>
      </c>
      <c r="C296" t="str">
        <f>LEFT(Table1[[#This Row],[EPI_DGN_ANTIC]],2)</f>
        <v>SD</v>
      </c>
      <c r="D296" t="s">
        <v>1709</v>
      </c>
      <c r="E296" s="10">
        <v>1</v>
      </c>
      <c r="F296" t="s">
        <v>1926</v>
      </c>
      <c r="H296" s="1">
        <v>294</v>
      </c>
      <c r="I296" t="s">
        <v>1726</v>
      </c>
    </row>
    <row r="297" spans="1:9">
      <c r="A297" s="1">
        <v>295</v>
      </c>
      <c r="B297" t="str">
        <f>LEFT(Table1[[#This Row],[EPI_DGN_ANTIC]],1)</f>
        <v>S</v>
      </c>
      <c r="C297" t="str">
        <f>LEFT(Table1[[#This Row],[EPI_DGN_ANTIC]],2)</f>
        <v>SD</v>
      </c>
      <c r="D297" t="s">
        <v>1927</v>
      </c>
      <c r="E297" s="10">
        <v>1</v>
      </c>
      <c r="F297" t="s">
        <v>1801</v>
      </c>
      <c r="H297" s="1">
        <v>295</v>
      </c>
      <c r="I297" t="s">
        <v>1726</v>
      </c>
    </row>
    <row r="298" spans="1:9">
      <c r="A298" s="1">
        <v>296</v>
      </c>
      <c r="B298" t="str">
        <f>LEFT(Table1[[#This Row],[EPI_DGN_ANTIC]],1)</f>
        <v>S</v>
      </c>
      <c r="C298" t="str">
        <f>LEFT(Table1[[#This Row],[EPI_DGN_ANTIC]],2)</f>
        <v>S</v>
      </c>
      <c r="D298" t="s">
        <v>1705</v>
      </c>
      <c r="E298" s="10">
        <v>0</v>
      </c>
      <c r="H298" s="1">
        <v>296</v>
      </c>
      <c r="I298" t="s">
        <v>1928</v>
      </c>
    </row>
    <row r="299" spans="1:9">
      <c r="A299" s="1">
        <v>297</v>
      </c>
      <c r="B299" t="str">
        <f>LEFT(Table1[[#This Row],[EPI_DGN_ANTIC]],1)</f>
        <v>T</v>
      </c>
      <c r="C299" t="str">
        <f>LEFT(Table1[[#This Row],[EPI_DGN_ANTIC]],2)</f>
        <v>T</v>
      </c>
      <c r="D299" t="s">
        <v>1680</v>
      </c>
      <c r="E299" s="10">
        <v>0</v>
      </c>
      <c r="H299" s="1">
        <v>297</v>
      </c>
      <c r="I299" t="s">
        <v>1929</v>
      </c>
    </row>
    <row r="300" spans="1:9">
      <c r="A300" s="1">
        <v>298</v>
      </c>
      <c r="B300" t="str">
        <f>LEFT(Table1[[#This Row],[EPI_DGN_ANTIC]],1)</f>
        <v>O</v>
      </c>
      <c r="C300" t="str">
        <f>LEFT(Table1[[#This Row],[EPI_DGN_ANTIC]],2)</f>
        <v>Oc</v>
      </c>
      <c r="D300" t="s">
        <v>1930</v>
      </c>
      <c r="E300" s="10">
        <v>0</v>
      </c>
      <c r="H300" s="1">
        <v>298</v>
      </c>
      <c r="I300" t="s">
        <v>1928</v>
      </c>
    </row>
    <row r="301" spans="1:9">
      <c r="A301" s="1">
        <v>299</v>
      </c>
      <c r="B301" t="str">
        <f>LEFT(Table1[[#This Row],[EPI_DGN_ANTIC]],1)</f>
        <v>Q</v>
      </c>
      <c r="C301" t="str">
        <f>LEFT(Table1[[#This Row],[EPI_DGN_ANTIC]],3)</f>
        <v>Qta</v>
      </c>
      <c r="D301" t="s">
        <v>1492</v>
      </c>
      <c r="E301" s="10">
        <v>1</v>
      </c>
      <c r="F301" t="s">
        <v>1931</v>
      </c>
      <c r="H301" s="1">
        <v>299</v>
      </c>
      <c r="I301" t="s">
        <v>1928</v>
      </c>
    </row>
    <row r="302" spans="1:9">
      <c r="A302" s="1">
        <v>300</v>
      </c>
      <c r="B302" t="str">
        <f>LEFT(Table1[[#This Row],[EPI_DGN_ANTIC]],1)</f>
        <v>Q</v>
      </c>
      <c r="C302" t="str">
        <f>LEFT(Table1[[#This Row],[EPI_DGN_ANTIC]],3)</f>
        <v>Qtb</v>
      </c>
      <c r="D302" t="s">
        <v>1363</v>
      </c>
      <c r="E302" s="10">
        <v>1</v>
      </c>
      <c r="F302" t="s">
        <v>1932</v>
      </c>
      <c r="H302" s="1">
        <v>300</v>
      </c>
      <c r="I302" t="s">
        <v>1916</v>
      </c>
    </row>
    <row r="303" spans="1:9">
      <c r="A303" s="1">
        <v>301</v>
      </c>
      <c r="B303" t="str">
        <f>LEFT(Table1[[#This Row],[EPI_DGN_ANTIC]],1)</f>
        <v>Q</v>
      </c>
      <c r="C303" t="str">
        <f>LEFT(Table1[[#This Row],[EPI_DGN_ANTIC]],2)</f>
        <v>Q</v>
      </c>
      <c r="D303" t="s">
        <v>1358</v>
      </c>
      <c r="E303" s="10">
        <v>0</v>
      </c>
      <c r="H303" s="1">
        <v>301</v>
      </c>
      <c r="I303" t="s">
        <v>1912</v>
      </c>
    </row>
    <row r="304" spans="1:9">
      <c r="A304" s="1">
        <v>302</v>
      </c>
      <c r="B304" t="str">
        <f>LEFT(Table1[[#This Row],[EPI_DGN_ANTIC]],1)</f>
        <v>Q</v>
      </c>
      <c r="C304" t="str">
        <f>LEFT(Table1[[#This Row],[EPI_DGN_ANTIC]],3)</f>
        <v>Qtc</v>
      </c>
      <c r="D304" t="s">
        <v>1822</v>
      </c>
      <c r="E304" s="10">
        <v>1</v>
      </c>
      <c r="F304" t="s">
        <v>1933</v>
      </c>
      <c r="H304" s="1">
        <v>302</v>
      </c>
      <c r="I304" t="s">
        <v>1928</v>
      </c>
    </row>
    <row r="305" spans="1:9">
      <c r="A305" s="1">
        <v>303</v>
      </c>
      <c r="B305" t="str">
        <f>LEFT(Table1[[#This Row],[EPI_DGN_ANTIC]],1)</f>
        <v>Q</v>
      </c>
      <c r="C305" t="str">
        <f>LEFT(Table1[[#This Row],[EPI_DGN_ANTIC]],3)</f>
        <v>Qtf</v>
      </c>
      <c r="D305" t="s">
        <v>1934</v>
      </c>
      <c r="E305" s="10">
        <v>0</v>
      </c>
      <c r="H305" s="1">
        <v>303</v>
      </c>
      <c r="I305" t="s">
        <v>1917</v>
      </c>
    </row>
    <row r="306" spans="1:9">
      <c r="A306" s="1">
        <v>304</v>
      </c>
      <c r="B306" t="str">
        <f>LEFT(Table1[[#This Row],[EPI_DGN_ANTIC]],1)</f>
        <v>Q</v>
      </c>
      <c r="C306" t="str">
        <f>LEFT(Table1[[#This Row],[EPI_DGN_ANTIC]],3)</f>
        <v>Qtl</v>
      </c>
      <c r="D306" t="s">
        <v>1498</v>
      </c>
      <c r="E306" s="10">
        <v>1</v>
      </c>
      <c r="F306" t="s">
        <v>1935</v>
      </c>
      <c r="H306" s="1">
        <v>304</v>
      </c>
      <c r="I306" t="s">
        <v>1936</v>
      </c>
    </row>
    <row r="307" spans="1:9">
      <c r="A307" s="1">
        <v>305</v>
      </c>
      <c r="B307" t="str">
        <f>LEFT(Table1[[#This Row],[EPI_DGN_ANTIC]],1)</f>
        <v>Q</v>
      </c>
      <c r="C307" t="str">
        <f>LEFT(Table1[[#This Row],[EPI_DGN_ANTIC]],3)</f>
        <v>Qts</v>
      </c>
      <c r="D307" t="s">
        <v>1937</v>
      </c>
      <c r="E307" s="10">
        <v>0</v>
      </c>
      <c r="H307" s="1">
        <v>305</v>
      </c>
      <c r="I307" t="s">
        <v>1938</v>
      </c>
    </row>
    <row r="308" spans="1:9">
      <c r="A308" s="1">
        <v>306</v>
      </c>
      <c r="B308" t="str">
        <f>LEFT(Table1[[#This Row],[EPI_DGN_ANTIC]],1)</f>
        <v>Q</v>
      </c>
      <c r="C308" t="str">
        <f>LEFT(Table1[[#This Row],[EPI_DGN_ANTIC]],3)</f>
        <v>Qtv</v>
      </c>
      <c r="D308" t="s">
        <v>1518</v>
      </c>
      <c r="E308" s="10">
        <v>1</v>
      </c>
      <c r="F308" t="s">
        <v>1939</v>
      </c>
      <c r="H308" s="1">
        <v>306</v>
      </c>
      <c r="I308" t="s">
        <v>948</v>
      </c>
    </row>
    <row r="309" spans="1:9">
      <c r="A309" s="1">
        <v>307</v>
      </c>
      <c r="B309" t="str">
        <f>LEFT(Table1[[#This Row],[EPI_DGN_ANTIC]],1)</f>
        <v>Q</v>
      </c>
      <c r="C309" t="str">
        <f>LEFT(Table1[[#This Row],[EPI_DGN_ANTIC]],2)</f>
        <v>Q</v>
      </c>
      <c r="D309" t="s">
        <v>1358</v>
      </c>
      <c r="E309" s="10">
        <v>0</v>
      </c>
      <c r="H309" s="1">
        <v>307</v>
      </c>
      <c r="I309" t="s">
        <v>1717</v>
      </c>
    </row>
    <row r="310" spans="1:9">
      <c r="A310" s="1">
        <v>308</v>
      </c>
      <c r="B310" t="s">
        <v>1355</v>
      </c>
      <c r="C310" t="str">
        <f>LEFT(Table1[[#This Row],[EPI_DGN_ANTIC]],1)</f>
        <v>Q</v>
      </c>
      <c r="D310" t="s">
        <v>1940</v>
      </c>
      <c r="E310" s="10">
        <v>0</v>
      </c>
      <c r="H310" s="1">
        <v>308</v>
      </c>
      <c r="I310" t="s">
        <v>887</v>
      </c>
    </row>
    <row r="311" spans="1:9">
      <c r="A311" s="1">
        <v>309</v>
      </c>
      <c r="B311" t="s">
        <v>1705</v>
      </c>
      <c r="C311" t="s">
        <v>1709</v>
      </c>
      <c r="D311" t="s">
        <v>1941</v>
      </c>
      <c r="E311" s="10">
        <v>1</v>
      </c>
      <c r="F311" t="s">
        <v>1714</v>
      </c>
      <c r="G311" s="22" t="s">
        <v>786</v>
      </c>
      <c r="H311" s="1">
        <v>309</v>
      </c>
      <c r="I311" t="s">
        <v>1942</v>
      </c>
    </row>
    <row r="312" spans="1:9">
      <c r="A312" s="1">
        <v>310</v>
      </c>
      <c r="B312" t="s">
        <v>1705</v>
      </c>
      <c r="C312" t="s">
        <v>1707</v>
      </c>
      <c r="D312" t="s">
        <v>1943</v>
      </c>
      <c r="E312" s="10">
        <v>1</v>
      </c>
      <c r="F312" t="s">
        <v>1711</v>
      </c>
      <c r="G312" s="22" t="s">
        <v>786</v>
      </c>
      <c r="H312" s="1">
        <v>310</v>
      </c>
      <c r="I312" t="s">
        <v>1406</v>
      </c>
    </row>
    <row r="313" spans="1:9">
      <c r="A313" s="1">
        <v>311</v>
      </c>
      <c r="B313" t="s">
        <v>1355</v>
      </c>
      <c r="C313" t="str">
        <f>LEFT(Table1[[#This Row],[EPI_DGN_ANTIC]],1)</f>
        <v>Q</v>
      </c>
      <c r="D313" t="s">
        <v>1944</v>
      </c>
      <c r="E313" s="10">
        <v>0</v>
      </c>
      <c r="H313" s="1">
        <v>311</v>
      </c>
      <c r="I313" t="s">
        <v>1945</v>
      </c>
    </row>
    <row r="314" spans="1:9">
      <c r="A314" s="1">
        <v>312</v>
      </c>
      <c r="B314" t="str">
        <f>LEFT(Table1[[#This Row],[EPI_DGN_ANTIC]],1)</f>
        <v>Q</v>
      </c>
      <c r="C314" t="str">
        <f>LEFT(Table1[[#This Row],[EPI_DGN_ANTIC]],2)</f>
        <v>Qp</v>
      </c>
      <c r="D314" t="s">
        <v>1946</v>
      </c>
      <c r="E314" s="10">
        <v>1</v>
      </c>
      <c r="F314" t="s">
        <v>1947</v>
      </c>
      <c r="H314" s="1">
        <v>312</v>
      </c>
      <c r="I314" t="s">
        <v>1948</v>
      </c>
    </row>
    <row r="315" spans="1:9">
      <c r="A315" s="1">
        <v>313</v>
      </c>
      <c r="B315" t="str">
        <f>LEFT(Table1[[#This Row],[EPI_DGN_ANTIC]],1)</f>
        <v>Q</v>
      </c>
      <c r="C315" t="str">
        <f>LEFT(Table1[[#This Row],[EPI_DGN_ANTIC]],2)</f>
        <v>Qp</v>
      </c>
      <c r="D315" t="s">
        <v>1949</v>
      </c>
      <c r="E315" s="10">
        <v>1</v>
      </c>
      <c r="F315" t="s">
        <v>420</v>
      </c>
      <c r="H315" s="1">
        <v>313</v>
      </c>
      <c r="I315" t="s">
        <v>1945</v>
      </c>
    </row>
    <row r="316" spans="1:9">
      <c r="A316" s="1">
        <v>314</v>
      </c>
      <c r="B316" t="str">
        <f>LEFT(Table1[[#This Row],[EPI_DGN_ANTIC]],1)</f>
        <v>P</v>
      </c>
      <c r="C316" t="str">
        <f>LEFT(Table1[[#This Row],[EPI_DGN_ANTIC]],2)</f>
        <v>PI</v>
      </c>
      <c r="D316" t="s">
        <v>1950</v>
      </c>
      <c r="E316" s="10">
        <v>1</v>
      </c>
      <c r="F316" t="s">
        <v>1661</v>
      </c>
      <c r="H316" s="1">
        <v>314</v>
      </c>
      <c r="I316" t="s">
        <v>1948</v>
      </c>
    </row>
    <row r="317" spans="1:9">
      <c r="A317" s="1">
        <v>315</v>
      </c>
      <c r="B317" t="str">
        <f>LEFT(Table1[[#This Row],[EPI_DGN_ANTIC]],1)</f>
        <v>S</v>
      </c>
      <c r="C317" t="str">
        <f>LEFT(Table1[[#This Row],[EPI_DGN_ANTIC]],2)</f>
        <v>Sl</v>
      </c>
      <c r="D317" t="s">
        <v>1951</v>
      </c>
      <c r="E317" s="10">
        <v>0</v>
      </c>
      <c r="H317" s="1">
        <v>315</v>
      </c>
      <c r="I317" t="s">
        <v>1952</v>
      </c>
    </row>
    <row r="318" spans="1:9">
      <c r="A318" s="1">
        <v>316</v>
      </c>
      <c r="B318" t="str">
        <f>LEFT(Table1[[#This Row],[EPI_DGN_ANTIC]],1)</f>
        <v>S</v>
      </c>
      <c r="C318" t="str">
        <f>LEFT(Table1[[#This Row],[EPI_DGN_ANTIC]],2)</f>
        <v>Sl</v>
      </c>
      <c r="D318" t="s">
        <v>1953</v>
      </c>
      <c r="E318" s="10">
        <v>1</v>
      </c>
      <c r="F318" t="s">
        <v>1954</v>
      </c>
      <c r="H318" s="1">
        <v>316</v>
      </c>
      <c r="I318" t="s">
        <v>1952</v>
      </c>
    </row>
    <row r="319" spans="1:9">
      <c r="A319" s="1">
        <v>317</v>
      </c>
      <c r="B319" t="s">
        <v>1705</v>
      </c>
      <c r="C319" t="s">
        <v>1951</v>
      </c>
      <c r="D319" t="s">
        <v>1955</v>
      </c>
      <c r="E319" s="10">
        <v>1</v>
      </c>
      <c r="F319" t="s">
        <v>1954</v>
      </c>
      <c r="G319" s="22" t="s">
        <v>786</v>
      </c>
      <c r="H319" s="1">
        <v>317</v>
      </c>
      <c r="I319" t="s">
        <v>1775</v>
      </c>
    </row>
    <row r="320" spans="1:9">
      <c r="A320" s="1">
        <v>318</v>
      </c>
      <c r="B320" t="s">
        <v>1705</v>
      </c>
      <c r="C320" t="s">
        <v>1705</v>
      </c>
      <c r="D320" t="s">
        <v>1956</v>
      </c>
      <c r="E320" s="10">
        <v>1</v>
      </c>
      <c r="F320" t="s">
        <v>1957</v>
      </c>
      <c r="G320" s="22" t="s">
        <v>786</v>
      </c>
      <c r="H320" s="1">
        <v>318</v>
      </c>
      <c r="I320" t="s">
        <v>125</v>
      </c>
    </row>
    <row r="321" spans="1:9">
      <c r="A321" s="1">
        <v>319</v>
      </c>
      <c r="B321" t="s">
        <v>1705</v>
      </c>
      <c r="C321" t="s">
        <v>1709</v>
      </c>
      <c r="D321" t="s">
        <v>1958</v>
      </c>
      <c r="E321" s="10">
        <v>1</v>
      </c>
      <c r="F321" t="s">
        <v>1926</v>
      </c>
      <c r="G321" s="22" t="s">
        <v>786</v>
      </c>
      <c r="H321" s="1">
        <v>319</v>
      </c>
      <c r="I321" t="s">
        <v>986</v>
      </c>
    </row>
    <row r="322" spans="1:9">
      <c r="A322" s="1">
        <v>320</v>
      </c>
      <c r="B322" t="str">
        <f>LEFT(Table1[[#This Row],[EPI_DGN_ANTIC]],1)</f>
        <v>P</v>
      </c>
      <c r="C322" t="str">
        <f>LEFT(Table1[[#This Row],[EPI_DGN_ANTIC]],2)</f>
        <v>Pe</v>
      </c>
      <c r="D322" t="s">
        <v>1959</v>
      </c>
      <c r="E322" s="10">
        <v>0</v>
      </c>
      <c r="H322" s="1">
        <v>320</v>
      </c>
      <c r="I322" t="s">
        <v>1702</v>
      </c>
    </row>
    <row r="323" spans="1:9">
      <c r="A323" s="1">
        <v>321</v>
      </c>
      <c r="B323" t="str">
        <f>LEFT(Table1[[#This Row],[EPI_DGN_ANTIC]],1)</f>
        <v>P</v>
      </c>
      <c r="C323" t="str">
        <f>LEFT(Table1[[#This Row],[EPI_DGN_ANTIC]],2)</f>
        <v>Pe</v>
      </c>
      <c r="D323" t="s">
        <v>1960</v>
      </c>
      <c r="E323" s="10">
        <v>1</v>
      </c>
      <c r="F323" t="s">
        <v>1961</v>
      </c>
      <c r="H323" s="1">
        <v>321</v>
      </c>
      <c r="I323" t="s">
        <v>1708</v>
      </c>
    </row>
    <row r="324" spans="1:9">
      <c r="A324" s="1">
        <v>322</v>
      </c>
      <c r="B324" t="str">
        <f>LEFT(Table1[[#This Row],[EPI_DGN_ANTIC]],1)</f>
        <v>P</v>
      </c>
      <c r="C324" t="str">
        <f>LEFT(Table1[[#This Row],[EPI_DGN_ANTIC]],2)</f>
        <v>Pe</v>
      </c>
      <c r="D324" t="s">
        <v>1962</v>
      </c>
      <c r="E324" s="10">
        <v>1</v>
      </c>
      <c r="F324" t="s">
        <v>1963</v>
      </c>
      <c r="H324" s="1">
        <v>322</v>
      </c>
      <c r="I324" t="s">
        <v>494</v>
      </c>
    </row>
    <row r="325" spans="1:9">
      <c r="A325" s="1">
        <v>323</v>
      </c>
      <c r="B325" t="str">
        <f>LEFT(Table1[[#This Row],[EPI_DGN_ANTIC]],1)</f>
        <v>P</v>
      </c>
      <c r="C325" t="str">
        <f>LEFT(Table1[[#This Row],[EPI_DGN_ANTIC]],2)</f>
        <v>Pe</v>
      </c>
      <c r="D325" t="s">
        <v>1964</v>
      </c>
      <c r="E325" s="10">
        <v>1</v>
      </c>
      <c r="F325" t="s">
        <v>1965</v>
      </c>
      <c r="H325" s="1">
        <v>323</v>
      </c>
      <c r="I325" t="s">
        <v>1966</v>
      </c>
    </row>
    <row r="326" spans="1:9">
      <c r="A326" s="1">
        <v>324</v>
      </c>
      <c r="B326" t="str">
        <f>LEFT(Table1[[#This Row],[EPI_DGN_ANTIC]],1)</f>
        <v>Q</v>
      </c>
      <c r="C326" t="str">
        <f>LEFT(Table1[[#This Row],[EPI_DGN_ANTIC]],2)</f>
        <v>Qe</v>
      </c>
      <c r="D326" t="s">
        <v>1967</v>
      </c>
      <c r="E326" s="10">
        <v>1</v>
      </c>
      <c r="F326" t="s">
        <v>1968</v>
      </c>
      <c r="H326" s="1">
        <v>324</v>
      </c>
      <c r="I326" t="s">
        <v>1969</v>
      </c>
    </row>
    <row r="327" spans="1:9">
      <c r="A327" s="1">
        <v>325</v>
      </c>
      <c r="B327" t="s">
        <v>1355</v>
      </c>
      <c r="C327" t="str">
        <f>LEFT(Table1[[#This Row],[EPI_DGN_ANTIC]],1)</f>
        <v>Q</v>
      </c>
      <c r="D327" t="s">
        <v>1970</v>
      </c>
      <c r="E327" s="10">
        <v>0</v>
      </c>
      <c r="H327" s="1">
        <v>325</v>
      </c>
      <c r="I327" t="s">
        <v>1966</v>
      </c>
    </row>
    <row r="328" spans="1:9">
      <c r="A328" s="1">
        <v>326</v>
      </c>
      <c r="B328" t="s">
        <v>1355</v>
      </c>
      <c r="C328" t="str">
        <f>LEFT(Table1[[#This Row],[EPI_DGN_ANTIC]],1)</f>
        <v>Q</v>
      </c>
      <c r="D328" t="s">
        <v>1971</v>
      </c>
      <c r="E328" s="10">
        <v>0</v>
      </c>
      <c r="H328" s="1">
        <v>326</v>
      </c>
      <c r="I328" t="s">
        <v>1818</v>
      </c>
    </row>
    <row r="329" spans="1:9">
      <c r="A329" s="1">
        <v>327</v>
      </c>
      <c r="B329" t="str">
        <f>LEFT(Table1[[#This Row],[EPI_DGN_ANTIC]],1)</f>
        <v>T</v>
      </c>
      <c r="C329" t="str">
        <f>LEFT(Table1[[#This Row],[EPI_DGN_ANTIC]],2)</f>
        <v>Tk</v>
      </c>
      <c r="D329" t="s">
        <v>1972</v>
      </c>
      <c r="E329" s="10">
        <v>1</v>
      </c>
      <c r="F329" t="s">
        <v>1973</v>
      </c>
      <c r="H329" s="1">
        <v>327</v>
      </c>
      <c r="I329" t="s">
        <v>1974</v>
      </c>
    </row>
    <row r="330" spans="1:9">
      <c r="A330" s="1">
        <v>328</v>
      </c>
      <c r="B330" t="str">
        <f>LEFT(Table1[[#This Row],[EPI_DGN_ANTIC]],1)</f>
        <v>P</v>
      </c>
      <c r="C330" t="str">
        <f>LEFT(Table1[[#This Row],[EPI_DGN_ANTIC]],2)</f>
        <v>Pa</v>
      </c>
      <c r="D330" t="s">
        <v>1975</v>
      </c>
      <c r="E330" s="10">
        <v>1</v>
      </c>
      <c r="F330" t="s">
        <v>1976</v>
      </c>
      <c r="H330" s="1">
        <v>328</v>
      </c>
      <c r="I330" t="s">
        <v>1977</v>
      </c>
    </row>
    <row r="331" spans="1:9">
      <c r="A331" s="1">
        <v>329</v>
      </c>
      <c r="B331" t="s">
        <v>1632</v>
      </c>
      <c r="C331" t="s">
        <v>1727</v>
      </c>
      <c r="D331" t="s">
        <v>1978</v>
      </c>
      <c r="E331" s="10">
        <v>1</v>
      </c>
      <c r="F331" t="s">
        <v>1784</v>
      </c>
      <c r="G331" s="30" t="s">
        <v>704</v>
      </c>
      <c r="H331" s="1">
        <v>329</v>
      </c>
      <c r="I331" t="s">
        <v>1570</v>
      </c>
    </row>
    <row r="332" spans="1:9">
      <c r="A332" s="1">
        <v>330</v>
      </c>
      <c r="B332" t="s">
        <v>1632</v>
      </c>
      <c r="C332" t="s">
        <v>1727</v>
      </c>
      <c r="D332" t="s">
        <v>1979</v>
      </c>
      <c r="E332" s="10">
        <v>1</v>
      </c>
      <c r="F332" t="s">
        <v>1784</v>
      </c>
      <c r="G332" s="30" t="s">
        <v>704</v>
      </c>
      <c r="H332" s="1">
        <v>330</v>
      </c>
      <c r="I332" t="s">
        <v>1980</v>
      </c>
    </row>
    <row r="333" spans="1:9">
      <c r="A333" s="1">
        <v>331</v>
      </c>
      <c r="B333" t="s">
        <v>1632</v>
      </c>
      <c r="C333" t="s">
        <v>1727</v>
      </c>
      <c r="D333" t="s">
        <v>1981</v>
      </c>
      <c r="E333" s="10">
        <v>1</v>
      </c>
      <c r="F333" t="s">
        <v>1730</v>
      </c>
      <c r="G333" s="30" t="s">
        <v>704</v>
      </c>
      <c r="H333" s="1">
        <v>331</v>
      </c>
      <c r="I333" t="s">
        <v>1982</v>
      </c>
    </row>
    <row r="334" spans="1:9">
      <c r="A334" s="1">
        <v>332</v>
      </c>
      <c r="B334" t="str">
        <f>LEFT(Table1[[#This Row],[EPI_DGN_ANTIC]],1)</f>
        <v>Q</v>
      </c>
      <c r="C334" t="str">
        <f>LEFT(Table1[[#This Row],[EPI_DGN_ANTIC]],3)</f>
        <v>Qv2</v>
      </c>
      <c r="D334" t="s">
        <v>1983</v>
      </c>
      <c r="E334" s="10">
        <v>1</v>
      </c>
      <c r="F334" t="s">
        <v>1426</v>
      </c>
      <c r="H334" s="1">
        <v>332</v>
      </c>
      <c r="I334" t="s">
        <v>1984</v>
      </c>
    </row>
    <row r="335" spans="1:9">
      <c r="A335" s="1">
        <v>333</v>
      </c>
      <c r="B335" t="s">
        <v>1632</v>
      </c>
      <c r="C335" t="s">
        <v>1722</v>
      </c>
      <c r="D335" t="s">
        <v>1985</v>
      </c>
      <c r="E335" s="10">
        <v>1</v>
      </c>
      <c r="F335" t="s">
        <v>1908</v>
      </c>
      <c r="G335" s="30" t="s">
        <v>704</v>
      </c>
      <c r="H335" s="1">
        <v>333</v>
      </c>
      <c r="I335" t="s">
        <v>1574</v>
      </c>
    </row>
    <row r="336" spans="1:9">
      <c r="A336" s="1">
        <v>334</v>
      </c>
      <c r="B336" t="s">
        <v>1632</v>
      </c>
      <c r="C336" t="s">
        <v>1727</v>
      </c>
      <c r="D336" t="s">
        <v>1986</v>
      </c>
      <c r="E336" s="10">
        <v>1</v>
      </c>
      <c r="F336" t="s">
        <v>1730</v>
      </c>
      <c r="G336" s="22" t="s">
        <v>897</v>
      </c>
      <c r="H336" s="1">
        <v>334</v>
      </c>
      <c r="I336" t="s">
        <v>1987</v>
      </c>
    </row>
    <row r="337" spans="1:9">
      <c r="A337" s="1">
        <v>335</v>
      </c>
      <c r="B337" t="str">
        <f>LEFT(Table1[[#This Row],[EPI_DGN_ANTIC]],1)</f>
        <v>O</v>
      </c>
      <c r="C337" t="str">
        <f>LEFT(Table1[[#This Row],[EPI_DGN_ANTIC]],2)</f>
        <v>OR</v>
      </c>
      <c r="D337" t="s">
        <v>1988</v>
      </c>
      <c r="E337" s="10">
        <v>0</v>
      </c>
      <c r="H337" s="1">
        <v>335</v>
      </c>
      <c r="I337" t="s">
        <v>1989</v>
      </c>
    </row>
    <row r="338" spans="1:9">
      <c r="A338" s="1">
        <v>336</v>
      </c>
      <c r="B338" t="str">
        <f>LEFT(Table1[[#This Row],[EPI_DGN_ANTIC]],1)</f>
        <v>N</v>
      </c>
      <c r="C338" t="str">
        <f>LEFT(Table1[[#This Row],[EPI_DGN_ANTIC]],3)</f>
        <v>NMa</v>
      </c>
      <c r="D338" t="s">
        <v>1990</v>
      </c>
      <c r="E338" s="10">
        <v>1</v>
      </c>
      <c r="F338" t="s">
        <v>1991</v>
      </c>
      <c r="H338" s="1">
        <v>336</v>
      </c>
      <c r="I338" t="s">
        <v>1992</v>
      </c>
    </row>
    <row r="339" spans="1:9">
      <c r="A339" s="1">
        <v>337</v>
      </c>
      <c r="B339" t="str">
        <f>LEFT(Table1[[#This Row],[EPI_DGN_ANTIC]],1)</f>
        <v>O</v>
      </c>
      <c r="C339" t="str">
        <f>LEFT(Table1[[#This Row],[EPI_DGN_ANTIC]],2)</f>
        <v>Ol</v>
      </c>
      <c r="D339" t="s">
        <v>1993</v>
      </c>
      <c r="E339" s="10">
        <v>0</v>
      </c>
      <c r="H339" s="1">
        <v>337</v>
      </c>
      <c r="I339" t="s">
        <v>1994</v>
      </c>
    </row>
    <row r="340" spans="1:9">
      <c r="A340" s="1">
        <v>338</v>
      </c>
      <c r="B340" t="str">
        <f>LEFT(Table1[[#This Row],[EPI_DGN_ANTIC]],1)</f>
        <v>O</v>
      </c>
      <c r="C340" t="str">
        <f>LEFT(Table1[[#This Row],[EPI_DGN_ANTIC]],2)</f>
        <v>Ol</v>
      </c>
      <c r="D340" t="s">
        <v>1995</v>
      </c>
      <c r="E340" s="10">
        <v>1</v>
      </c>
      <c r="F340" t="s">
        <v>1996</v>
      </c>
      <c r="H340" s="1">
        <v>338</v>
      </c>
      <c r="I340" t="s">
        <v>1997</v>
      </c>
    </row>
    <row r="341" spans="1:9">
      <c r="A341" s="1">
        <v>339</v>
      </c>
      <c r="B341" t="str">
        <f>LEFT(Table1[[#This Row],[EPI_DGN_ANTIC]],1)</f>
        <v>O</v>
      </c>
      <c r="C341" t="str">
        <f>LEFT(Table1[[#This Row],[EPI_DGN_ANTIC]],2)</f>
        <v>O</v>
      </c>
      <c r="D341" t="s">
        <v>1632</v>
      </c>
      <c r="E341" s="10">
        <v>0</v>
      </c>
      <c r="H341" s="1">
        <v>339</v>
      </c>
      <c r="I341" t="s">
        <v>1998</v>
      </c>
    </row>
    <row r="342" spans="1:9">
      <c r="A342" s="1">
        <v>340</v>
      </c>
      <c r="B342" t="str">
        <f>LEFT(Table1[[#This Row],[EPI_DGN_ANTIC]],1)</f>
        <v>O</v>
      </c>
      <c r="C342" t="str">
        <f>LEFT(Table1[[#This Row],[EPI_DGN_ANTIC]],2)</f>
        <v>Oa</v>
      </c>
      <c r="D342" t="s">
        <v>1999</v>
      </c>
      <c r="E342" s="10">
        <v>0</v>
      </c>
      <c r="H342" s="1">
        <v>340</v>
      </c>
      <c r="I342" t="s">
        <v>2000</v>
      </c>
    </row>
    <row r="343" spans="1:9">
      <c r="A343" s="1">
        <v>341</v>
      </c>
      <c r="B343" t="str">
        <f>LEFT(Table1[[#This Row],[EPI_DGN_ANTIC]],1)</f>
        <v>O</v>
      </c>
      <c r="C343" t="str">
        <f>LEFT(Table1[[#This Row],[EPI_DGN_ANTIC]],2)</f>
        <v>Ob</v>
      </c>
      <c r="D343" t="s">
        <v>2001</v>
      </c>
      <c r="E343" s="10">
        <v>0</v>
      </c>
      <c r="H343" s="1">
        <v>341</v>
      </c>
      <c r="I343" t="s">
        <v>1606</v>
      </c>
    </row>
    <row r="344" spans="1:9">
      <c r="A344" s="1">
        <v>342</v>
      </c>
      <c r="B344" t="str">
        <f>LEFT(Table1[[#This Row],[EPI_DGN_ANTIC]],1)</f>
        <v>O</v>
      </c>
      <c r="C344" t="str">
        <f>LEFT(Table1[[#This Row],[EPI_DGN_ANTIC]],2)</f>
        <v>OC</v>
      </c>
      <c r="D344" t="s">
        <v>2002</v>
      </c>
      <c r="E344" s="10">
        <v>0</v>
      </c>
      <c r="H344" s="1">
        <v>342</v>
      </c>
      <c r="I344" t="s">
        <v>2003</v>
      </c>
    </row>
    <row r="345" spans="1:9">
      <c r="A345" s="1">
        <v>343</v>
      </c>
      <c r="B345" t="str">
        <f>LEFT(Table1[[#This Row],[EPI_DGN_ANTIC]],1)</f>
        <v>O</v>
      </c>
      <c r="C345" t="str">
        <f>LEFT(Table1[[#This Row],[EPI_DGN_ANTIC]],2)</f>
        <v>Oc</v>
      </c>
      <c r="D345" t="s">
        <v>1930</v>
      </c>
      <c r="E345" s="10">
        <v>1</v>
      </c>
      <c r="F345" t="s">
        <v>2004</v>
      </c>
      <c r="H345" s="1">
        <v>343</v>
      </c>
      <c r="I345" t="s">
        <v>1849</v>
      </c>
    </row>
    <row r="346" spans="1:9">
      <c r="A346" s="1">
        <v>344</v>
      </c>
      <c r="B346" t="str">
        <f>LEFT(Table1[[#This Row],[EPI_DGN_ANTIC]],1)</f>
        <v>O</v>
      </c>
      <c r="C346" t="str">
        <f>LEFT(Table1[[#This Row],[EPI_DGN_ANTIC]],2)</f>
        <v>OR</v>
      </c>
      <c r="D346" t="s">
        <v>2005</v>
      </c>
      <c r="E346" s="10">
        <v>1</v>
      </c>
      <c r="F346" t="s">
        <v>2006</v>
      </c>
      <c r="H346" s="1">
        <v>344</v>
      </c>
      <c r="I346" t="s">
        <v>2007</v>
      </c>
    </row>
    <row r="347" spans="1:9">
      <c r="A347" s="1">
        <v>345</v>
      </c>
      <c r="B347" t="str">
        <f>LEFT(Table1[[#This Row],[EPI_DGN_ANTIC]],1)</f>
        <v>O</v>
      </c>
      <c r="C347" t="str">
        <f>LEFT(Table1[[#This Row],[EPI_DGN_ANTIC]],3)</f>
        <v>ORg</v>
      </c>
      <c r="D347" t="s">
        <v>2008</v>
      </c>
      <c r="E347" s="10">
        <v>1</v>
      </c>
      <c r="F347" t="s">
        <v>2009</v>
      </c>
      <c r="H347" s="1">
        <v>345</v>
      </c>
      <c r="I347" t="s">
        <v>2010</v>
      </c>
    </row>
    <row r="348" spans="1:9">
      <c r="A348" s="1">
        <v>346</v>
      </c>
      <c r="B348" t="str">
        <f>LEFT(Table1[[#This Row],[EPI_DGN_ANTIC]],1)</f>
        <v>O</v>
      </c>
      <c r="C348" t="str">
        <f>LEFT(Table1[[#This Row],[EPI_DGN_ANTIC]],2)</f>
        <v>OM</v>
      </c>
      <c r="D348" t="s">
        <v>1635</v>
      </c>
      <c r="E348" s="10">
        <v>1</v>
      </c>
      <c r="F348" t="s">
        <v>2011</v>
      </c>
      <c r="H348" s="1">
        <v>346</v>
      </c>
      <c r="I348" t="s">
        <v>2012</v>
      </c>
    </row>
    <row r="349" spans="1:9">
      <c r="A349" s="1">
        <v>347</v>
      </c>
      <c r="B349" t="str">
        <f>LEFT(Table1[[#This Row],[EPI_DGN_ANTIC]],1)</f>
        <v>O</v>
      </c>
      <c r="C349" t="str">
        <f>LEFT(Table1[[#This Row],[EPI_DGN_ANTIC]],3)</f>
        <v>Orc</v>
      </c>
      <c r="D349" t="s">
        <v>2013</v>
      </c>
      <c r="E349" s="10">
        <v>0</v>
      </c>
      <c r="H349" s="1">
        <v>347</v>
      </c>
      <c r="I349" t="s">
        <v>2014</v>
      </c>
    </row>
    <row r="350" spans="1:9">
      <c r="A350" s="1">
        <v>348</v>
      </c>
      <c r="B350" t="str">
        <f>LEFT(Table1[[#This Row],[EPI_DGN_ANTIC]],1)</f>
        <v>P</v>
      </c>
      <c r="C350" t="str">
        <f>LEFT(Table1[[#This Row],[EPI_DGN_ANTIC]],2)</f>
        <v>P</v>
      </c>
      <c r="D350" t="s">
        <v>1649</v>
      </c>
      <c r="E350" s="10">
        <v>0</v>
      </c>
      <c r="H350" s="1">
        <v>348</v>
      </c>
      <c r="I350" t="s">
        <v>2015</v>
      </c>
    </row>
    <row r="351" spans="1:9">
      <c r="A351" s="1">
        <v>349</v>
      </c>
      <c r="B351" t="str">
        <f>LEFT(Table1[[#This Row],[EPI_DGN_ANTIC]],1)</f>
        <v>P</v>
      </c>
      <c r="C351" t="str">
        <f>LEFT(Table1[[#This Row],[EPI_DGN_ANTIC]],2)</f>
        <v>Pa</v>
      </c>
      <c r="D351" t="s">
        <v>1919</v>
      </c>
      <c r="E351" s="10">
        <v>1</v>
      </c>
      <c r="F351" t="s">
        <v>2016</v>
      </c>
      <c r="H351" s="1">
        <v>349</v>
      </c>
      <c r="I351" t="s">
        <v>2017</v>
      </c>
    </row>
    <row r="352" spans="1:9">
      <c r="A352" s="1">
        <v>350</v>
      </c>
      <c r="B352" t="str">
        <f>LEFT(Table1[[#This Row],[EPI_DGN_ANTIC]],1)</f>
        <v>P</v>
      </c>
      <c r="C352" t="str">
        <f>LEFT(Table1[[#This Row],[EPI_DGN_ANTIC]],2)</f>
        <v>Pc</v>
      </c>
      <c r="D352" t="s">
        <v>2018</v>
      </c>
      <c r="E352" s="10">
        <v>0</v>
      </c>
      <c r="H352" s="1">
        <v>350</v>
      </c>
      <c r="I352" t="s">
        <v>1987</v>
      </c>
    </row>
    <row r="353" spans="1:9">
      <c r="A353" s="1">
        <v>351</v>
      </c>
      <c r="B353" t="str">
        <f>LEFT(Table1[[#This Row],[EPI_DGN_ANTIC]],1)</f>
        <v>P</v>
      </c>
      <c r="C353" t="str">
        <f>LEFT(Table1[[#This Row],[EPI_DGN_ANTIC]],2)</f>
        <v>Pd</v>
      </c>
      <c r="D353" t="s">
        <v>2019</v>
      </c>
      <c r="E353" s="10">
        <v>0</v>
      </c>
      <c r="H353" s="1">
        <v>351</v>
      </c>
      <c r="I353" t="s">
        <v>1639</v>
      </c>
    </row>
    <row r="354" spans="1:9">
      <c r="A354" s="1">
        <v>352</v>
      </c>
      <c r="B354" t="str">
        <f>LEFT(Table1[[#This Row],[EPI_DGN_ANTIC]],1)</f>
        <v>P</v>
      </c>
      <c r="C354" t="str">
        <f>LEFT(Table1[[#This Row],[EPI_DGN_ANTIC]],2)</f>
        <v>Pe</v>
      </c>
      <c r="D354" t="s">
        <v>1959</v>
      </c>
      <c r="E354" s="10">
        <v>1</v>
      </c>
      <c r="F354" t="s">
        <v>2020</v>
      </c>
      <c r="H354" s="1">
        <v>352</v>
      </c>
      <c r="I354" t="s">
        <v>2021</v>
      </c>
    </row>
    <row r="355" spans="1:9">
      <c r="A355" s="1">
        <v>353</v>
      </c>
      <c r="B355" t="str">
        <f>LEFT(Table1[[#This Row],[EPI_DGN_ANTIC]],1)</f>
        <v>Q</v>
      </c>
      <c r="C355" t="str">
        <f>LEFT(Table1[[#This Row],[EPI_DGN_ANTIC]],2)</f>
        <v>Qf</v>
      </c>
      <c r="D355" t="s">
        <v>2022</v>
      </c>
      <c r="E355" s="10">
        <v>0</v>
      </c>
      <c r="H355" s="1">
        <v>353</v>
      </c>
      <c r="I355" t="s">
        <v>1984</v>
      </c>
    </row>
    <row r="356" spans="1:9">
      <c r="A356" s="1">
        <v>354</v>
      </c>
      <c r="B356" t="str">
        <f>LEFT(Table1[[#This Row],[EPI_DGN_ANTIC]],1)</f>
        <v>S</v>
      </c>
      <c r="C356" t="str">
        <f>LEFT(Table1[[#This Row],[EPI_DGN_ANTIC]],2)</f>
        <v>S</v>
      </c>
      <c r="D356" t="s">
        <v>1705</v>
      </c>
      <c r="E356" s="10">
        <v>0</v>
      </c>
      <c r="H356" s="1">
        <v>354</v>
      </c>
      <c r="I356" t="s">
        <v>1982</v>
      </c>
    </row>
    <row r="357" spans="1:9">
      <c r="A357" s="1">
        <v>355</v>
      </c>
      <c r="B357" t="str">
        <f>LEFT(Table1[[#This Row],[EPI_DGN_ANTIC]],1)</f>
        <v>S</v>
      </c>
      <c r="C357" t="str">
        <f>LEFT(Table1[[#This Row],[EPI_DGN_ANTIC]],2)</f>
        <v>Sd</v>
      </c>
      <c r="D357" t="s">
        <v>2023</v>
      </c>
      <c r="E357" s="10">
        <v>0</v>
      </c>
      <c r="H357" s="1">
        <v>355</v>
      </c>
      <c r="I357" t="s">
        <v>2007</v>
      </c>
    </row>
    <row r="358" spans="1:9">
      <c r="A358" s="1">
        <v>356</v>
      </c>
      <c r="B358" t="str">
        <f>LEFT(Table1[[#This Row],[EPI_DGN_ANTIC]],1)</f>
        <v>S</v>
      </c>
      <c r="C358" t="str">
        <f>LEFT(Table1[[#This Row],[EPI_DGN_ANTIC]],2)</f>
        <v>Sd</v>
      </c>
      <c r="D358" t="s">
        <v>2023</v>
      </c>
      <c r="E358" s="10">
        <v>1</v>
      </c>
      <c r="F358" t="s">
        <v>2024</v>
      </c>
      <c r="H358" s="1">
        <v>356</v>
      </c>
      <c r="I358" t="s">
        <v>2003</v>
      </c>
    </row>
    <row r="359" spans="1:9">
      <c r="A359" s="1">
        <v>357</v>
      </c>
      <c r="B359" t="str">
        <f>LEFT(Table1[[#This Row],[EPI_DGN_ANTIC]],1)</f>
        <v>S</v>
      </c>
      <c r="C359" t="str">
        <f>LEFT(Table1[[#This Row],[EPI_DGN_ANTIC]],2)</f>
        <v>Sm</v>
      </c>
      <c r="D359" t="s">
        <v>2025</v>
      </c>
      <c r="E359" s="10">
        <v>1</v>
      </c>
      <c r="F359" t="s">
        <v>2026</v>
      </c>
      <c r="H359" s="1">
        <v>357</v>
      </c>
      <c r="I359" t="s">
        <v>1849</v>
      </c>
    </row>
    <row r="360" spans="1:9">
      <c r="A360" s="1">
        <v>358</v>
      </c>
      <c r="B360" t="str">
        <f>LEFT(Table1[[#This Row],[EPI_DGN_ANTIC]],1)</f>
        <v>Q</v>
      </c>
      <c r="C360" t="str">
        <f>LEFT(Table1[[#This Row],[EPI_DGN_ANTIC]],2)</f>
        <v>Qf</v>
      </c>
      <c r="D360" t="s">
        <v>2027</v>
      </c>
      <c r="E360" s="10">
        <v>1</v>
      </c>
      <c r="F360" t="s">
        <v>2028</v>
      </c>
      <c r="H360" s="1">
        <v>358</v>
      </c>
      <c r="I360" t="s">
        <v>2007</v>
      </c>
    </row>
    <row r="361" spans="1:9">
      <c r="A361" s="1">
        <v>359</v>
      </c>
      <c r="B361" t="str">
        <f>LEFT(Table1[[#This Row],[EPI_DGN_ANTIC]],1)</f>
        <v>T</v>
      </c>
      <c r="C361" t="str">
        <f>LEFT(Table1[[#This Row],[EPI_DGN_ANTIC]],2)</f>
        <v>T</v>
      </c>
      <c r="D361" t="s">
        <v>1680</v>
      </c>
      <c r="E361" s="10">
        <v>0</v>
      </c>
      <c r="H361" s="1">
        <v>359</v>
      </c>
      <c r="I361" t="s">
        <v>2029</v>
      </c>
    </row>
    <row r="362" spans="1:9">
      <c r="A362" s="1">
        <v>360</v>
      </c>
      <c r="B362" t="str">
        <f>LEFT(Table1[[#This Row],[EPI_DGN_ANTIC]],1)</f>
        <v>T</v>
      </c>
      <c r="C362" t="str">
        <f>LEFT(Table1[[#This Row],[EPI_DGN_ANTIC]],2)</f>
        <v>Tb</v>
      </c>
      <c r="D362" t="s">
        <v>1681</v>
      </c>
      <c r="E362" s="10">
        <v>1</v>
      </c>
      <c r="F362" t="s">
        <v>2030</v>
      </c>
      <c r="H362" s="1">
        <v>360</v>
      </c>
      <c r="I362" t="s">
        <v>1639</v>
      </c>
    </row>
    <row r="363" spans="1:9">
      <c r="A363" s="1">
        <v>361</v>
      </c>
      <c r="B363" t="str">
        <f>LEFT(Table1[[#This Row],[EPI_DGN_ANTIC]],1)</f>
        <v>T</v>
      </c>
      <c r="C363" t="str">
        <f>LEFT(Table1[[#This Row],[EPI_DGN_ANTIC]],2)</f>
        <v>Tc</v>
      </c>
      <c r="D363" t="s">
        <v>2031</v>
      </c>
      <c r="E363" s="10">
        <v>0</v>
      </c>
      <c r="H363" s="1">
        <v>361</v>
      </c>
      <c r="I363" t="s">
        <v>1977</v>
      </c>
    </row>
    <row r="364" spans="1:9">
      <c r="A364" s="1">
        <v>362</v>
      </c>
      <c r="B364" t="str">
        <f>LEFT(Table1[[#This Row],[EPI_DGN_ANTIC]],1)</f>
        <v>T</v>
      </c>
      <c r="C364" t="str">
        <f>LEFT(Table1[[#This Row],[EPI_DGN_ANTIC]],2)</f>
        <v>Tg</v>
      </c>
      <c r="D364" t="s">
        <v>2032</v>
      </c>
      <c r="E364" s="10">
        <v>0</v>
      </c>
      <c r="H364" s="1">
        <v>362</v>
      </c>
      <c r="I364" t="s">
        <v>2033</v>
      </c>
    </row>
    <row r="365" spans="1:9">
      <c r="A365" s="1">
        <v>363</v>
      </c>
      <c r="B365" t="str">
        <f>LEFT(Table1[[#This Row],[EPI_DGN_ANTIC]],1)</f>
        <v>T</v>
      </c>
      <c r="C365" t="str">
        <f>LEFT(Table1[[#This Row],[EPI_DGN_ANTIC]],2)</f>
        <v>Tk</v>
      </c>
      <c r="D365" t="s">
        <v>1687</v>
      </c>
      <c r="E365" s="10">
        <v>1</v>
      </c>
      <c r="F365" t="s">
        <v>2034</v>
      </c>
      <c r="H365" s="1">
        <v>363</v>
      </c>
      <c r="I365" t="s">
        <v>2035</v>
      </c>
    </row>
    <row r="366" spans="1:9">
      <c r="A366" s="1">
        <v>364</v>
      </c>
      <c r="B366" t="str">
        <f>LEFT(Table1[[#This Row],[EPI_DGN_ANTIC]],1)</f>
        <v>T</v>
      </c>
      <c r="C366" t="str">
        <f>LEFT(Table1[[#This Row],[EPI_DGN_ANTIC]],2)</f>
        <v>Tl</v>
      </c>
      <c r="D366" t="s">
        <v>2036</v>
      </c>
      <c r="E366" s="10">
        <v>0</v>
      </c>
      <c r="H366" s="1">
        <v>364</v>
      </c>
      <c r="I366" t="s">
        <v>2037</v>
      </c>
    </row>
    <row r="367" spans="1:9">
      <c r="A367" s="1">
        <v>365</v>
      </c>
      <c r="B367" t="str">
        <f>LEFT(Table1[[#This Row],[EPI_DGN_ANTIC]],1)</f>
        <v>T</v>
      </c>
      <c r="C367" t="str">
        <f>LEFT(Table1[[#This Row],[EPI_DGN_ANTIC]],2)</f>
        <v>TL</v>
      </c>
      <c r="D367" t="s">
        <v>2038</v>
      </c>
      <c r="E367" s="10">
        <v>0</v>
      </c>
      <c r="H367" s="1">
        <v>365</v>
      </c>
      <c r="I367" t="s">
        <v>1588</v>
      </c>
    </row>
    <row r="368" spans="1:9">
      <c r="A368" s="1">
        <v>366</v>
      </c>
      <c r="B368" t="str">
        <f>LEFT(Table1[[#This Row],[EPI_DGN_ANTIC]],1)</f>
        <v>T</v>
      </c>
      <c r="C368" t="str">
        <f>LEFT(Table1[[#This Row],[EPI_DGN_ANTIC]],2)</f>
        <v>Tm</v>
      </c>
      <c r="D368" t="s">
        <v>1812</v>
      </c>
      <c r="E368" s="10">
        <v>1</v>
      </c>
      <c r="F368" t="s">
        <v>2039</v>
      </c>
      <c r="H368" s="1">
        <v>366</v>
      </c>
      <c r="I368" t="s">
        <v>2021</v>
      </c>
    </row>
    <row r="369" spans="1:9">
      <c r="A369" s="1">
        <v>367</v>
      </c>
      <c r="B369" t="str">
        <f>LEFT(Table1[[#This Row],[EPI_DGN_ANTIC]],1)</f>
        <v>T</v>
      </c>
      <c r="C369" t="str">
        <f>LEFT(Table1[[#This Row],[EPI_DGN_ANTIC]],2)</f>
        <v>To</v>
      </c>
      <c r="D369" t="s">
        <v>2040</v>
      </c>
      <c r="E369" s="10">
        <v>0</v>
      </c>
      <c r="H369" s="1">
        <v>367</v>
      </c>
      <c r="I369" t="s">
        <v>2033</v>
      </c>
    </row>
    <row r="370" spans="1:9">
      <c r="A370" s="1">
        <v>368</v>
      </c>
      <c r="B370" t="str">
        <f>LEFT(Table1[[#This Row],[EPI_DGN_ANTIC]],1)</f>
        <v>T</v>
      </c>
      <c r="C370" t="str">
        <f>LEFT(Table1[[#This Row],[EPI_DGN_ANTIC]],2)</f>
        <v>Tr</v>
      </c>
      <c r="D370" t="s">
        <v>2041</v>
      </c>
      <c r="E370" s="10">
        <v>0</v>
      </c>
      <c r="H370" s="1">
        <v>368</v>
      </c>
      <c r="I370" t="s">
        <v>2035</v>
      </c>
    </row>
    <row r="371" spans="1:9">
      <c r="A371" s="1">
        <v>369</v>
      </c>
      <c r="B371" t="str">
        <f>LEFT(Table1[[#This Row],[EPI_DGN_ANTIC]],1)</f>
        <v>T</v>
      </c>
      <c r="C371" t="str">
        <f>LEFT(Table1[[#This Row],[EPI_DGN_ANTIC]],2)</f>
        <v>To</v>
      </c>
      <c r="D371" t="s">
        <v>2042</v>
      </c>
      <c r="E371" s="10">
        <v>1</v>
      </c>
      <c r="F371" t="s">
        <v>485</v>
      </c>
      <c r="H371" s="1">
        <v>369</v>
      </c>
      <c r="I371" t="s">
        <v>2037</v>
      </c>
    </row>
    <row r="372" spans="1:9">
      <c r="A372" s="1">
        <v>370</v>
      </c>
      <c r="B372" t="str">
        <f>LEFT(Table1[[#This Row],[EPI_DGN_ANTIC]],1)</f>
        <v>T</v>
      </c>
      <c r="C372" t="str">
        <f>LEFT(Table1[[#This Row],[EPI_DGN_ANTIC]],2)</f>
        <v>T</v>
      </c>
      <c r="D372" t="s">
        <v>1680</v>
      </c>
      <c r="E372" s="10">
        <v>1</v>
      </c>
      <c r="F372" t="s">
        <v>2034</v>
      </c>
      <c r="H372" s="1">
        <v>370</v>
      </c>
      <c r="I372" t="s">
        <v>1588</v>
      </c>
    </row>
    <row r="373" spans="1:9">
      <c r="A373" s="1">
        <v>371</v>
      </c>
      <c r="B373" t="str">
        <f>LEFT(Table1[[#This Row],[EPI_DGN_ANTIC]],1)</f>
        <v>T</v>
      </c>
      <c r="C373" t="str">
        <f>LEFT(Table1[[#This Row],[EPI_DGN_ANTIC]],2)</f>
        <v>Tr</v>
      </c>
      <c r="D373" t="s">
        <v>2041</v>
      </c>
      <c r="E373" s="10">
        <v>1</v>
      </c>
      <c r="F373" t="s">
        <v>2043</v>
      </c>
      <c r="H373" s="1">
        <v>371</v>
      </c>
      <c r="I373" t="s">
        <v>2037</v>
      </c>
    </row>
    <row r="374" spans="1:9">
      <c r="A374" s="1">
        <v>372</v>
      </c>
      <c r="B374" t="str">
        <f>LEFT(Table1[[#This Row],[EPI_DGN_ANTIC]],1)</f>
        <v>T</v>
      </c>
      <c r="C374" t="str">
        <f>LEFT(Table1[[#This Row],[EPI_DGN_ANTIC]],2)</f>
        <v>TM</v>
      </c>
      <c r="D374" t="s">
        <v>2044</v>
      </c>
      <c r="E374" s="10">
        <v>0</v>
      </c>
      <c r="H374" s="1">
        <v>372</v>
      </c>
      <c r="I374" t="s">
        <v>2045</v>
      </c>
    </row>
    <row r="375" spans="1:9">
      <c r="A375" s="1">
        <v>373</v>
      </c>
      <c r="B375" t="str">
        <f>LEFT(Table1[[#This Row],[EPI_DGN_ANTIC]],1)</f>
        <v>X</v>
      </c>
      <c r="C375" t="str">
        <f>LEFT(Table1[[#This Row],[EPI_DGN_ANTIC]],2)</f>
        <v>X</v>
      </c>
      <c r="D375" t="s">
        <v>1355</v>
      </c>
      <c r="E375" s="10">
        <v>0</v>
      </c>
      <c r="H375" s="1">
        <v>373</v>
      </c>
      <c r="I375" t="s">
        <v>2046</v>
      </c>
    </row>
    <row r="376" spans="1:9">
      <c r="A376" s="1">
        <v>374</v>
      </c>
      <c r="B376" t="str">
        <f>LEFT(Table1[[#This Row],[EPI_DGN_ANTIC]],1)</f>
        <v>O</v>
      </c>
      <c r="C376" t="str">
        <f>LEFT(Table1[[#This Row],[EPI_DGN_ANTIC]],2)</f>
        <v>OR</v>
      </c>
      <c r="D376" t="s">
        <v>2047</v>
      </c>
      <c r="E376" s="10">
        <v>1</v>
      </c>
      <c r="F376" t="s">
        <v>1738</v>
      </c>
      <c r="H376" s="1">
        <v>374</v>
      </c>
      <c r="I376" t="s">
        <v>2048</v>
      </c>
    </row>
    <row r="377" spans="1:9">
      <c r="A377" s="1">
        <v>375</v>
      </c>
      <c r="B377" t="str">
        <f>LEFT(Table1[[#This Row],[EPI_DGN_ANTIC]],1)</f>
        <v>O</v>
      </c>
      <c r="C377" t="str">
        <f>LEFT(Table1[[#This Row],[EPI_DGN_ANTIC]],2)</f>
        <v>OR</v>
      </c>
      <c r="D377" t="s">
        <v>2049</v>
      </c>
      <c r="E377" s="10">
        <v>1</v>
      </c>
      <c r="F377" t="s">
        <v>2050</v>
      </c>
      <c r="H377" s="1">
        <v>375</v>
      </c>
      <c r="I377" t="s">
        <v>2051</v>
      </c>
    </row>
    <row r="378" spans="1:9">
      <c r="A378" s="1">
        <v>376</v>
      </c>
      <c r="B378" t="str">
        <f>LEFT(Table1[[#This Row],[EPI_DGN_ANTIC]],1)</f>
        <v>O</v>
      </c>
      <c r="C378" t="str">
        <f>LEFT(Table1[[#This Row],[EPI_DGN_ANTIC]],2)</f>
        <v>OR</v>
      </c>
      <c r="D378" t="s">
        <v>2052</v>
      </c>
      <c r="E378" s="10">
        <v>1</v>
      </c>
      <c r="F378" t="s">
        <v>2053</v>
      </c>
      <c r="H378" s="1">
        <v>376</v>
      </c>
      <c r="I378" t="s">
        <v>2054</v>
      </c>
    </row>
    <row r="379" spans="1:9">
      <c r="A379" s="1">
        <v>377</v>
      </c>
      <c r="B379" t="str">
        <f>LEFT(Table1[[#This Row],[EPI_DGN_ANTIC]],1)</f>
        <v>O</v>
      </c>
      <c r="C379" t="str">
        <f>LEFT(Table1[[#This Row],[EPI_DGN_ANTIC]],2)</f>
        <v>OR</v>
      </c>
      <c r="D379" t="s">
        <v>2055</v>
      </c>
      <c r="E379" s="10">
        <v>1</v>
      </c>
      <c r="F379" t="s">
        <v>2056</v>
      </c>
      <c r="H379" s="1">
        <v>377</v>
      </c>
      <c r="I379" t="s">
        <v>2057</v>
      </c>
    </row>
    <row r="380" spans="1:9">
      <c r="A380" s="1">
        <v>378</v>
      </c>
      <c r="B380" t="str">
        <f>LEFT(Table1[[#This Row],[EPI_DGN_ANTIC]],1)</f>
        <v>O</v>
      </c>
      <c r="C380" t="str">
        <f>LEFT(Table1[[#This Row],[EPI_DGN_ANTIC]],2)</f>
        <v>OR</v>
      </c>
      <c r="D380" t="s">
        <v>2058</v>
      </c>
      <c r="E380" s="10">
        <v>1</v>
      </c>
      <c r="F380" t="s">
        <v>2059</v>
      </c>
      <c r="H380" s="1">
        <v>378</v>
      </c>
      <c r="I380" t="s">
        <v>2060</v>
      </c>
    </row>
    <row r="381" spans="1:9">
      <c r="A381" s="1">
        <v>379</v>
      </c>
      <c r="B381" t="str">
        <f>LEFT(Table1[[#This Row],[EPI_DGN_ANTIC]],1)</f>
        <v>O</v>
      </c>
      <c r="C381" t="str">
        <f>LEFT(Table1[[#This Row],[EPI_DGN_ANTIC]],3)</f>
        <v>ORc</v>
      </c>
      <c r="D381" t="s">
        <v>2061</v>
      </c>
      <c r="E381" s="10">
        <v>1</v>
      </c>
      <c r="F381" t="s">
        <v>2062</v>
      </c>
      <c r="H381" s="1">
        <v>379</v>
      </c>
      <c r="I381" t="s">
        <v>2063</v>
      </c>
    </row>
    <row r="382" spans="1:9">
      <c r="A382" s="1">
        <v>380</v>
      </c>
      <c r="B382" t="str">
        <f>LEFT(Table1[[#This Row],[EPI_DGN_ANTIC]],1)</f>
        <v>O</v>
      </c>
      <c r="C382" t="str">
        <f>LEFT(Table1[[#This Row],[EPI_DGN_ANTIC]],3)</f>
        <v>ORg</v>
      </c>
      <c r="D382" t="s">
        <v>2064</v>
      </c>
      <c r="E382" s="10">
        <v>1</v>
      </c>
      <c r="F382" t="s">
        <v>2065</v>
      </c>
      <c r="H382" s="1">
        <v>380</v>
      </c>
      <c r="I382" t="s">
        <v>1606</v>
      </c>
    </row>
    <row r="383" spans="1:9">
      <c r="A383" s="1">
        <v>381</v>
      </c>
      <c r="B383" t="s">
        <v>1355</v>
      </c>
      <c r="C383" t="str">
        <f>LEFT(Table1[[#This Row],[EPI_DGN_ANTIC]],1)</f>
        <v>E</v>
      </c>
      <c r="D383" t="s">
        <v>2066</v>
      </c>
      <c r="E383" s="10">
        <v>0</v>
      </c>
      <c r="H383" s="1">
        <v>381</v>
      </c>
      <c r="I383" t="s">
        <v>1588</v>
      </c>
    </row>
    <row r="384" spans="1:9">
      <c r="A384" s="1">
        <v>382</v>
      </c>
      <c r="B384" t="s">
        <v>1355</v>
      </c>
      <c r="C384" t="str">
        <f>LEFT(Table1[[#This Row],[EPI_DGN_ANTIC]],1)</f>
        <v>E</v>
      </c>
      <c r="D384" t="s">
        <v>2067</v>
      </c>
      <c r="E384" s="10">
        <v>0</v>
      </c>
      <c r="H384" s="1">
        <v>382</v>
      </c>
      <c r="I384" t="s">
        <v>1570</v>
      </c>
    </row>
    <row r="385" spans="1:9">
      <c r="A385" s="1">
        <v>383</v>
      </c>
      <c r="B385" t="str">
        <f>LEFT(Table1[[#This Row],[EPI_DGN_ANTIC]],1)</f>
        <v>O</v>
      </c>
      <c r="C385" t="str">
        <f>LEFT(Table1[[#This Row],[EPI_DGN_ANTIC]],2)</f>
        <v>OR</v>
      </c>
      <c r="D385" t="s">
        <v>2068</v>
      </c>
      <c r="E385" s="10">
        <v>1</v>
      </c>
      <c r="F385" t="s">
        <v>2069</v>
      </c>
      <c r="H385" s="1">
        <v>383</v>
      </c>
      <c r="I385" t="s">
        <v>1570</v>
      </c>
    </row>
    <row r="386" spans="1:9">
      <c r="A386" s="1">
        <v>384</v>
      </c>
      <c r="B386" t="str">
        <f>LEFT(Table1[[#This Row],[EPI_DGN_ANTIC]],1)</f>
        <v>O</v>
      </c>
      <c r="C386" t="str">
        <f>LEFT(Table1[[#This Row],[EPI_DGN_ANTIC]],3)</f>
        <v>Org</v>
      </c>
      <c r="D386" t="s">
        <v>2070</v>
      </c>
      <c r="E386" s="10">
        <v>0</v>
      </c>
      <c r="H386" s="1">
        <v>384</v>
      </c>
      <c r="I386" t="s">
        <v>240</v>
      </c>
    </row>
    <row r="387" spans="1:9">
      <c r="A387" s="1">
        <v>385</v>
      </c>
      <c r="B387" t="str">
        <f>LEFT(Table1[[#This Row],[EPI_DGN_ANTIC]],1)</f>
        <v>O</v>
      </c>
      <c r="C387" t="str">
        <f>LEFT(Table1[[#This Row],[EPI_DGN_ANTIC]],3)</f>
        <v>Org</v>
      </c>
      <c r="D387" t="s">
        <v>2071</v>
      </c>
      <c r="E387" s="10">
        <v>1</v>
      </c>
      <c r="F387" t="s">
        <v>2072</v>
      </c>
      <c r="H387" s="1">
        <v>385</v>
      </c>
      <c r="I387" t="s">
        <v>2073</v>
      </c>
    </row>
    <row r="388" spans="1:9">
      <c r="A388" s="1">
        <v>386</v>
      </c>
      <c r="B388" t="str">
        <f>LEFT(Table1[[#This Row],[EPI_DGN_ANTIC]],1)</f>
        <v>O</v>
      </c>
      <c r="C388" t="str">
        <f>LEFT(Table1[[#This Row],[EPI_DGN_ANTIC]],3)</f>
        <v>Orl</v>
      </c>
      <c r="D388" t="s">
        <v>2074</v>
      </c>
      <c r="E388" s="10">
        <v>1</v>
      </c>
      <c r="F388" t="s">
        <v>2075</v>
      </c>
      <c r="H388" s="1">
        <v>386</v>
      </c>
      <c r="I388" t="s">
        <v>2073</v>
      </c>
    </row>
    <row r="389" spans="1:9">
      <c r="A389" s="1">
        <v>387</v>
      </c>
      <c r="B389" t="str">
        <f>LEFT(Table1[[#This Row],[EPI_DGN_ANTIC]],1)</f>
        <v>O</v>
      </c>
      <c r="C389" t="str">
        <f>LEFT(Table1[[#This Row],[EPI_DGN_ANTIC]],3)</f>
        <v>Orl</v>
      </c>
      <c r="D389" t="s">
        <v>2076</v>
      </c>
      <c r="E389" s="10">
        <v>1</v>
      </c>
      <c r="F389" t="s">
        <v>2077</v>
      </c>
      <c r="H389" s="1">
        <v>387</v>
      </c>
      <c r="I389" t="s">
        <v>2078</v>
      </c>
    </row>
    <row r="390" spans="1:9">
      <c r="A390" s="1">
        <v>388</v>
      </c>
      <c r="B390" t="str">
        <f>LEFT(Table1[[#This Row],[EPI_DGN_ANTIC]],1)</f>
        <v>O</v>
      </c>
      <c r="C390" t="str">
        <f>LEFT(Table1[[#This Row],[EPI_DGN_ANTIC]],3)</f>
        <v>Ort</v>
      </c>
      <c r="D390" t="s">
        <v>2079</v>
      </c>
      <c r="E390" s="10">
        <v>0</v>
      </c>
      <c r="H390" s="1">
        <v>388</v>
      </c>
      <c r="I390" t="s">
        <v>2080</v>
      </c>
    </row>
    <row r="391" spans="1:9">
      <c r="A391" s="1">
        <v>389</v>
      </c>
      <c r="B391" t="str">
        <f>LEFT(Table1[[#This Row],[EPI_DGN_ANTIC]],1)</f>
        <v>O</v>
      </c>
      <c r="C391" t="str">
        <f>LEFT(Table1[[#This Row],[EPI_DGN_ANTIC]],3)</f>
        <v>Orv</v>
      </c>
      <c r="D391" t="s">
        <v>2081</v>
      </c>
      <c r="E391" s="10">
        <v>1</v>
      </c>
      <c r="F391" t="s">
        <v>2072</v>
      </c>
      <c r="H391" s="1">
        <v>389</v>
      </c>
      <c r="I391" t="s">
        <v>2082</v>
      </c>
    </row>
    <row r="392" spans="1:9">
      <c r="A392" s="1">
        <v>390</v>
      </c>
      <c r="B392" t="str">
        <f>LEFT(Table1[[#This Row],[EPI_DGN_ANTIC]],1)</f>
        <v>O</v>
      </c>
      <c r="C392" t="str">
        <f>LEFT(Table1[[#This Row],[EPI_DGN_ANTIC]],3)</f>
        <v>Orv</v>
      </c>
      <c r="D392" t="s">
        <v>2083</v>
      </c>
      <c r="E392" s="10">
        <v>1</v>
      </c>
      <c r="F392" t="s">
        <v>2084</v>
      </c>
      <c r="H392" s="1">
        <v>390</v>
      </c>
      <c r="I392" t="s">
        <v>1898</v>
      </c>
    </row>
    <row r="393" spans="1:9">
      <c r="A393" s="1">
        <v>391</v>
      </c>
      <c r="B393" t="str">
        <f>LEFT(Table1[[#This Row],[EPI_DGN_ANTIC]],1)</f>
        <v>O</v>
      </c>
      <c r="C393" t="str">
        <f>LEFT(Table1[[#This Row],[EPI_DGN_ANTIC]],3)</f>
        <v>Orr</v>
      </c>
      <c r="D393" t="s">
        <v>2085</v>
      </c>
      <c r="E393" s="10">
        <v>1</v>
      </c>
      <c r="F393" t="s">
        <v>2086</v>
      </c>
      <c r="H393" s="1">
        <v>391</v>
      </c>
      <c r="I393" t="s">
        <v>2087</v>
      </c>
    </row>
    <row r="394" spans="1:9">
      <c r="A394" s="1">
        <v>392</v>
      </c>
      <c r="B394" t="str">
        <f>LEFT(Table1[[#This Row],[EPI_DGN_ANTIC]],1)</f>
        <v>O</v>
      </c>
      <c r="C394" t="str">
        <f>LEFT(Table1[[#This Row],[EPI_DGN_ANTIC]],3)</f>
        <v>OrS</v>
      </c>
      <c r="D394" t="s">
        <v>2088</v>
      </c>
      <c r="E394" s="10">
        <v>1</v>
      </c>
      <c r="F394" t="s">
        <v>2089</v>
      </c>
      <c r="H394" s="1">
        <v>392</v>
      </c>
      <c r="I394" t="s">
        <v>2090</v>
      </c>
    </row>
    <row r="395" spans="1:9">
      <c r="A395" s="1">
        <v>393</v>
      </c>
      <c r="B395" t="s">
        <v>1632</v>
      </c>
      <c r="C395" t="s">
        <v>2091</v>
      </c>
      <c r="D395" t="s">
        <v>2092</v>
      </c>
      <c r="E395" s="10">
        <v>1</v>
      </c>
      <c r="F395" t="s">
        <v>2072</v>
      </c>
      <c r="G395" s="30" t="s">
        <v>704</v>
      </c>
      <c r="H395" s="1">
        <v>393</v>
      </c>
      <c r="I395" t="s">
        <v>1100</v>
      </c>
    </row>
    <row r="396" spans="1:9">
      <c r="A396" s="1">
        <v>394</v>
      </c>
      <c r="B396" t="s">
        <v>1632</v>
      </c>
      <c r="C396" t="s">
        <v>2091</v>
      </c>
      <c r="D396" t="s">
        <v>2093</v>
      </c>
      <c r="E396" s="10">
        <v>1</v>
      </c>
      <c r="F396" t="s">
        <v>2072</v>
      </c>
      <c r="G396" s="30" t="s">
        <v>704</v>
      </c>
      <c r="H396" s="1">
        <v>394</v>
      </c>
      <c r="I396" t="s">
        <v>2094</v>
      </c>
    </row>
    <row r="397" spans="1:9">
      <c r="A397" s="1">
        <v>395</v>
      </c>
      <c r="B397" t="str">
        <f>LEFT(Table1[[#This Row],[EPI_DGN_ANTIC]],1)</f>
        <v>O</v>
      </c>
      <c r="C397" t="str">
        <f>LEFT(Table1[[#This Row],[EPI_DGN_ANTIC]],3)</f>
        <v>Org</v>
      </c>
      <c r="D397" t="s">
        <v>2095</v>
      </c>
      <c r="E397" s="10">
        <v>1</v>
      </c>
      <c r="F397" t="s">
        <v>1810</v>
      </c>
      <c r="H397" s="1">
        <v>395</v>
      </c>
      <c r="I397" t="s">
        <v>2096</v>
      </c>
    </row>
    <row r="398" spans="1:9">
      <c r="A398" s="1">
        <v>396</v>
      </c>
      <c r="B398" t="s">
        <v>1632</v>
      </c>
      <c r="C398" t="s">
        <v>2070</v>
      </c>
      <c r="D398" t="s">
        <v>2097</v>
      </c>
      <c r="E398" s="10">
        <v>1</v>
      </c>
      <c r="F398" t="s">
        <v>1810</v>
      </c>
      <c r="G398" s="22" t="s">
        <v>786</v>
      </c>
      <c r="H398" s="1">
        <v>396</v>
      </c>
      <c r="I398" t="s">
        <v>2046</v>
      </c>
    </row>
    <row r="399" spans="1:9">
      <c r="A399" s="1">
        <v>397</v>
      </c>
      <c r="B399" t="str">
        <f>LEFT(Table1[[#This Row],[EPI_DGN_ANTIC]],1)</f>
        <v>O</v>
      </c>
      <c r="C399" t="str">
        <f>LEFT(Table1[[#This Row],[EPI_DGN_ANTIC]],3)</f>
        <v>Orl</v>
      </c>
      <c r="D399" t="s">
        <v>2098</v>
      </c>
      <c r="E399" s="10">
        <v>0</v>
      </c>
      <c r="H399" s="1">
        <v>397</v>
      </c>
      <c r="I399" t="s">
        <v>2099</v>
      </c>
    </row>
    <row r="400" spans="1:9">
      <c r="A400" s="1">
        <v>398</v>
      </c>
      <c r="B400" t="str">
        <f>LEFT(Table1[[#This Row],[EPI_DGN_ANTIC]],1)</f>
        <v>O</v>
      </c>
      <c r="C400" t="str">
        <f>LEFT(Table1[[#This Row],[EPI_DGN_ANTIC]],3)</f>
        <v>Orv</v>
      </c>
      <c r="D400" t="s">
        <v>2091</v>
      </c>
      <c r="E400" s="10">
        <v>0</v>
      </c>
      <c r="H400" s="1">
        <v>398</v>
      </c>
      <c r="I400" t="s">
        <v>980</v>
      </c>
    </row>
    <row r="401" spans="1:9">
      <c r="A401" s="1">
        <v>399</v>
      </c>
      <c r="B401" t="str">
        <f>LEFT(Table1[[#This Row],[EPI_DGN_ANTIC]],1)</f>
        <v>O</v>
      </c>
      <c r="C401" t="str">
        <f>LEFT(Table1[[#This Row],[EPI_DGN_ANTIC]],3)</f>
        <v>OrS</v>
      </c>
      <c r="D401" t="s">
        <v>2100</v>
      </c>
      <c r="E401" s="10">
        <v>0</v>
      </c>
      <c r="H401" s="1">
        <v>399</v>
      </c>
      <c r="I401" t="s">
        <v>2101</v>
      </c>
    </row>
    <row r="402" spans="1:9">
      <c r="A402" s="1">
        <v>400</v>
      </c>
      <c r="B402" t="s">
        <v>1632</v>
      </c>
      <c r="C402" t="s">
        <v>2091</v>
      </c>
      <c r="D402" t="s">
        <v>2102</v>
      </c>
      <c r="E402" s="10">
        <v>1</v>
      </c>
      <c r="F402" t="s">
        <v>2103</v>
      </c>
      <c r="G402" s="30" t="s">
        <v>704</v>
      </c>
      <c r="H402" s="1">
        <v>400</v>
      </c>
      <c r="I402" t="s">
        <v>2104</v>
      </c>
    </row>
    <row r="403" spans="1:9">
      <c r="A403" s="1">
        <v>401</v>
      </c>
      <c r="B403" t="s">
        <v>1632</v>
      </c>
      <c r="C403" t="s">
        <v>2091</v>
      </c>
      <c r="D403" t="s">
        <v>2105</v>
      </c>
      <c r="E403" s="10">
        <v>1</v>
      </c>
      <c r="F403" t="s">
        <v>2103</v>
      </c>
      <c r="G403" s="30" t="s">
        <v>704</v>
      </c>
      <c r="H403" s="1">
        <v>401</v>
      </c>
      <c r="I403" t="s">
        <v>2101</v>
      </c>
    </row>
    <row r="404" spans="1:9">
      <c r="A404" s="1">
        <v>402</v>
      </c>
      <c r="B404" t="str">
        <f>LEFT(Table1[[#This Row],[EPI_DGN_ANTIC]],1)</f>
        <v>O</v>
      </c>
      <c r="C404" t="str">
        <f>LEFT(Table1[[#This Row],[EPI_DGN_ANTIC]],3)</f>
        <v>Org</v>
      </c>
      <c r="D404" t="s">
        <v>2070</v>
      </c>
      <c r="E404" s="10">
        <v>1</v>
      </c>
      <c r="F404" t="s">
        <v>2072</v>
      </c>
      <c r="H404" s="1">
        <v>402</v>
      </c>
      <c r="I404" t="s">
        <v>2106</v>
      </c>
    </row>
    <row r="405" spans="1:9">
      <c r="A405" s="1">
        <v>403</v>
      </c>
      <c r="B405" t="str">
        <f>LEFT(Table1[[#This Row],[EPI_DGN_ANTIC]],1)</f>
        <v>O</v>
      </c>
      <c r="C405" t="str">
        <f>LEFT(Table1[[#This Row],[EPI_DGN_ANTIC]],3)</f>
        <v>Orv</v>
      </c>
      <c r="D405" t="s">
        <v>2091</v>
      </c>
      <c r="E405" s="10">
        <v>1</v>
      </c>
      <c r="F405" t="s">
        <v>2103</v>
      </c>
      <c r="H405" s="1">
        <v>403</v>
      </c>
      <c r="I405" t="s">
        <v>2107</v>
      </c>
    </row>
    <row r="406" spans="1:9">
      <c r="A406" s="1">
        <v>404</v>
      </c>
      <c r="B406" t="str">
        <f>LEFT(Table1[[#This Row],[EPI_DGN_ANTIC]],1)</f>
        <v>O</v>
      </c>
      <c r="C406" t="str">
        <f>LEFT(Table1[[#This Row],[EPI_DGN_ANTIC]],3)</f>
        <v>OrS</v>
      </c>
      <c r="D406" t="s">
        <v>2100</v>
      </c>
      <c r="E406" s="10">
        <v>1</v>
      </c>
      <c r="F406" t="s">
        <v>2089</v>
      </c>
      <c r="H406" s="1">
        <v>404</v>
      </c>
      <c r="I406" t="s">
        <v>2046</v>
      </c>
    </row>
    <row r="407" spans="1:9">
      <c r="A407" s="1">
        <v>405</v>
      </c>
      <c r="B407" t="str">
        <f>LEFT(Table1[[#This Row],[EPI_DGN_ANTIC]],1)</f>
        <v>O</v>
      </c>
      <c r="C407" t="str">
        <f>LEFT(Table1[[#This Row],[EPI_DGN_ANTIC]],3)</f>
        <v>Ort</v>
      </c>
      <c r="D407" t="s">
        <v>2079</v>
      </c>
      <c r="E407" s="10">
        <v>1</v>
      </c>
      <c r="F407" t="s">
        <v>2084</v>
      </c>
      <c r="H407" s="1">
        <v>405</v>
      </c>
      <c r="I407" t="s">
        <v>2108</v>
      </c>
    </row>
    <row r="408" spans="1:9">
      <c r="A408" s="1">
        <v>406</v>
      </c>
      <c r="B408" t="s">
        <v>1632</v>
      </c>
      <c r="C408" t="s">
        <v>2098</v>
      </c>
      <c r="D408" t="s">
        <v>2109</v>
      </c>
      <c r="E408" s="10">
        <v>1</v>
      </c>
      <c r="F408" t="s">
        <v>2075</v>
      </c>
      <c r="G408" s="22" t="s">
        <v>786</v>
      </c>
      <c r="H408" s="1">
        <v>406</v>
      </c>
      <c r="I408" t="s">
        <v>2110</v>
      </c>
    </row>
    <row r="409" spans="1:9">
      <c r="A409" s="1">
        <v>407</v>
      </c>
      <c r="B409" t="s">
        <v>1632</v>
      </c>
      <c r="C409" t="s">
        <v>2070</v>
      </c>
      <c r="D409" t="s">
        <v>2111</v>
      </c>
      <c r="E409" s="10">
        <v>1</v>
      </c>
      <c r="F409" t="s">
        <v>2072</v>
      </c>
      <c r="G409" s="30" t="s">
        <v>704</v>
      </c>
      <c r="H409" s="1">
        <v>407</v>
      </c>
      <c r="I409" t="s">
        <v>2112</v>
      </c>
    </row>
    <row r="410" spans="1:9">
      <c r="A410" s="1">
        <v>408</v>
      </c>
      <c r="B410" t="s">
        <v>1632</v>
      </c>
      <c r="C410" t="s">
        <v>1727</v>
      </c>
      <c r="D410" t="s">
        <v>2113</v>
      </c>
      <c r="E410" s="10">
        <v>1</v>
      </c>
      <c r="F410" t="s">
        <v>1730</v>
      </c>
      <c r="G410" s="22" t="s">
        <v>897</v>
      </c>
      <c r="H410" s="1">
        <v>408</v>
      </c>
      <c r="I410" t="s">
        <v>2114</v>
      </c>
    </row>
    <row r="411" spans="1:9">
      <c r="A411" s="1">
        <v>409</v>
      </c>
      <c r="B411" t="s">
        <v>1632</v>
      </c>
      <c r="C411" t="s">
        <v>2098</v>
      </c>
      <c r="D411" t="s">
        <v>2115</v>
      </c>
      <c r="E411" s="10">
        <v>1</v>
      </c>
      <c r="F411" t="s">
        <v>2077</v>
      </c>
      <c r="G411" s="22" t="s">
        <v>786</v>
      </c>
      <c r="H411" s="1">
        <v>409</v>
      </c>
      <c r="I411" t="s">
        <v>2116</v>
      </c>
    </row>
    <row r="412" spans="1:9">
      <c r="A412" s="1">
        <v>410</v>
      </c>
      <c r="B412" t="str">
        <f>LEFT(Table1[[#This Row],[EPI_DGN_ANTIC]],1)</f>
        <v>O</v>
      </c>
      <c r="C412" t="str">
        <f>LEFT(Table1[[#This Row],[EPI_DGN_ANTIC]],2)</f>
        <v>O</v>
      </c>
      <c r="D412" t="s">
        <v>1632</v>
      </c>
      <c r="E412" s="10">
        <v>1</v>
      </c>
      <c r="F412" t="s">
        <v>2117</v>
      </c>
      <c r="H412" s="1">
        <v>410</v>
      </c>
      <c r="I412" t="s">
        <v>2118</v>
      </c>
    </row>
    <row r="413" spans="1:9">
      <c r="A413" s="1">
        <v>411</v>
      </c>
      <c r="B413" t="str">
        <f>LEFT(Table1[[#This Row],[EPI_DGN_ANTIC]],1)</f>
        <v>O</v>
      </c>
      <c r="C413" t="str">
        <f>LEFT(Table1[[#This Row],[EPI_DGN_ANTIC]],3)</f>
        <v>Orr</v>
      </c>
      <c r="D413" t="s">
        <v>2119</v>
      </c>
      <c r="E413" s="10">
        <v>0</v>
      </c>
      <c r="H413" s="1">
        <v>411</v>
      </c>
      <c r="I413" t="s">
        <v>2035</v>
      </c>
    </row>
    <row r="414" spans="1:9">
      <c r="A414" s="1">
        <v>412</v>
      </c>
      <c r="B414" t="str">
        <f>LEFT(Table1[[#This Row],[EPI_DGN_ANTIC]],1)</f>
        <v>O</v>
      </c>
      <c r="C414" t="str">
        <f>LEFT(Table1[[#This Row],[EPI_DGN_ANTIC]],2)</f>
        <v>OR</v>
      </c>
      <c r="D414" t="s">
        <v>2120</v>
      </c>
      <c r="E414" s="10">
        <v>1</v>
      </c>
      <c r="F414" t="s">
        <v>2121</v>
      </c>
      <c r="H414" s="1">
        <v>412</v>
      </c>
      <c r="I414" t="s">
        <v>2122</v>
      </c>
    </row>
    <row r="415" spans="1:9">
      <c r="A415" s="1">
        <v>413</v>
      </c>
      <c r="B415" t="str">
        <f>LEFT(Table1[[#This Row],[EPI_DGN_ANTIC]],1)</f>
        <v>O</v>
      </c>
      <c r="C415" t="str">
        <f>LEFT(Table1[[#This Row],[EPI_DGN_ANTIC]],2)</f>
        <v>OR</v>
      </c>
      <c r="D415" t="s">
        <v>2123</v>
      </c>
      <c r="E415" s="10">
        <v>1</v>
      </c>
      <c r="F415" t="s">
        <v>2124</v>
      </c>
      <c r="H415" s="1">
        <v>413</v>
      </c>
      <c r="I415" t="s">
        <v>2125</v>
      </c>
    </row>
    <row r="416" spans="1:9">
      <c r="A416" s="1">
        <v>414</v>
      </c>
      <c r="B416" t="s">
        <v>1355</v>
      </c>
      <c r="C416" t="str">
        <f>LEFT(Table1[[#This Row],[EPI_DGN_ANTIC]],1)</f>
        <v>G</v>
      </c>
      <c r="D416" t="s">
        <v>2126</v>
      </c>
      <c r="E416" s="10">
        <v>0</v>
      </c>
      <c r="H416" s="1">
        <v>414</v>
      </c>
      <c r="I416" t="s">
        <v>2127</v>
      </c>
    </row>
    <row r="417" spans="1:9">
      <c r="A417" s="1">
        <v>415</v>
      </c>
      <c r="B417" t="s">
        <v>1355</v>
      </c>
      <c r="C417" t="str">
        <f>LEFT(Table1[[#This Row],[EPI_DGN_ANTIC]],2)</f>
        <v>Nb</v>
      </c>
      <c r="D417" t="s">
        <v>2128</v>
      </c>
      <c r="E417" s="10">
        <v>0</v>
      </c>
      <c r="H417" s="1">
        <v>415</v>
      </c>
      <c r="I417" t="s">
        <v>2129</v>
      </c>
    </row>
    <row r="418" spans="1:9">
      <c r="A418" s="1">
        <v>416</v>
      </c>
      <c r="B418" t="s">
        <v>1355</v>
      </c>
      <c r="C418" t="str">
        <f>LEFT(Table1[[#This Row],[EPI_DGN_ANTIC]],1)</f>
        <v>E</v>
      </c>
      <c r="D418" t="s">
        <v>2130</v>
      </c>
      <c r="E418" s="10">
        <v>0</v>
      </c>
      <c r="H418" s="1">
        <v>416</v>
      </c>
      <c r="I418" t="s">
        <v>2129</v>
      </c>
    </row>
    <row r="419" spans="1:9">
      <c r="A419" s="1">
        <v>417</v>
      </c>
      <c r="B419" t="s">
        <v>1355</v>
      </c>
      <c r="C419" t="str">
        <f>LEFT(Table1[[#This Row],[EPI_DGN_ANTIC]],2)</f>
        <v>Nt</v>
      </c>
      <c r="D419" t="s">
        <v>2131</v>
      </c>
      <c r="E419" s="10">
        <v>0</v>
      </c>
      <c r="H419" s="1">
        <v>417</v>
      </c>
      <c r="I419" t="s">
        <v>2073</v>
      </c>
    </row>
    <row r="420" spans="1:9">
      <c r="A420" s="1">
        <v>418</v>
      </c>
      <c r="B420" t="str">
        <f>LEFT(Table1[[#This Row],[EPI_DGN_ANTIC]],1)</f>
        <v>O</v>
      </c>
      <c r="C420" t="str">
        <f>LEFT(Table1[[#This Row],[EPI_DGN_ANTIC]],3)</f>
        <v>ORm</v>
      </c>
      <c r="D420" t="s">
        <v>2132</v>
      </c>
      <c r="E420" s="10">
        <v>1</v>
      </c>
      <c r="F420" t="s">
        <v>1738</v>
      </c>
      <c r="H420" s="1">
        <v>418</v>
      </c>
      <c r="I420" t="s">
        <v>2073</v>
      </c>
    </row>
    <row r="421" spans="1:9">
      <c r="A421" s="1">
        <v>419</v>
      </c>
      <c r="B421" t="str">
        <f>LEFT(Table1[[#This Row],[EPI_DGN_ANTIC]],1)</f>
        <v>O</v>
      </c>
      <c r="C421" t="str">
        <f>LEFT(Table1[[#This Row],[EPI_DGN_ANTIC]],3)</f>
        <v>Orp</v>
      </c>
      <c r="D421" t="s">
        <v>2133</v>
      </c>
      <c r="E421" s="10">
        <v>0</v>
      </c>
      <c r="H421" s="1">
        <v>419</v>
      </c>
      <c r="I421" t="s">
        <v>2134</v>
      </c>
    </row>
    <row r="422" spans="1:9">
      <c r="A422" s="1">
        <v>420</v>
      </c>
      <c r="B422" t="str">
        <f>LEFT(Table1[[#This Row],[EPI_DGN_ANTIC]],1)</f>
        <v>O</v>
      </c>
      <c r="C422" t="str">
        <f>LEFT(Table1[[#This Row],[EPI_DGN_ANTIC]],3)</f>
        <v>Orp</v>
      </c>
      <c r="D422" t="s">
        <v>2135</v>
      </c>
      <c r="E422" s="10">
        <v>1</v>
      </c>
      <c r="F422" t="s">
        <v>2136</v>
      </c>
      <c r="H422" s="1">
        <v>420</v>
      </c>
      <c r="I422" t="s">
        <v>2137</v>
      </c>
    </row>
    <row r="423" spans="1:9">
      <c r="A423" s="1">
        <v>421</v>
      </c>
      <c r="B423" t="str">
        <f>LEFT(Table1[[#This Row],[EPI_DGN_ANTIC]],1)</f>
        <v>O</v>
      </c>
      <c r="C423" t="str">
        <f>LEFT(Table1[[#This Row],[EPI_DGN_ANTIC]],3)</f>
        <v>Orp</v>
      </c>
      <c r="D423" t="s">
        <v>2138</v>
      </c>
      <c r="E423" s="10">
        <v>1</v>
      </c>
      <c r="F423" t="s">
        <v>2139</v>
      </c>
      <c r="H423" s="1">
        <v>421</v>
      </c>
      <c r="I423" t="s">
        <v>1974</v>
      </c>
    </row>
    <row r="424" spans="1:9">
      <c r="A424" s="1">
        <v>422</v>
      </c>
      <c r="B424" t="s">
        <v>1632</v>
      </c>
      <c r="C424" t="s">
        <v>2133</v>
      </c>
      <c r="D424" t="s">
        <v>2140</v>
      </c>
      <c r="E424" s="10">
        <v>1</v>
      </c>
      <c r="F424" t="s">
        <v>2136</v>
      </c>
      <c r="G424" s="22" t="s">
        <v>786</v>
      </c>
      <c r="H424" s="1">
        <v>422</v>
      </c>
      <c r="I424" t="s">
        <v>1570</v>
      </c>
    </row>
    <row r="425" spans="1:9">
      <c r="A425" s="1">
        <v>423</v>
      </c>
      <c r="B425" t="s">
        <v>1632</v>
      </c>
      <c r="C425" t="s">
        <v>2133</v>
      </c>
      <c r="D425" t="s">
        <v>2141</v>
      </c>
      <c r="E425" s="10">
        <v>1</v>
      </c>
      <c r="F425" t="s">
        <v>2139</v>
      </c>
      <c r="G425" s="22" t="s">
        <v>786</v>
      </c>
      <c r="H425" s="1">
        <v>423</v>
      </c>
      <c r="I425" t="s">
        <v>2142</v>
      </c>
    </row>
    <row r="426" spans="1:9">
      <c r="A426" s="1">
        <v>424</v>
      </c>
      <c r="B426" t="str">
        <f>LEFT(Table1[[#This Row],[EPI_DGN_ANTIC]],1)</f>
        <v>O</v>
      </c>
      <c r="C426" t="str">
        <f>LEFT(Table1[[#This Row],[EPI_DGN_ANTIC]],3)</f>
        <v>Orp</v>
      </c>
      <c r="D426" t="s">
        <v>2143</v>
      </c>
      <c r="E426" s="10">
        <v>1</v>
      </c>
      <c r="F426" t="s">
        <v>2144</v>
      </c>
      <c r="H426" s="1">
        <v>424</v>
      </c>
      <c r="I426" t="s">
        <v>2145</v>
      </c>
    </row>
    <row r="427" spans="1:9">
      <c r="A427" s="1">
        <v>425</v>
      </c>
      <c r="B427" t="s">
        <v>1632</v>
      </c>
      <c r="C427" t="s">
        <v>2133</v>
      </c>
      <c r="D427" t="s">
        <v>2146</v>
      </c>
      <c r="E427" s="10">
        <v>1</v>
      </c>
      <c r="F427" t="s">
        <v>2144</v>
      </c>
      <c r="G427" s="22" t="s">
        <v>786</v>
      </c>
      <c r="H427" s="1">
        <v>425</v>
      </c>
      <c r="I427" t="s">
        <v>2147</v>
      </c>
    </row>
    <row r="428" spans="1:9">
      <c r="A428" s="1">
        <v>426</v>
      </c>
      <c r="B428" t="str">
        <f>LEFT(Table1[[#This Row],[EPI_DGN_ANTIC]],1)</f>
        <v>P</v>
      </c>
      <c r="C428" t="str">
        <f>LEFT(Table1[[#This Row],[EPI_DGN_ANTIC]],2)</f>
        <v>P</v>
      </c>
      <c r="D428" t="s">
        <v>1649</v>
      </c>
      <c r="E428" s="10">
        <v>0</v>
      </c>
      <c r="H428" s="1">
        <v>426</v>
      </c>
      <c r="I428" t="s">
        <v>2148</v>
      </c>
    </row>
    <row r="429" spans="1:9">
      <c r="A429" s="1">
        <v>427</v>
      </c>
      <c r="B429" t="str">
        <f>LEFT(Table1[[#This Row],[EPI_DGN_ANTIC]],1)</f>
        <v>P</v>
      </c>
      <c r="C429" t="str">
        <f>LEFT(Table1[[#This Row],[EPI_DGN_ANTIC]],3)</f>
        <v>PEI</v>
      </c>
      <c r="D429" t="s">
        <v>2149</v>
      </c>
      <c r="E429" s="10">
        <v>1</v>
      </c>
      <c r="F429" t="s">
        <v>50</v>
      </c>
      <c r="H429" s="1">
        <v>427</v>
      </c>
      <c r="I429" t="s">
        <v>1588</v>
      </c>
    </row>
    <row r="430" spans="1:9">
      <c r="A430" s="1">
        <v>428</v>
      </c>
      <c r="B430" t="str">
        <f>LEFT(Table1[[#This Row],[EPI_DGN_ANTIC]],1)</f>
        <v>P</v>
      </c>
      <c r="C430" t="str">
        <f>LEFT(Table1[[#This Row],[EPI_DGN_ANTIC]],2)</f>
        <v>Pm</v>
      </c>
      <c r="D430" t="s">
        <v>2150</v>
      </c>
      <c r="E430" s="10">
        <v>1</v>
      </c>
      <c r="F430" t="s">
        <v>1208</v>
      </c>
      <c r="H430" s="1">
        <v>428</v>
      </c>
      <c r="I430" t="s">
        <v>2151</v>
      </c>
    </row>
    <row r="431" spans="1:9">
      <c r="A431" s="1">
        <v>429</v>
      </c>
      <c r="B431" t="str">
        <f>LEFT(Table1[[#This Row],[EPI_DGN_ANTIC]],1)</f>
        <v>T</v>
      </c>
      <c r="C431" t="str">
        <f>LEFT(Table1[[#This Row],[EPI_DGN_ANTIC]],2)</f>
        <v>Tb</v>
      </c>
      <c r="D431" t="s">
        <v>2152</v>
      </c>
      <c r="E431" s="10">
        <v>1</v>
      </c>
      <c r="F431" t="s">
        <v>1683</v>
      </c>
      <c r="H431" s="1">
        <v>429</v>
      </c>
      <c r="I431" t="s">
        <v>2153</v>
      </c>
    </row>
    <row r="432" spans="1:9">
      <c r="A432" s="1">
        <v>430</v>
      </c>
      <c r="B432" t="str">
        <f>LEFT(Table1[[#This Row],[EPI_DGN_ANTIC]],1)</f>
        <v>T</v>
      </c>
      <c r="C432" t="str">
        <f>LEFT(Table1[[#This Row],[EPI_DGN_ANTIC]],2)</f>
        <v>Tm</v>
      </c>
      <c r="D432" t="s">
        <v>2154</v>
      </c>
      <c r="E432" s="10">
        <v>1</v>
      </c>
      <c r="F432" t="s">
        <v>1693</v>
      </c>
      <c r="H432" s="1">
        <v>430</v>
      </c>
      <c r="I432" t="s">
        <v>2155</v>
      </c>
    </row>
    <row r="433" spans="1:9">
      <c r="A433" s="1">
        <v>431</v>
      </c>
      <c r="B433" t="s">
        <v>1355</v>
      </c>
      <c r="C433" t="str">
        <f>LEFT(Table1[[#This Row],[EPI_DGN_ANTIC]],1)</f>
        <v>Z</v>
      </c>
      <c r="D433" t="s">
        <v>549</v>
      </c>
      <c r="E433" s="10">
        <v>0</v>
      </c>
      <c r="H433" s="1">
        <v>431</v>
      </c>
      <c r="I433" t="s">
        <v>2156</v>
      </c>
    </row>
    <row r="434" spans="1:9">
      <c r="A434" s="1">
        <v>432</v>
      </c>
      <c r="B434" t="s">
        <v>1355</v>
      </c>
      <c r="C434" t="str">
        <f>LEFT(Table1[[#This Row],[EPI_DGN_ANTIC]],1)</f>
        <v>Z</v>
      </c>
      <c r="D434" t="s">
        <v>553</v>
      </c>
      <c r="E434" s="10">
        <v>0</v>
      </c>
      <c r="H434" s="1">
        <v>432</v>
      </c>
      <c r="I434" t="s">
        <v>2157</v>
      </c>
    </row>
    <row r="435" spans="1:9">
      <c r="A435" s="1">
        <v>433</v>
      </c>
      <c r="B435" t="s">
        <v>1355</v>
      </c>
      <c r="C435" t="str">
        <f>LEFT(Table1[[#This Row],[EPI_DGN_ANTIC]],1)</f>
        <v>Z</v>
      </c>
      <c r="D435" t="s">
        <v>555</v>
      </c>
      <c r="E435" s="10">
        <v>0</v>
      </c>
      <c r="H435" s="1">
        <v>433</v>
      </c>
      <c r="I435" t="s">
        <v>2158</v>
      </c>
    </row>
    <row r="436" spans="1:9">
      <c r="A436" s="1">
        <v>434</v>
      </c>
      <c r="B436" t="s">
        <v>1355</v>
      </c>
      <c r="C436" t="str">
        <f>LEFT(Table1[[#This Row],[EPI_DGN_ANTIC]],1)</f>
        <v>Z</v>
      </c>
      <c r="D436" t="s">
        <v>557</v>
      </c>
      <c r="E436" s="10">
        <v>0</v>
      </c>
      <c r="H436" s="1">
        <v>434</v>
      </c>
      <c r="I436" t="s">
        <v>2159</v>
      </c>
    </row>
    <row r="437" spans="1:9">
      <c r="A437" s="1">
        <v>435</v>
      </c>
      <c r="B437" t="s">
        <v>1355</v>
      </c>
      <c r="C437" t="str">
        <f>LEFT(Table1[[#This Row],[EPI_DGN_ANTIC]],1)</f>
        <v>Z</v>
      </c>
      <c r="D437" t="s">
        <v>867</v>
      </c>
      <c r="E437" s="10">
        <v>0</v>
      </c>
      <c r="H437" s="1">
        <v>435</v>
      </c>
      <c r="I437" t="s">
        <v>2160</v>
      </c>
    </row>
    <row r="438" spans="1:9">
      <c r="A438" s="1">
        <v>436</v>
      </c>
      <c r="B438" t="str">
        <f>LEFT(Table1[[#This Row],[EPI_DGN_ANTIC]],1)</f>
        <v>Q</v>
      </c>
      <c r="C438" t="str">
        <f>LEFT(Table1[[#This Row],[EPI_DGN_ANTIC]],2)</f>
        <v>Q</v>
      </c>
      <c r="D438" t="s">
        <v>1358</v>
      </c>
      <c r="E438" s="10">
        <v>0</v>
      </c>
      <c r="H438" s="1">
        <v>436</v>
      </c>
      <c r="I438" t="s">
        <v>2161</v>
      </c>
    </row>
    <row r="439" spans="1:9">
      <c r="A439" s="1">
        <v>437</v>
      </c>
      <c r="B439" t="str">
        <f>LEFT(Table1[[#This Row],[EPI_DGN_ANTIC]],1)</f>
        <v>Q</v>
      </c>
      <c r="C439" t="str">
        <f>LEFT(Table1[[#This Row],[EPI_DGN_ANTIC]],2)</f>
        <v>Q</v>
      </c>
      <c r="D439" t="s">
        <v>1358</v>
      </c>
      <c r="E439" s="10">
        <v>0</v>
      </c>
      <c r="H439" s="1">
        <v>437</v>
      </c>
      <c r="I439" t="s">
        <v>2162</v>
      </c>
    </row>
    <row r="440" spans="1:9">
      <c r="A440" s="1">
        <v>438</v>
      </c>
      <c r="B440" t="str">
        <f>LEFT(Table1[[#This Row],[EPI_DGN_ANTIC]],1)</f>
        <v>Q</v>
      </c>
      <c r="C440" t="str">
        <f>LEFT(Table1[[#This Row],[EPI_DGN_ANTIC]],2)</f>
        <v>QH</v>
      </c>
      <c r="D440" t="s">
        <v>2163</v>
      </c>
      <c r="E440" s="10">
        <v>0</v>
      </c>
      <c r="H440" s="1">
        <v>438</v>
      </c>
      <c r="I440" t="s">
        <v>2164</v>
      </c>
    </row>
    <row r="441" spans="1:9">
      <c r="A441" s="1">
        <v>439</v>
      </c>
      <c r="B441" t="str">
        <f>LEFT(Table1[[#This Row],[EPI_DGN_ANTIC]],1)</f>
        <v>Q</v>
      </c>
      <c r="C441" t="str">
        <f>LEFT(Table1[[#This Row],[EPI_DGN_ANTIC]],2)</f>
        <v>QH</v>
      </c>
      <c r="D441" t="s">
        <v>2165</v>
      </c>
      <c r="E441" s="10">
        <v>0</v>
      </c>
      <c r="H441" s="1">
        <v>439</v>
      </c>
      <c r="I441" t="s">
        <v>2166</v>
      </c>
    </row>
    <row r="442" spans="1:9">
      <c r="A442" s="1">
        <v>440</v>
      </c>
      <c r="B442" t="str">
        <f>LEFT(Table1[[#This Row],[EPI_DGN_ANTIC]],1)</f>
        <v>Q</v>
      </c>
      <c r="C442" t="str">
        <f>LEFT(Table1[[#This Row],[EPI_DGN_ANTIC]],2)</f>
        <v>QH</v>
      </c>
      <c r="D442" t="s">
        <v>2167</v>
      </c>
      <c r="E442" s="10">
        <v>0</v>
      </c>
      <c r="H442" s="1">
        <v>440</v>
      </c>
      <c r="I442" t="s">
        <v>2168</v>
      </c>
    </row>
    <row r="443" spans="1:9">
      <c r="A443" s="1">
        <v>441</v>
      </c>
      <c r="B443" t="str">
        <f>LEFT(Table1[[#This Row],[EPI_DGN_ANTIC]],1)</f>
        <v>Q</v>
      </c>
      <c r="C443" t="str">
        <f>LEFT(Table1[[#This Row],[EPI_DGN_ANTIC]],2)</f>
        <v>QH</v>
      </c>
      <c r="D443" t="s">
        <v>2169</v>
      </c>
      <c r="E443" s="10">
        <v>0</v>
      </c>
      <c r="H443" s="1">
        <v>441</v>
      </c>
      <c r="I443" t="s">
        <v>2170</v>
      </c>
    </row>
    <row r="444" spans="1:9">
      <c r="A444" s="1">
        <v>442</v>
      </c>
      <c r="B444" t="str">
        <f>LEFT(Table1[[#This Row],[EPI_DGN_ANTIC]],1)</f>
        <v>Q</v>
      </c>
      <c r="C444" t="str">
        <f>LEFT(Table1[[#This Row],[EPI_DGN_ANTIC]],2)</f>
        <v>Qa</v>
      </c>
      <c r="D444" t="s">
        <v>1857</v>
      </c>
      <c r="E444" s="10">
        <v>0</v>
      </c>
      <c r="H444" s="1">
        <v>442</v>
      </c>
      <c r="I444" t="s">
        <v>2017</v>
      </c>
    </row>
    <row r="445" spans="1:9">
      <c r="A445" s="1">
        <v>443</v>
      </c>
      <c r="B445" t="str">
        <f>LEFT(Table1[[#This Row],[EPI_DGN_ANTIC]],1)</f>
        <v>Q</v>
      </c>
      <c r="C445" t="str">
        <f>LEFT(Table1[[#This Row],[EPI_DGN_ANTIC]],2)</f>
        <v>Qa</v>
      </c>
      <c r="D445" t="s">
        <v>2171</v>
      </c>
      <c r="E445" s="10">
        <v>0</v>
      </c>
      <c r="H445" s="1">
        <v>443</v>
      </c>
      <c r="I445" t="s">
        <v>1987</v>
      </c>
    </row>
    <row r="446" spans="1:9">
      <c r="A446" s="1">
        <v>444</v>
      </c>
      <c r="B446" t="str">
        <f>LEFT(Table1[[#This Row],[EPI_DGN_ANTIC]],1)</f>
        <v>Q</v>
      </c>
      <c r="C446" t="str">
        <f>LEFT(Table1[[#This Row],[EPI_DGN_ANTIC]],2)</f>
        <v>Q</v>
      </c>
      <c r="D446" t="s">
        <v>1358</v>
      </c>
      <c r="E446" s="10">
        <v>0</v>
      </c>
      <c r="H446" s="1">
        <v>444</v>
      </c>
      <c r="I446" t="s">
        <v>2172</v>
      </c>
    </row>
    <row r="447" spans="1:9">
      <c r="A447" s="1">
        <v>445</v>
      </c>
      <c r="B447" t="s">
        <v>1355</v>
      </c>
      <c r="C447" t="str">
        <f>LEFT(Table1[[#This Row],[EPI_DGN_ANTIC]],1)</f>
        <v>Q</v>
      </c>
      <c r="D447" t="s">
        <v>1415</v>
      </c>
      <c r="E447" s="10">
        <v>0</v>
      </c>
      <c r="H447" s="1">
        <v>445</v>
      </c>
      <c r="I447" t="s">
        <v>2173</v>
      </c>
    </row>
    <row r="448" spans="1:9">
      <c r="A448" s="1">
        <v>446</v>
      </c>
      <c r="B448" t="s">
        <v>1355</v>
      </c>
      <c r="C448" t="str">
        <f>LEFT(Table1[[#This Row],[EPI_DGN_ANTIC]],1)</f>
        <v>Q</v>
      </c>
      <c r="D448" t="s">
        <v>2174</v>
      </c>
      <c r="E448" s="10">
        <v>0</v>
      </c>
      <c r="H448" s="1">
        <v>446</v>
      </c>
      <c r="I448" t="s">
        <v>2175</v>
      </c>
    </row>
    <row r="449" spans="1:9">
      <c r="A449" s="1">
        <v>447</v>
      </c>
      <c r="B449" t="s">
        <v>1355</v>
      </c>
      <c r="C449" t="str">
        <f>LEFT(Table1[[#This Row],[EPI_DGN_ANTIC]],1)</f>
        <v>Q</v>
      </c>
      <c r="D449" t="s">
        <v>2176</v>
      </c>
      <c r="E449" s="10">
        <v>0</v>
      </c>
      <c r="H449" s="1">
        <v>447</v>
      </c>
      <c r="I449" t="s">
        <v>2177</v>
      </c>
    </row>
    <row r="450" spans="1:9">
      <c r="A450" s="1">
        <v>448</v>
      </c>
      <c r="B450" t="s">
        <v>1355</v>
      </c>
      <c r="C450" t="str">
        <f>LEFT(Table1[[#This Row],[EPI_DGN_ANTIC]],1)</f>
        <v>Q</v>
      </c>
      <c r="D450" t="s">
        <v>2178</v>
      </c>
      <c r="E450" s="10">
        <v>0</v>
      </c>
      <c r="H450" s="1">
        <v>448</v>
      </c>
      <c r="I450" t="s">
        <v>2137</v>
      </c>
    </row>
    <row r="451" spans="1:9">
      <c r="A451" s="1">
        <v>449</v>
      </c>
      <c r="B451" t="s">
        <v>1355</v>
      </c>
      <c r="C451" t="str">
        <f>LEFT(Table1[[#This Row],[EPI_DGN_ANTIC]],1)</f>
        <v>Q</v>
      </c>
      <c r="D451" t="s">
        <v>1944</v>
      </c>
      <c r="E451" s="10">
        <v>0</v>
      </c>
      <c r="H451" s="1">
        <v>449</v>
      </c>
      <c r="I451" t="s">
        <v>2179</v>
      </c>
    </row>
    <row r="452" spans="1:9">
      <c r="A452" s="1">
        <v>450</v>
      </c>
      <c r="B452" t="s">
        <v>1355</v>
      </c>
      <c r="C452" t="str">
        <f>LEFT(Table1[[#This Row],[EPI_DGN_ANTIC]],1)</f>
        <v>Q</v>
      </c>
      <c r="D452" t="s">
        <v>2180</v>
      </c>
      <c r="E452" s="10">
        <v>0</v>
      </c>
      <c r="H452" s="1">
        <v>450</v>
      </c>
      <c r="I452" t="s">
        <v>2181</v>
      </c>
    </row>
    <row r="453" spans="1:9">
      <c r="A453" s="1">
        <v>451</v>
      </c>
      <c r="B453" t="s">
        <v>1355</v>
      </c>
      <c r="C453" t="str">
        <f>LEFT(Table1[[#This Row],[EPI_DGN_ANTIC]],1)</f>
        <v>Q</v>
      </c>
      <c r="D453" t="s">
        <v>2182</v>
      </c>
      <c r="E453" s="10">
        <v>0</v>
      </c>
      <c r="H453" s="1">
        <v>451</v>
      </c>
      <c r="I453" t="s">
        <v>2183</v>
      </c>
    </row>
    <row r="454" spans="1:9">
      <c r="A454" s="1">
        <v>452</v>
      </c>
      <c r="B454" t="s">
        <v>1355</v>
      </c>
      <c r="C454" t="str">
        <f>LEFT(Table1[[#This Row],[EPI_DGN_ANTIC]],1)</f>
        <v>Q</v>
      </c>
      <c r="D454" t="s">
        <v>2184</v>
      </c>
      <c r="E454" s="10">
        <v>0</v>
      </c>
      <c r="H454" s="1">
        <v>452</v>
      </c>
      <c r="I454" t="s">
        <v>2185</v>
      </c>
    </row>
    <row r="455" spans="1:9">
      <c r="A455" s="1">
        <v>453</v>
      </c>
      <c r="B455" t="s">
        <v>1355</v>
      </c>
      <c r="C455" t="str">
        <f>LEFT(Table1[[#This Row],[EPI_DGN_ANTIC]],1)</f>
        <v>Q</v>
      </c>
      <c r="D455" t="s">
        <v>2186</v>
      </c>
      <c r="E455" s="10">
        <v>0</v>
      </c>
      <c r="H455" s="1">
        <v>453</v>
      </c>
      <c r="I455" t="s">
        <v>2007</v>
      </c>
    </row>
    <row r="456" spans="1:9">
      <c r="A456" s="1">
        <v>454</v>
      </c>
      <c r="B456" t="s">
        <v>1355</v>
      </c>
      <c r="C456" t="str">
        <f>LEFT(Table1[[#This Row],[EPI_DGN_ANTIC]],1)</f>
        <v>Q</v>
      </c>
      <c r="D456" t="s">
        <v>2187</v>
      </c>
      <c r="E456" s="10">
        <v>0</v>
      </c>
      <c r="H456" s="1">
        <v>454</v>
      </c>
      <c r="I456" t="s">
        <v>2188</v>
      </c>
    </row>
    <row r="457" spans="1:9">
      <c r="A457" s="1">
        <v>455</v>
      </c>
      <c r="B457" t="s">
        <v>1355</v>
      </c>
      <c r="C457" t="str">
        <f>LEFT(Table1[[#This Row],[EPI_DGN_ANTIC]],1)</f>
        <v>Q</v>
      </c>
      <c r="D457" t="s">
        <v>2189</v>
      </c>
      <c r="E457" s="10">
        <v>0</v>
      </c>
      <c r="H457" s="1">
        <v>455</v>
      </c>
      <c r="I457" t="s">
        <v>2162</v>
      </c>
    </row>
    <row r="458" spans="1:9">
      <c r="A458" s="1">
        <v>456</v>
      </c>
      <c r="B458" t="s">
        <v>1355</v>
      </c>
      <c r="C458" t="str">
        <f>LEFT(Table1[[#This Row],[EPI_DGN_ANTIC]],1)</f>
        <v>Q</v>
      </c>
      <c r="D458" t="s">
        <v>2190</v>
      </c>
      <c r="E458" s="10">
        <v>0</v>
      </c>
      <c r="H458" s="1">
        <v>456</v>
      </c>
      <c r="I458" t="s">
        <v>2164</v>
      </c>
    </row>
    <row r="459" spans="1:9">
      <c r="A459" s="1">
        <v>457</v>
      </c>
      <c r="B459" t="str">
        <f>LEFT(Table1[[#This Row],[EPI_DGN_ANTIC]],1)</f>
        <v>Q</v>
      </c>
      <c r="C459" t="str">
        <f>LEFT(Table1[[#This Row],[EPI_DGN_ANTIC]],2)</f>
        <v>Q</v>
      </c>
      <c r="D459" t="s">
        <v>1358</v>
      </c>
      <c r="E459" s="10">
        <v>0</v>
      </c>
      <c r="H459" s="1">
        <v>457</v>
      </c>
      <c r="I459" t="s">
        <v>2160</v>
      </c>
    </row>
    <row r="460" spans="1:9">
      <c r="A460" s="1">
        <v>458</v>
      </c>
      <c r="B460" t="s">
        <v>1355</v>
      </c>
      <c r="C460" t="str">
        <f>LEFT(Table1[[#This Row],[EPI_DGN_ANTIC]],1)</f>
        <v>Q</v>
      </c>
      <c r="D460" t="s">
        <v>2191</v>
      </c>
      <c r="E460" s="10">
        <v>0</v>
      </c>
      <c r="H460" s="1">
        <v>458</v>
      </c>
      <c r="I460" t="s">
        <v>2161</v>
      </c>
    </row>
    <row r="461" spans="1:9">
      <c r="A461" s="1">
        <v>459</v>
      </c>
      <c r="B461" t="s">
        <v>1355</v>
      </c>
      <c r="C461" t="str">
        <f>LEFT(Table1[[#This Row],[EPI_DGN_ANTIC]],1)</f>
        <v>Q</v>
      </c>
      <c r="D461" t="s">
        <v>1871</v>
      </c>
      <c r="E461" s="10">
        <v>0</v>
      </c>
      <c r="H461" s="1">
        <v>459</v>
      </c>
      <c r="I461" t="s">
        <v>2033</v>
      </c>
    </row>
    <row r="462" spans="1:9">
      <c r="A462" s="1">
        <v>460</v>
      </c>
      <c r="B462" t="s">
        <v>1355</v>
      </c>
      <c r="C462" t="str">
        <f>LEFT(Table1[[#This Row],[EPI_DGN_ANTIC]],1)</f>
        <v>Q</v>
      </c>
      <c r="D462" t="s">
        <v>2192</v>
      </c>
      <c r="E462" s="10">
        <v>0</v>
      </c>
      <c r="H462" s="1">
        <v>460</v>
      </c>
      <c r="I462" t="s">
        <v>2035</v>
      </c>
    </row>
    <row r="463" spans="1:9">
      <c r="A463" s="1">
        <v>461</v>
      </c>
      <c r="B463" t="s">
        <v>1355</v>
      </c>
      <c r="C463" t="str">
        <f>LEFT(Table1[[#This Row],[EPI_DGN_ANTIC]],1)</f>
        <v>Q</v>
      </c>
      <c r="D463" t="s">
        <v>2193</v>
      </c>
      <c r="E463" s="10">
        <v>0</v>
      </c>
      <c r="H463" s="1">
        <v>461</v>
      </c>
      <c r="I463" t="s">
        <v>2160</v>
      </c>
    </row>
    <row r="464" spans="1:9">
      <c r="A464" s="1">
        <v>462</v>
      </c>
      <c r="B464" t="s">
        <v>1355</v>
      </c>
      <c r="C464" t="str">
        <f>LEFT(Table1[[#This Row],[EPI_DGN_ANTIC]],1)</f>
        <v>Q</v>
      </c>
      <c r="D464" t="s">
        <v>2194</v>
      </c>
      <c r="E464" s="10">
        <v>0</v>
      </c>
      <c r="H464" s="1">
        <v>462</v>
      </c>
      <c r="I464" t="s">
        <v>2161</v>
      </c>
    </row>
    <row r="465" spans="1:9">
      <c r="A465" s="1">
        <v>463</v>
      </c>
      <c r="B465" t="s">
        <v>1355</v>
      </c>
      <c r="C465" t="str">
        <f>LEFT(Table1[[#This Row],[EPI_DGN_ANTIC]],1)</f>
        <v>Q</v>
      </c>
      <c r="D465" t="s">
        <v>2195</v>
      </c>
      <c r="E465" s="10">
        <v>0</v>
      </c>
      <c r="H465" s="1">
        <v>463</v>
      </c>
      <c r="I465" t="s">
        <v>2162</v>
      </c>
    </row>
    <row r="466" spans="1:9">
      <c r="A466" s="1">
        <v>464</v>
      </c>
      <c r="B466" t="s">
        <v>1355</v>
      </c>
      <c r="C466" t="str">
        <f>LEFT(Table1[[#This Row],[EPI_DGN_ANTIC]],1)</f>
        <v>Q</v>
      </c>
      <c r="D466" t="s">
        <v>2196</v>
      </c>
      <c r="E466" s="10">
        <v>0</v>
      </c>
      <c r="H466" s="1">
        <v>464</v>
      </c>
      <c r="I466" t="s">
        <v>2164</v>
      </c>
    </row>
    <row r="467" spans="1:9">
      <c r="A467" s="1">
        <v>465</v>
      </c>
      <c r="B467" t="s">
        <v>1355</v>
      </c>
      <c r="C467" t="str">
        <f>LEFT(Table1[[#This Row],[EPI_DGN_ANTIC]],1)</f>
        <v>Q</v>
      </c>
      <c r="D467" t="s">
        <v>2197</v>
      </c>
      <c r="E467" s="10">
        <v>0</v>
      </c>
      <c r="H467" s="1">
        <v>465</v>
      </c>
      <c r="I467" t="s">
        <v>2166</v>
      </c>
    </row>
    <row r="468" spans="1:9">
      <c r="A468" s="1">
        <v>466</v>
      </c>
      <c r="B468" t="s">
        <v>1355</v>
      </c>
      <c r="C468" t="str">
        <f>LEFT(Table1[[#This Row],[EPI_DGN_ANTIC]],1)</f>
        <v>Q</v>
      </c>
      <c r="D468" t="s">
        <v>2198</v>
      </c>
      <c r="E468" s="10">
        <v>0</v>
      </c>
      <c r="H468" s="1">
        <v>466</v>
      </c>
      <c r="I468" t="s">
        <v>2199</v>
      </c>
    </row>
    <row r="469" spans="1:9">
      <c r="A469" s="1">
        <v>467</v>
      </c>
      <c r="B469" t="s">
        <v>1355</v>
      </c>
      <c r="C469" t="str">
        <f>LEFT(Table1[[#This Row],[EPI_DGN_ANTIC]],1)</f>
        <v>Q</v>
      </c>
      <c r="D469" t="s">
        <v>2200</v>
      </c>
      <c r="E469" s="10">
        <v>0</v>
      </c>
      <c r="H469" s="1">
        <v>467</v>
      </c>
      <c r="I469" t="s">
        <v>2177</v>
      </c>
    </row>
    <row r="470" spans="1:9">
      <c r="A470" s="1">
        <v>468</v>
      </c>
      <c r="B470" t="s">
        <v>1355</v>
      </c>
      <c r="C470" t="str">
        <f>LEFT(Table1[[#This Row],[EPI_DGN_ANTIC]],1)</f>
        <v>Q</v>
      </c>
      <c r="D470" t="s">
        <v>1937</v>
      </c>
      <c r="E470" s="10">
        <v>0</v>
      </c>
      <c r="H470" s="1">
        <v>468</v>
      </c>
      <c r="I470" t="s">
        <v>998</v>
      </c>
    </row>
    <row r="471" spans="1:9">
      <c r="A471" s="1">
        <v>469</v>
      </c>
      <c r="B471" t="str">
        <f>LEFT(Table1[[#This Row],[EPI_DGN_ANTIC]],1)</f>
        <v>Q</v>
      </c>
      <c r="C471" t="str">
        <f>LEFT(Table1[[#This Row],[EPI_DGN_ANTIC]],2)</f>
        <v>QH</v>
      </c>
      <c r="D471" t="s">
        <v>2201</v>
      </c>
      <c r="E471" s="10">
        <v>1</v>
      </c>
      <c r="F471" t="s">
        <v>2202</v>
      </c>
      <c r="H471" s="1">
        <v>469</v>
      </c>
      <c r="I471" t="s">
        <v>2203</v>
      </c>
    </row>
    <row r="472" spans="1:9">
      <c r="A472" s="1">
        <v>470</v>
      </c>
      <c r="B472" t="str">
        <f>LEFT(Table1[[#This Row],[EPI_DGN_ANTIC]],1)</f>
        <v>Q</v>
      </c>
      <c r="C472" t="str">
        <f>LEFT(Table1[[#This Row],[EPI_DGN_ANTIC]],2)</f>
        <v>QH</v>
      </c>
      <c r="D472" t="s">
        <v>2204</v>
      </c>
      <c r="E472" s="10">
        <v>1</v>
      </c>
      <c r="F472" t="s">
        <v>2205</v>
      </c>
      <c r="H472" s="1">
        <v>470</v>
      </c>
      <c r="I472" t="s">
        <v>2206</v>
      </c>
    </row>
    <row r="473" spans="1:9">
      <c r="A473" s="1">
        <v>471</v>
      </c>
      <c r="B473" t="str">
        <f>LEFT(Table1[[#This Row],[EPI_DGN_ANTIC]],1)</f>
        <v>Q</v>
      </c>
      <c r="C473" t="str">
        <f>LEFT(Table1[[#This Row],[EPI_DGN_ANTIC]],2)</f>
        <v>QH</v>
      </c>
      <c r="D473" t="s">
        <v>2207</v>
      </c>
      <c r="E473" s="10">
        <v>1</v>
      </c>
      <c r="F473" t="s">
        <v>2208</v>
      </c>
      <c r="H473" s="1">
        <v>471</v>
      </c>
      <c r="I473" t="s">
        <v>1380</v>
      </c>
    </row>
    <row r="474" spans="1:9">
      <c r="A474" s="1">
        <v>472</v>
      </c>
      <c r="B474" t="str">
        <f>LEFT(Table1[[#This Row],[EPI_DGN_ANTIC]],1)</f>
        <v>Q</v>
      </c>
      <c r="C474" t="str">
        <f>LEFT(Table1[[#This Row],[EPI_DGN_ANTIC]],2)</f>
        <v>QH</v>
      </c>
      <c r="D474" t="s">
        <v>2209</v>
      </c>
      <c r="E474" s="10">
        <v>1</v>
      </c>
      <c r="F474" t="s">
        <v>2210</v>
      </c>
      <c r="H474" s="1">
        <v>472</v>
      </c>
      <c r="I474" t="s">
        <v>2211</v>
      </c>
    </row>
    <row r="475" spans="1:9">
      <c r="A475" s="1">
        <v>473</v>
      </c>
      <c r="B475" t="str">
        <f>LEFT(Table1[[#This Row],[EPI_DGN_ANTIC]],1)</f>
        <v>Q</v>
      </c>
      <c r="C475" t="str">
        <f>LEFT(Table1[[#This Row],[EPI_DGN_ANTIC]],2)</f>
        <v>QH</v>
      </c>
      <c r="D475" t="s">
        <v>2212</v>
      </c>
      <c r="E475" s="10">
        <v>1</v>
      </c>
      <c r="F475" t="s">
        <v>2213</v>
      </c>
      <c r="H475" s="1">
        <v>473</v>
      </c>
      <c r="I475" t="s">
        <v>1391</v>
      </c>
    </row>
    <row r="476" spans="1:9">
      <c r="A476" s="1">
        <v>474</v>
      </c>
      <c r="B476" t="str">
        <f>LEFT(Table1[[#This Row],[EPI_DGN_ANTIC]],1)</f>
        <v>Q</v>
      </c>
      <c r="C476" t="str">
        <f>LEFT(Table1[[#This Row],[EPI_DGN_ANTIC]],2)</f>
        <v>QH</v>
      </c>
      <c r="D476" t="s">
        <v>2214</v>
      </c>
      <c r="E476" s="10">
        <v>1</v>
      </c>
      <c r="F476" t="s">
        <v>2215</v>
      </c>
      <c r="H476" s="1">
        <v>474</v>
      </c>
      <c r="I476" t="s">
        <v>2216</v>
      </c>
    </row>
    <row r="477" spans="1:9">
      <c r="A477" s="1">
        <v>475</v>
      </c>
      <c r="B477" t="str">
        <f>LEFT(Table1[[#This Row],[EPI_DGN_ANTIC]],1)</f>
        <v>Q</v>
      </c>
      <c r="C477" t="str">
        <f>LEFT(Table1[[#This Row],[EPI_DGN_ANTIC]],2)</f>
        <v>QH</v>
      </c>
      <c r="D477" t="s">
        <v>2217</v>
      </c>
      <c r="E477" s="10">
        <v>1</v>
      </c>
      <c r="F477" t="s">
        <v>2210</v>
      </c>
      <c r="H477" s="1">
        <v>475</v>
      </c>
      <c r="I477" t="s">
        <v>1364</v>
      </c>
    </row>
    <row r="478" spans="1:9">
      <c r="A478" s="1">
        <v>476</v>
      </c>
      <c r="B478" t="str">
        <f>LEFT(Table1[[#This Row],[EPI_DGN_ANTIC]],1)</f>
        <v>Q</v>
      </c>
      <c r="C478" t="str">
        <f>LEFT(Table1[[#This Row],[EPI_DGN_ANTIC]],2)</f>
        <v>QH</v>
      </c>
      <c r="D478" t="s">
        <v>2218</v>
      </c>
      <c r="E478" s="10">
        <v>1</v>
      </c>
      <c r="F478" t="s">
        <v>2219</v>
      </c>
      <c r="H478" s="1">
        <v>476</v>
      </c>
      <c r="I478" t="s">
        <v>2220</v>
      </c>
    </row>
    <row r="479" spans="1:9">
      <c r="A479" s="1">
        <v>477</v>
      </c>
      <c r="B479" t="str">
        <f>LEFT(Table1[[#This Row],[EPI_DGN_ANTIC]],1)</f>
        <v>Q</v>
      </c>
      <c r="C479" t="str">
        <f>LEFT(Table1[[#This Row],[EPI_DGN_ANTIC]],2)</f>
        <v>QH</v>
      </c>
      <c r="D479" t="s">
        <v>2221</v>
      </c>
      <c r="E479" s="10">
        <v>1</v>
      </c>
      <c r="F479" t="s">
        <v>1514</v>
      </c>
      <c r="H479" s="1">
        <v>477</v>
      </c>
      <c r="I479" t="s">
        <v>2222</v>
      </c>
    </row>
    <row r="480" spans="1:9">
      <c r="A480" s="1">
        <v>478</v>
      </c>
      <c r="B480" t="str">
        <f>LEFT(Table1[[#This Row],[EPI_DGN_ANTIC]],1)</f>
        <v>Q</v>
      </c>
      <c r="C480" t="str">
        <f>LEFT(Table1[[#This Row],[EPI_DGN_ANTIC]],2)</f>
        <v>Q</v>
      </c>
      <c r="D480" t="s">
        <v>1358</v>
      </c>
      <c r="E480" s="10">
        <v>0</v>
      </c>
      <c r="H480" s="1">
        <v>478</v>
      </c>
      <c r="I480" t="s">
        <v>1414</v>
      </c>
    </row>
    <row r="481" spans="1:9">
      <c r="A481" s="1">
        <v>479</v>
      </c>
      <c r="B481" t="str">
        <f>LEFT(Table1[[#This Row],[EPI_DGN_ANTIC]],1)</f>
        <v>Q</v>
      </c>
      <c r="C481" t="str">
        <f>LEFT(Table1[[#This Row],[EPI_DGN_ANTIC]],3)</f>
        <v>QPa</v>
      </c>
      <c r="D481" t="s">
        <v>2223</v>
      </c>
      <c r="E481" s="10">
        <v>0</v>
      </c>
      <c r="H481" s="1">
        <v>479</v>
      </c>
      <c r="I481" t="s">
        <v>2224</v>
      </c>
    </row>
    <row r="482" spans="1:9">
      <c r="A482" s="1">
        <v>480</v>
      </c>
      <c r="B482" t="str">
        <f>LEFT(Table1[[#This Row],[EPI_DGN_ANTIC]],1)</f>
        <v>Q</v>
      </c>
      <c r="C482" t="str">
        <f>LEFT(Table1[[#This Row],[EPI_DGN_ANTIC]],3)</f>
        <v>QPg</v>
      </c>
      <c r="D482" t="s">
        <v>2225</v>
      </c>
      <c r="E482" s="10">
        <v>0</v>
      </c>
      <c r="H482" s="1">
        <v>480</v>
      </c>
      <c r="I482" t="s">
        <v>1424</v>
      </c>
    </row>
    <row r="483" spans="1:9">
      <c r="A483" s="1">
        <v>481</v>
      </c>
      <c r="B483" t="str">
        <f>LEFT(Table1[[#This Row],[EPI_DGN_ANTIC]],1)</f>
        <v>Q</v>
      </c>
      <c r="C483" t="str">
        <f>LEFT(Table1[[#This Row],[EPI_DGN_ANTIC]],3)</f>
        <v>QPl</v>
      </c>
      <c r="D483" t="s">
        <v>2226</v>
      </c>
      <c r="E483" s="10">
        <v>0</v>
      </c>
      <c r="H483" s="1">
        <v>481</v>
      </c>
      <c r="I483" t="s">
        <v>2227</v>
      </c>
    </row>
    <row r="484" spans="1:9">
      <c r="A484" s="1">
        <v>482</v>
      </c>
      <c r="B484" t="str">
        <f>LEFT(Table1[[#This Row],[EPI_DGN_ANTIC]],1)</f>
        <v>Q</v>
      </c>
      <c r="C484" t="str">
        <f>LEFT(Table1[[#This Row],[EPI_DGN_ANTIC]],3)</f>
        <v>QPt</v>
      </c>
      <c r="D484" t="s">
        <v>2228</v>
      </c>
      <c r="E484" s="10">
        <v>0</v>
      </c>
      <c r="H484" s="1">
        <v>482</v>
      </c>
      <c r="I484" t="s">
        <v>2227</v>
      </c>
    </row>
    <row r="485" spans="1:9">
      <c r="A485" s="1">
        <v>483</v>
      </c>
      <c r="B485" t="str">
        <f>LEFT(Table1[[#This Row],[EPI_DGN_ANTIC]],1)</f>
        <v>Q</v>
      </c>
      <c r="C485" t="str">
        <f>LEFT(Table1[[#This Row],[EPI_DGN_ANTIC]],3)</f>
        <v>QPa</v>
      </c>
      <c r="D485" t="s">
        <v>2229</v>
      </c>
      <c r="E485" s="10">
        <v>1</v>
      </c>
      <c r="F485" t="s">
        <v>2230</v>
      </c>
      <c r="H485" s="1">
        <v>483</v>
      </c>
      <c r="I485" t="s">
        <v>1364</v>
      </c>
    </row>
    <row r="486" spans="1:9">
      <c r="A486" s="1">
        <v>484</v>
      </c>
      <c r="B486" t="str">
        <f>LEFT(Table1[[#This Row],[EPI_DGN_ANTIC]],1)</f>
        <v>Q</v>
      </c>
      <c r="C486" t="str">
        <f>LEFT(Table1[[#This Row],[EPI_DGN_ANTIC]],3)</f>
        <v>QPv</v>
      </c>
      <c r="D486" t="s">
        <v>2231</v>
      </c>
      <c r="E486" s="10">
        <v>0</v>
      </c>
      <c r="H486" s="1">
        <v>484</v>
      </c>
      <c r="I486" t="s">
        <v>2232</v>
      </c>
    </row>
    <row r="487" spans="1:9">
      <c r="A487" s="1">
        <v>485</v>
      </c>
      <c r="B487" t="str">
        <f>LEFT(Table1[[#This Row],[EPI_DGN_ANTIC]],1)</f>
        <v>Q</v>
      </c>
      <c r="C487" t="str">
        <f>LEFT(Table1[[#This Row],[EPI_DGN_ANTIC]],3)</f>
        <v>QPg</v>
      </c>
      <c r="D487" t="s">
        <v>2233</v>
      </c>
      <c r="E487" s="10">
        <v>1</v>
      </c>
      <c r="F487" t="s">
        <v>2234</v>
      </c>
      <c r="H487" s="1">
        <v>485</v>
      </c>
      <c r="I487" t="s">
        <v>2232</v>
      </c>
    </row>
    <row r="488" spans="1:9">
      <c r="A488" s="1">
        <v>486</v>
      </c>
      <c r="B488" t="str">
        <f>LEFT(Table1[[#This Row],[EPI_DGN_ANTIC]],1)</f>
        <v>Q</v>
      </c>
      <c r="C488" t="str">
        <f>LEFT(Table1[[#This Row],[EPI_DGN_ANTIC]],3)</f>
        <v>QPg</v>
      </c>
      <c r="D488" t="s">
        <v>2235</v>
      </c>
      <c r="E488" s="10">
        <v>1</v>
      </c>
      <c r="F488" t="s">
        <v>2236</v>
      </c>
      <c r="H488" s="1">
        <v>486</v>
      </c>
      <c r="I488" t="s">
        <v>2237</v>
      </c>
    </row>
    <row r="489" spans="1:9">
      <c r="A489" s="1">
        <v>487</v>
      </c>
      <c r="B489" t="str">
        <f>LEFT(Table1[[#This Row],[EPI_DGN_ANTIC]],1)</f>
        <v>Q</v>
      </c>
      <c r="C489" t="str">
        <f>LEFT(Table1[[#This Row],[EPI_DGN_ANTIC]],3)</f>
        <v>QPg</v>
      </c>
      <c r="D489" t="s">
        <v>2238</v>
      </c>
      <c r="E489" s="10">
        <v>1</v>
      </c>
      <c r="F489" t="s">
        <v>2239</v>
      </c>
      <c r="H489" s="1">
        <v>487</v>
      </c>
      <c r="I489" t="s">
        <v>2240</v>
      </c>
    </row>
    <row r="490" spans="1:9">
      <c r="A490" s="1">
        <v>488</v>
      </c>
      <c r="B490" t="str">
        <f>LEFT(Table1[[#This Row],[EPI_DGN_ANTIC]],1)</f>
        <v>Q</v>
      </c>
      <c r="C490" t="str">
        <f>LEFT(Table1[[#This Row],[EPI_DGN_ANTIC]],3)</f>
        <v>QPg</v>
      </c>
      <c r="D490" t="s">
        <v>2241</v>
      </c>
      <c r="E490" s="10">
        <v>1</v>
      </c>
      <c r="F490" t="s">
        <v>1472</v>
      </c>
      <c r="H490" s="1">
        <v>488</v>
      </c>
      <c r="I490" t="s">
        <v>1942</v>
      </c>
    </row>
    <row r="491" spans="1:9">
      <c r="A491" s="1">
        <v>489</v>
      </c>
      <c r="B491" t="str">
        <f>LEFT(Table1[[#This Row],[EPI_DGN_ANTIC]],1)</f>
        <v>Q</v>
      </c>
      <c r="C491" t="str">
        <f>LEFT(Table1[[#This Row],[EPI_DGN_ANTIC]],3)</f>
        <v>QPl</v>
      </c>
      <c r="D491" t="s">
        <v>2242</v>
      </c>
      <c r="E491" s="10">
        <v>1</v>
      </c>
      <c r="F491" t="s">
        <v>2202</v>
      </c>
      <c r="H491" s="1">
        <v>489</v>
      </c>
      <c r="I491" t="s">
        <v>1360</v>
      </c>
    </row>
    <row r="492" spans="1:9">
      <c r="A492" s="1">
        <v>490</v>
      </c>
      <c r="B492" t="str">
        <f>LEFT(Table1[[#This Row],[EPI_DGN_ANTIC]],1)</f>
        <v>Q</v>
      </c>
      <c r="C492" t="str">
        <f>LEFT(Table1[[#This Row],[EPI_DGN_ANTIC]],3)</f>
        <v>QPt</v>
      </c>
      <c r="D492" t="s">
        <v>2243</v>
      </c>
      <c r="E492" s="10">
        <v>1</v>
      </c>
      <c r="F492" t="s">
        <v>2234</v>
      </c>
      <c r="H492" s="1">
        <v>490</v>
      </c>
      <c r="I492" t="s">
        <v>947</v>
      </c>
    </row>
    <row r="493" spans="1:9">
      <c r="A493" s="1">
        <v>491</v>
      </c>
      <c r="B493" t="str">
        <f>LEFT(Table1[[#This Row],[EPI_DGN_ANTIC]],1)</f>
        <v>Q</v>
      </c>
      <c r="C493" t="str">
        <f>LEFT(Table1[[#This Row],[EPI_DGN_ANTIC]],3)</f>
        <v>QPt</v>
      </c>
      <c r="D493" t="s">
        <v>2244</v>
      </c>
      <c r="E493" s="10">
        <v>1</v>
      </c>
      <c r="F493" t="s">
        <v>2236</v>
      </c>
      <c r="H493" s="1">
        <v>491</v>
      </c>
      <c r="I493" t="s">
        <v>947</v>
      </c>
    </row>
    <row r="494" spans="1:9">
      <c r="A494" s="1">
        <v>492</v>
      </c>
      <c r="B494" t="str">
        <f>LEFT(Table1[[#This Row],[EPI_DGN_ANTIC]],1)</f>
        <v>Q</v>
      </c>
      <c r="C494" t="str">
        <f>LEFT(Table1[[#This Row],[EPI_DGN_ANTIC]],3)</f>
        <v>QPt</v>
      </c>
      <c r="D494" t="s">
        <v>2245</v>
      </c>
      <c r="E494" s="10">
        <v>1</v>
      </c>
      <c r="F494" t="s">
        <v>2239</v>
      </c>
      <c r="H494" s="1">
        <v>492</v>
      </c>
      <c r="I494" t="s">
        <v>707</v>
      </c>
    </row>
    <row r="495" spans="1:9">
      <c r="A495" s="1">
        <v>493</v>
      </c>
      <c r="B495" t="str">
        <f>LEFT(Table1[[#This Row],[EPI_DGN_ANTIC]],1)</f>
        <v>Q</v>
      </c>
      <c r="C495" t="str">
        <f>LEFT(Table1[[#This Row],[EPI_DGN_ANTIC]],3)</f>
        <v>QPt</v>
      </c>
      <c r="D495" t="s">
        <v>2246</v>
      </c>
      <c r="E495" s="10">
        <v>1</v>
      </c>
      <c r="F495" t="s">
        <v>1472</v>
      </c>
      <c r="H495" s="1">
        <v>493</v>
      </c>
      <c r="I495" t="s">
        <v>1411</v>
      </c>
    </row>
    <row r="496" spans="1:9">
      <c r="A496" s="1">
        <v>494</v>
      </c>
      <c r="B496" t="str">
        <f>LEFT(Table1[[#This Row],[EPI_DGN_ANTIC]],1)</f>
        <v>Q</v>
      </c>
      <c r="C496" t="str">
        <f>LEFT(Table1[[#This Row],[EPI_DGN_ANTIC]],3)</f>
        <v>QPv</v>
      </c>
      <c r="D496" t="s">
        <v>2247</v>
      </c>
      <c r="E496" s="10">
        <v>1</v>
      </c>
      <c r="F496" t="s">
        <v>2239</v>
      </c>
      <c r="H496" s="1">
        <v>494</v>
      </c>
      <c r="I496" t="s">
        <v>1416</v>
      </c>
    </row>
    <row r="497" spans="1:9">
      <c r="A497" s="1">
        <v>495</v>
      </c>
      <c r="B497" t="str">
        <f>LEFT(Table1[[#This Row],[EPI_DGN_ANTIC]],1)</f>
        <v>Q</v>
      </c>
      <c r="C497" t="str">
        <f>LEFT(Table1[[#This Row],[EPI_DGN_ANTIC]],2)</f>
        <v>Q</v>
      </c>
      <c r="D497" t="s">
        <v>1358</v>
      </c>
      <c r="E497" s="10">
        <v>0</v>
      </c>
      <c r="H497" s="1">
        <v>495</v>
      </c>
      <c r="I497" t="s">
        <v>2248</v>
      </c>
    </row>
    <row r="498" spans="1:9">
      <c r="A498" s="1">
        <v>496</v>
      </c>
      <c r="B498" t="str">
        <f>LEFT(Table1[[#This Row],[EPI_DGN_ANTIC]],1)</f>
        <v>Q</v>
      </c>
      <c r="C498" t="str">
        <f>LEFT(Table1[[#This Row],[EPI_DGN_ANTIC]],2)</f>
        <v>QH</v>
      </c>
      <c r="D498" t="s">
        <v>2249</v>
      </c>
      <c r="E498" s="10">
        <v>1</v>
      </c>
      <c r="F498" t="s">
        <v>2250</v>
      </c>
      <c r="H498" s="1">
        <v>496</v>
      </c>
      <c r="I498" t="s">
        <v>1487</v>
      </c>
    </row>
    <row r="499" spans="1:9">
      <c r="A499" s="1">
        <v>497</v>
      </c>
      <c r="B499" t="str">
        <f>LEFT(Table1[[#This Row],[EPI_DGN_ANTIC]],1)</f>
        <v>N</v>
      </c>
      <c r="C499" t="str">
        <f>LEFT(Table1[[#This Row],[EPI_DGN_ANTIC]],3)</f>
        <v>NMc</v>
      </c>
      <c r="D499" t="s">
        <v>2251</v>
      </c>
      <c r="E499" s="10">
        <v>1</v>
      </c>
      <c r="F499" t="s">
        <v>2252</v>
      </c>
      <c r="H499" s="1">
        <v>497</v>
      </c>
      <c r="I499" t="s">
        <v>1491</v>
      </c>
    </row>
    <row r="500" spans="1:9">
      <c r="A500" s="1">
        <v>498</v>
      </c>
      <c r="B500" t="str">
        <f>LEFT(Table1[[#This Row],[EPI_DGN_ANTIC]],1)</f>
        <v>O</v>
      </c>
      <c r="C500" t="str">
        <f>LEFT(Table1[[#This Row],[EPI_DGN_ANTIC]],2)</f>
        <v>OR</v>
      </c>
      <c r="D500" t="s">
        <v>2253</v>
      </c>
      <c r="E500" s="10">
        <v>1</v>
      </c>
      <c r="F500" t="s">
        <v>2254</v>
      </c>
      <c r="H500" s="1">
        <v>498</v>
      </c>
      <c r="I500" t="s">
        <v>990</v>
      </c>
    </row>
    <row r="501" spans="1:9">
      <c r="A501" s="1">
        <v>499</v>
      </c>
      <c r="B501" t="str">
        <f>LEFT(Table1[[#This Row],[EPI_DGN_ANTIC]],1)</f>
        <v>O</v>
      </c>
      <c r="C501" t="str">
        <f>LEFT(Table1[[#This Row],[EPI_DGN_ANTIC]],2)</f>
        <v>OR</v>
      </c>
      <c r="D501" t="s">
        <v>2255</v>
      </c>
      <c r="E501" s="10">
        <v>1</v>
      </c>
      <c r="F501" t="s">
        <v>2256</v>
      </c>
      <c r="H501" s="1">
        <v>499</v>
      </c>
      <c r="I501" t="s">
        <v>1522</v>
      </c>
    </row>
    <row r="502" spans="1:9">
      <c r="A502" s="1">
        <v>500</v>
      </c>
      <c r="B502" t="str">
        <f>LEFT(Table1[[#This Row],[EPI_DGN_ANTIC]],1)</f>
        <v>O</v>
      </c>
      <c r="C502" t="str">
        <f>LEFT(Table1[[#This Row],[EPI_DGN_ANTIC]],2)</f>
        <v>OR</v>
      </c>
      <c r="D502" t="s">
        <v>2257</v>
      </c>
      <c r="E502" s="10">
        <v>1</v>
      </c>
      <c r="F502" t="s">
        <v>2258</v>
      </c>
      <c r="H502" s="1">
        <v>500</v>
      </c>
      <c r="I502" t="s">
        <v>1522</v>
      </c>
    </row>
    <row r="503" spans="1:9">
      <c r="A503" s="1">
        <v>501</v>
      </c>
      <c r="B503" t="str">
        <f>LEFT(Table1[[#This Row],[EPI_DGN_ANTIC]],1)</f>
        <v>O</v>
      </c>
      <c r="C503" t="str">
        <f>LEFT(Table1[[#This Row],[EPI_DGN_ANTIC]],2)</f>
        <v>OR</v>
      </c>
      <c r="D503" t="s">
        <v>2259</v>
      </c>
      <c r="E503" s="10">
        <v>1</v>
      </c>
      <c r="F503" t="s">
        <v>2260</v>
      </c>
      <c r="H503" s="1">
        <v>501</v>
      </c>
      <c r="I503" t="s">
        <v>1522</v>
      </c>
    </row>
    <row r="504" spans="1:9">
      <c r="A504" s="1">
        <v>502</v>
      </c>
      <c r="B504" t="str">
        <f>LEFT(Table1[[#This Row],[EPI_DGN_ANTIC]],1)</f>
        <v>O</v>
      </c>
      <c r="C504" t="str">
        <f>LEFT(Table1[[#This Row],[EPI_DGN_ANTIC]],2)</f>
        <v>OR</v>
      </c>
      <c r="D504" t="s">
        <v>2261</v>
      </c>
      <c r="E504" s="10">
        <v>1</v>
      </c>
      <c r="F504" t="s">
        <v>2262</v>
      </c>
      <c r="H504" s="1">
        <v>502</v>
      </c>
      <c r="I504" t="s">
        <v>2263</v>
      </c>
    </row>
    <row r="505" spans="1:9">
      <c r="A505" s="1">
        <v>503</v>
      </c>
      <c r="B505" t="str">
        <f>LEFT(Table1[[#This Row],[EPI_DGN_ANTIC]],1)</f>
        <v>Q</v>
      </c>
      <c r="C505" t="str">
        <f>LEFT(Table1[[#This Row],[EPI_DGN_ANTIC]],4)</f>
        <v>QPHe</v>
      </c>
      <c r="D505" t="s">
        <v>2264</v>
      </c>
      <c r="E505" s="10">
        <v>0</v>
      </c>
      <c r="H505" s="1">
        <v>503</v>
      </c>
      <c r="I505" t="s">
        <v>2265</v>
      </c>
    </row>
    <row r="506" spans="1:9">
      <c r="A506" s="1">
        <v>504</v>
      </c>
      <c r="B506" t="str">
        <f>LEFT(Table1[[#This Row],[EPI_DGN_ANTIC]],1)</f>
        <v>Q</v>
      </c>
      <c r="C506" t="str">
        <f>LEFT(Table1[[#This Row],[EPI_DGN_ANTIC]],4)</f>
        <v>QPHe</v>
      </c>
      <c r="D506" t="s">
        <v>2266</v>
      </c>
      <c r="E506" s="10">
        <v>1</v>
      </c>
      <c r="F506" t="s">
        <v>2267</v>
      </c>
      <c r="H506" s="1">
        <v>504</v>
      </c>
      <c r="I506" t="s">
        <v>2096</v>
      </c>
    </row>
    <row r="507" spans="1:9">
      <c r="A507" s="1">
        <v>505</v>
      </c>
      <c r="B507" t="str">
        <f>LEFT(Table1[[#This Row],[EPI_DGN_ANTIC]],1)</f>
        <v>Q</v>
      </c>
      <c r="C507" t="str">
        <f>LEFT(Table1[[#This Row],[EPI_DGN_ANTIC]],3)</f>
        <v>QPl</v>
      </c>
      <c r="D507" t="s">
        <v>2268</v>
      </c>
      <c r="E507" s="10">
        <v>1</v>
      </c>
      <c r="F507" t="s">
        <v>1377</v>
      </c>
      <c r="H507" s="1">
        <v>505</v>
      </c>
      <c r="I507" t="s">
        <v>2096</v>
      </c>
    </row>
    <row r="508" spans="1:9">
      <c r="A508" s="1">
        <v>506</v>
      </c>
      <c r="B508" t="str">
        <f>LEFT(Table1[[#This Row],[EPI_DGN_ANTIC]],1)</f>
        <v>Q</v>
      </c>
      <c r="C508" t="str">
        <f>LEFT(Table1[[#This Row],[EPI_DGN_ANTIC]],3)</f>
        <v>QPv</v>
      </c>
      <c r="D508" t="s">
        <v>2269</v>
      </c>
      <c r="E508" s="10">
        <v>1</v>
      </c>
      <c r="F508" t="s">
        <v>1472</v>
      </c>
      <c r="H508" s="1">
        <v>506</v>
      </c>
      <c r="I508" t="s">
        <v>1850</v>
      </c>
    </row>
    <row r="509" spans="1:9">
      <c r="A509" s="1">
        <v>507</v>
      </c>
      <c r="B509" t="s">
        <v>1355</v>
      </c>
      <c r="C509" t="str">
        <f>LEFT(Table1[[#This Row],[EPI_DGN_ANTIC]],1)</f>
        <v>Q</v>
      </c>
      <c r="D509" t="s">
        <v>2270</v>
      </c>
      <c r="E509" s="10">
        <v>0</v>
      </c>
      <c r="H509" s="1">
        <v>507</v>
      </c>
      <c r="I509" t="s">
        <v>2271</v>
      </c>
    </row>
    <row r="510" spans="1:9">
      <c r="A510" s="1">
        <v>508</v>
      </c>
      <c r="B510" t="str">
        <f>LEFT(Table1[[#This Row],[EPI_DGN_ANTIC]],1)</f>
        <v>Q</v>
      </c>
      <c r="C510" t="str">
        <f>LEFT(Table1[[#This Row],[EPI_DGN_ANTIC]],3)</f>
        <v>QPt</v>
      </c>
      <c r="D510" t="s">
        <v>2272</v>
      </c>
      <c r="E510" s="10">
        <v>1</v>
      </c>
      <c r="F510" t="s">
        <v>1420</v>
      </c>
      <c r="H510" s="1">
        <v>508</v>
      </c>
      <c r="I510" t="s">
        <v>2273</v>
      </c>
    </row>
    <row r="511" spans="1:9">
      <c r="A511" s="1">
        <v>509</v>
      </c>
      <c r="B511" t="s">
        <v>1355</v>
      </c>
      <c r="C511" t="str">
        <f>LEFT(Table1[[#This Row],[EPI_DGN_ANTIC]],1)</f>
        <v>G</v>
      </c>
      <c r="D511" t="s">
        <v>2274</v>
      </c>
      <c r="E511" s="10">
        <v>0</v>
      </c>
      <c r="H511" s="1">
        <v>509</v>
      </c>
      <c r="I511" t="s">
        <v>1625</v>
      </c>
    </row>
    <row r="512" spans="1:9">
      <c r="A512" s="1">
        <v>510</v>
      </c>
      <c r="B512" t="str">
        <f>LEFT(Table1[[#This Row],[EPI_DGN_ANTIC]],1)</f>
        <v>S</v>
      </c>
      <c r="C512" t="str">
        <f>LEFT(Table1[[#This Row],[EPI_DGN_ANTIC]],2)</f>
        <v>Si</v>
      </c>
      <c r="D512" t="s">
        <v>2275</v>
      </c>
      <c r="E512" s="10">
        <v>0</v>
      </c>
      <c r="H512" s="1">
        <v>510</v>
      </c>
      <c r="I512" t="s">
        <v>2175</v>
      </c>
    </row>
    <row r="513" spans="1:9">
      <c r="A513" s="1">
        <v>511</v>
      </c>
      <c r="B513" t="str">
        <f>LEFT(Table1[[#This Row],[EPI_DGN_ANTIC]],1)</f>
        <v>S</v>
      </c>
      <c r="C513" t="str">
        <f>LEFT(Table1[[#This Row],[EPI_DGN_ANTIC]],2)</f>
        <v>Si</v>
      </c>
      <c r="D513" t="s">
        <v>2276</v>
      </c>
      <c r="E513" s="10">
        <v>1</v>
      </c>
      <c r="F513" t="s">
        <v>2277</v>
      </c>
      <c r="H513" s="1">
        <v>511</v>
      </c>
      <c r="I513" t="s">
        <v>2029</v>
      </c>
    </row>
    <row r="514" spans="1:9">
      <c r="A514" s="1">
        <v>512</v>
      </c>
      <c r="B514" t="s">
        <v>1705</v>
      </c>
      <c r="C514" t="s">
        <v>2275</v>
      </c>
      <c r="D514" t="s">
        <v>2278</v>
      </c>
      <c r="E514" s="10">
        <v>1</v>
      </c>
      <c r="F514" t="s">
        <v>2277</v>
      </c>
      <c r="G514" s="22" t="s">
        <v>786</v>
      </c>
      <c r="H514" s="1">
        <v>512</v>
      </c>
      <c r="I514" t="s">
        <v>2035</v>
      </c>
    </row>
    <row r="515" spans="1:9">
      <c r="A515" s="1">
        <v>513</v>
      </c>
      <c r="B515" t="str">
        <f>LEFT(Table1[[#This Row],[EPI_DGN_ANTIC]],1)</f>
        <v>N</v>
      </c>
      <c r="C515" t="str">
        <f>LEFT(Table1[[#This Row],[EPI_DGN_ANTIC]],3)</f>
        <v>NMB</v>
      </c>
      <c r="D515" t="s">
        <v>2279</v>
      </c>
      <c r="E515" s="10">
        <v>1</v>
      </c>
      <c r="F515" t="s">
        <v>2280</v>
      </c>
      <c r="H515" s="1">
        <v>513</v>
      </c>
      <c r="I515" t="s">
        <v>2281</v>
      </c>
    </row>
    <row r="516" spans="1:9">
      <c r="A516" s="1">
        <v>514</v>
      </c>
      <c r="B516" t="str">
        <f>LEFT(Table1[[#This Row],[EPI_DGN_ANTIC]],1)</f>
        <v>N</v>
      </c>
      <c r="C516" t="str">
        <f>LEFT(Table1[[#This Row],[EPI_DGN_ANTIC]],3)</f>
        <v>NMB</v>
      </c>
      <c r="D516" t="s">
        <v>2282</v>
      </c>
      <c r="E516" s="10">
        <v>1</v>
      </c>
      <c r="F516" t="s">
        <v>2283</v>
      </c>
      <c r="H516" s="1">
        <v>514</v>
      </c>
      <c r="I516" t="s">
        <v>2284</v>
      </c>
    </row>
    <row r="517" spans="1:9">
      <c r="A517" s="1">
        <v>515</v>
      </c>
      <c r="B517" t="str">
        <f>LEFT(Table1[[#This Row],[EPI_DGN_ANTIC]],1)</f>
        <v>N</v>
      </c>
      <c r="C517" t="str">
        <f>LEFT(Table1[[#This Row],[EPI_DGN_ANTIC]],3)</f>
        <v>NMB</v>
      </c>
      <c r="D517" t="s">
        <v>2285</v>
      </c>
      <c r="E517" s="10">
        <v>1</v>
      </c>
      <c r="F517" t="s">
        <v>2286</v>
      </c>
      <c r="H517" s="1">
        <v>515</v>
      </c>
      <c r="I517" t="s">
        <v>2287</v>
      </c>
    </row>
    <row r="518" spans="1:9">
      <c r="A518" s="1">
        <v>516</v>
      </c>
      <c r="B518" t="str">
        <f>LEFT(Table1[[#This Row],[EPI_DGN_ANTIC]],1)</f>
        <v>N</v>
      </c>
      <c r="C518" t="str">
        <f>LEFT(Table1[[#This Row],[EPI_DGN_ANTIC]],3)</f>
        <v>NMB</v>
      </c>
      <c r="D518" t="s">
        <v>2288</v>
      </c>
      <c r="E518" s="10">
        <v>1</v>
      </c>
      <c r="F518" t="s">
        <v>2053</v>
      </c>
      <c r="H518" s="1">
        <v>516</v>
      </c>
      <c r="I518" t="s">
        <v>2289</v>
      </c>
    </row>
    <row r="519" spans="1:9">
      <c r="A519" s="1">
        <v>517</v>
      </c>
      <c r="B519" t="str">
        <f>LEFT(Table1[[#This Row],[EPI_DGN_ANTIC]],1)</f>
        <v>N</v>
      </c>
      <c r="C519" t="str">
        <f>LEFT(Table1[[#This Row],[EPI_DGN_ANTIC]],3)</f>
        <v>NMB</v>
      </c>
      <c r="D519" t="s">
        <v>2290</v>
      </c>
      <c r="E519" s="10">
        <v>1</v>
      </c>
      <c r="F519" t="s">
        <v>2291</v>
      </c>
      <c r="H519" s="1">
        <v>517</v>
      </c>
      <c r="I519" t="s">
        <v>2292</v>
      </c>
    </row>
    <row r="520" spans="1:9">
      <c r="A520" s="1">
        <v>518</v>
      </c>
      <c r="B520" t="str">
        <f>LEFT(Table1[[#This Row],[EPI_DGN_ANTIC]],1)</f>
        <v>N</v>
      </c>
      <c r="C520" t="str">
        <f>LEFT(Table1[[#This Row],[EPI_DGN_ANTIC]],3)</f>
        <v>NMB</v>
      </c>
      <c r="D520" t="s">
        <v>2293</v>
      </c>
      <c r="E520" s="10">
        <v>1</v>
      </c>
      <c r="F520" t="s">
        <v>2294</v>
      </c>
      <c r="H520" s="1">
        <v>518</v>
      </c>
      <c r="I520" t="s">
        <v>2295</v>
      </c>
    </row>
    <row r="521" spans="1:9">
      <c r="A521" s="1">
        <v>519</v>
      </c>
      <c r="B521" t="str">
        <f>LEFT(Table1[[#This Row],[EPI_DGN_ANTIC]],1)</f>
        <v>N</v>
      </c>
      <c r="C521" t="str">
        <f>LEFT(Table1[[#This Row],[EPI_DGN_ANTIC]],3)</f>
        <v>NMB</v>
      </c>
      <c r="D521" t="s">
        <v>2296</v>
      </c>
      <c r="E521" s="10">
        <v>1</v>
      </c>
      <c r="F521" t="s">
        <v>1315</v>
      </c>
      <c r="H521" s="1">
        <v>519</v>
      </c>
      <c r="I521" t="s">
        <v>2297</v>
      </c>
    </row>
    <row r="522" spans="1:9">
      <c r="A522" s="1">
        <v>520</v>
      </c>
      <c r="B522" t="str">
        <f>LEFT(Table1[[#This Row],[EPI_DGN_ANTIC]],1)</f>
        <v>N</v>
      </c>
      <c r="C522" t="str">
        <f>LEFT(Table1[[#This Row],[EPI_DGN_ANTIC]],3)</f>
        <v>NML</v>
      </c>
      <c r="D522" t="s">
        <v>2298</v>
      </c>
      <c r="E522" s="10">
        <v>1</v>
      </c>
      <c r="F522" t="s">
        <v>2299</v>
      </c>
      <c r="H522" s="1">
        <v>520</v>
      </c>
      <c r="I522" t="s">
        <v>2300</v>
      </c>
    </row>
    <row r="523" spans="1:9">
      <c r="A523" s="1">
        <v>521</v>
      </c>
      <c r="B523" t="str">
        <f>LEFT(Table1[[#This Row],[EPI_DGN_ANTIC]],1)</f>
        <v>N</v>
      </c>
      <c r="C523" t="str">
        <f>LEFT(Table1[[#This Row],[EPI_DGN_ANTIC]],3)</f>
        <v>NML</v>
      </c>
      <c r="D523" t="s">
        <v>2301</v>
      </c>
      <c r="E523" s="10">
        <v>1</v>
      </c>
      <c r="F523" t="s">
        <v>2302</v>
      </c>
      <c r="H523" s="1">
        <v>521</v>
      </c>
      <c r="I523" t="s">
        <v>2303</v>
      </c>
    </row>
    <row r="524" spans="1:9">
      <c r="A524" s="1">
        <v>522</v>
      </c>
      <c r="B524" t="s">
        <v>1355</v>
      </c>
      <c r="C524" t="str">
        <f>LEFT(Table1[[#This Row],[EPI_DGN_ANTIC]],3)</f>
        <v>NMl</v>
      </c>
      <c r="D524" t="s">
        <v>2304</v>
      </c>
      <c r="E524" s="10">
        <v>0</v>
      </c>
      <c r="H524" s="1">
        <v>522</v>
      </c>
      <c r="I524" t="s">
        <v>1679</v>
      </c>
    </row>
    <row r="525" spans="1:9">
      <c r="A525" s="1">
        <v>523</v>
      </c>
      <c r="B525" t="str">
        <f>LEFT(Table1[[#This Row],[EPI_DGN_ANTIC]],1)</f>
        <v>N</v>
      </c>
      <c r="C525" t="str">
        <f>LEFT(Table1[[#This Row],[EPI_DGN_ANTIC]],3)</f>
        <v>NML</v>
      </c>
      <c r="D525" t="s">
        <v>2305</v>
      </c>
      <c r="E525" s="10">
        <v>1</v>
      </c>
      <c r="F525" t="s">
        <v>2306</v>
      </c>
      <c r="H525" s="1">
        <v>523</v>
      </c>
      <c r="I525" t="s">
        <v>2177</v>
      </c>
    </row>
    <row r="526" spans="1:9">
      <c r="A526" s="1">
        <v>524</v>
      </c>
      <c r="B526" t="str">
        <f>LEFT(Table1[[#This Row],[EPI_DGN_ANTIC]],1)</f>
        <v>N</v>
      </c>
      <c r="C526" t="str">
        <f>LEFT(Table1[[#This Row],[EPI_DGN_ANTIC]],3)</f>
        <v>NML</v>
      </c>
      <c r="D526" t="s">
        <v>2307</v>
      </c>
      <c r="E526" s="10">
        <v>1</v>
      </c>
      <c r="F526" t="s">
        <v>1201</v>
      </c>
      <c r="H526" s="1">
        <v>524</v>
      </c>
      <c r="I526" t="s">
        <v>2308</v>
      </c>
    </row>
    <row r="527" spans="1:9">
      <c r="A527" s="1">
        <v>525</v>
      </c>
      <c r="B527" t="str">
        <f>LEFT(Table1[[#This Row],[EPI_DGN_ANTIC]],1)</f>
        <v>N</v>
      </c>
      <c r="C527" t="str">
        <f>LEFT(Table1[[#This Row],[EPI_DGN_ANTIC]],3)</f>
        <v>NMS</v>
      </c>
      <c r="D527" t="s">
        <v>2309</v>
      </c>
      <c r="E527" s="10">
        <v>1</v>
      </c>
      <c r="F527" t="s">
        <v>2310</v>
      </c>
      <c r="H527" s="1">
        <v>525</v>
      </c>
      <c r="I527" t="s">
        <v>1686</v>
      </c>
    </row>
    <row r="528" spans="1:9">
      <c r="A528" s="1">
        <v>526</v>
      </c>
      <c r="B528" t="str">
        <f>LEFT(Table1[[#This Row],[EPI_DGN_ANTIC]],1)</f>
        <v>N</v>
      </c>
      <c r="C528" t="str">
        <f>LEFT(Table1[[#This Row],[EPI_DGN_ANTIC]],3)</f>
        <v>NMS</v>
      </c>
      <c r="D528" t="s">
        <v>2311</v>
      </c>
      <c r="E528" s="10">
        <v>1</v>
      </c>
      <c r="F528" t="s">
        <v>2312</v>
      </c>
      <c r="H528" s="1">
        <v>526</v>
      </c>
      <c r="I528" t="s">
        <v>1982</v>
      </c>
    </row>
    <row r="529" spans="1:9">
      <c r="A529" s="1">
        <v>527</v>
      </c>
      <c r="B529" t="str">
        <f>LEFT(Table1[[#This Row],[EPI_DGN_ANTIC]],1)</f>
        <v>N</v>
      </c>
      <c r="C529" t="str">
        <f>LEFT(Table1[[#This Row],[EPI_DGN_ANTIC]],3)</f>
        <v>NMS</v>
      </c>
      <c r="D529" t="s">
        <v>2313</v>
      </c>
      <c r="E529" s="10">
        <v>1</v>
      </c>
      <c r="F529" t="s">
        <v>2310</v>
      </c>
      <c r="H529" s="1">
        <v>527</v>
      </c>
      <c r="I529" t="s">
        <v>2314</v>
      </c>
    </row>
    <row r="530" spans="1:9">
      <c r="A530" s="1">
        <v>528</v>
      </c>
      <c r="B530" t="str">
        <f>LEFT(Table1[[#This Row],[EPI_DGN_ANTIC]],1)</f>
        <v>N</v>
      </c>
      <c r="C530" t="str">
        <f>LEFT(Table1[[#This Row],[EPI_DGN_ANTIC]],3)</f>
        <v>NMS</v>
      </c>
      <c r="D530" t="s">
        <v>2315</v>
      </c>
      <c r="E530" s="10">
        <v>1</v>
      </c>
      <c r="F530" t="s">
        <v>2316</v>
      </c>
      <c r="H530" s="1">
        <v>528</v>
      </c>
      <c r="I530" t="s">
        <v>1719</v>
      </c>
    </row>
    <row r="531" spans="1:9">
      <c r="A531" s="1">
        <v>529</v>
      </c>
      <c r="B531" t="str">
        <f>LEFT(Table1[[#This Row],[EPI_DGN_ANTIC]],1)</f>
        <v>N</v>
      </c>
      <c r="C531" t="str">
        <f>LEFT(Table1[[#This Row],[EPI_DGN_ANTIC]],3)</f>
        <v>NMS</v>
      </c>
      <c r="D531" t="s">
        <v>2317</v>
      </c>
      <c r="E531" s="10">
        <v>1</v>
      </c>
      <c r="F531" t="s">
        <v>2318</v>
      </c>
      <c r="H531" s="1">
        <v>529</v>
      </c>
      <c r="I531" t="s">
        <v>2319</v>
      </c>
    </row>
    <row r="532" spans="1:9">
      <c r="A532" s="1">
        <v>530</v>
      </c>
      <c r="B532" t="str">
        <f>LEFT(Table1[[#This Row],[EPI_DGN_ANTIC]],1)</f>
        <v>N</v>
      </c>
      <c r="C532" t="str">
        <f>LEFT(Table1[[#This Row],[EPI_DGN_ANTIC]],3)</f>
        <v>NMS</v>
      </c>
      <c r="D532" t="s">
        <v>2320</v>
      </c>
      <c r="E532" s="10">
        <v>1</v>
      </c>
      <c r="F532" t="s">
        <v>2252</v>
      </c>
      <c r="H532" s="1">
        <v>530</v>
      </c>
      <c r="I532" t="s">
        <v>2321</v>
      </c>
    </row>
    <row r="533" spans="1:9">
      <c r="A533" s="1">
        <v>531</v>
      </c>
      <c r="B533" t="str">
        <f>LEFT(Table1[[#This Row],[EPI_DGN_ANTIC]],1)</f>
        <v>N</v>
      </c>
      <c r="C533" t="str">
        <f>LEFT(Table1[[#This Row],[EPI_DGN_ANTIC]],3)</f>
        <v>NMS</v>
      </c>
      <c r="D533" t="s">
        <v>2322</v>
      </c>
      <c r="E533" s="10">
        <v>1</v>
      </c>
      <c r="F533" t="s">
        <v>2323</v>
      </c>
      <c r="H533" s="1">
        <v>531</v>
      </c>
      <c r="I533" t="s">
        <v>2324</v>
      </c>
    </row>
    <row r="534" spans="1:9">
      <c r="A534" s="1">
        <v>532</v>
      </c>
      <c r="B534" t="str">
        <f>LEFT(Table1[[#This Row],[EPI_DGN_ANTIC]],1)</f>
        <v>N</v>
      </c>
      <c r="C534" t="str">
        <f>LEFT(Table1[[#This Row],[EPI_DGN_ANTIC]],2)</f>
        <v>NP</v>
      </c>
      <c r="D534" t="s">
        <v>1600</v>
      </c>
      <c r="E534" s="10">
        <v>1</v>
      </c>
      <c r="F534" t="s">
        <v>2325</v>
      </c>
      <c r="H534" s="1">
        <v>532</v>
      </c>
      <c r="I534" t="s">
        <v>1736</v>
      </c>
    </row>
    <row r="535" spans="1:9">
      <c r="A535" s="1">
        <v>533</v>
      </c>
      <c r="B535" t="str">
        <f>LEFT(Table1[[#This Row],[EPI_DGN_ANTIC]],1)</f>
        <v>O</v>
      </c>
      <c r="C535" t="str">
        <f>LEFT(Table1[[#This Row],[EPI_DGN_ANTIC]],3)</f>
        <v>Orc</v>
      </c>
      <c r="D535" t="s">
        <v>2326</v>
      </c>
      <c r="E535" s="10">
        <v>1</v>
      </c>
      <c r="F535" t="s">
        <v>2327</v>
      </c>
      <c r="H535" s="1">
        <v>533</v>
      </c>
      <c r="I535" t="s">
        <v>2328</v>
      </c>
    </row>
    <row r="536" spans="1:9">
      <c r="A536" s="1">
        <v>534</v>
      </c>
      <c r="B536" t="str">
        <f>LEFT(Table1[[#This Row],[EPI_DGN_ANTIC]],1)</f>
        <v>O</v>
      </c>
      <c r="C536" t="str">
        <f>LEFT(Table1[[#This Row],[EPI_DGN_ANTIC]],3)</f>
        <v>Orp</v>
      </c>
      <c r="D536" t="s">
        <v>2329</v>
      </c>
      <c r="E536" s="10">
        <v>1</v>
      </c>
      <c r="F536" t="s">
        <v>2330</v>
      </c>
      <c r="H536" s="1">
        <v>534</v>
      </c>
      <c r="I536" t="s">
        <v>2331</v>
      </c>
    </row>
    <row r="537" spans="1:9">
      <c r="A537" s="1">
        <v>535</v>
      </c>
      <c r="B537" t="str">
        <f>LEFT(Table1[[#This Row],[EPI_DGN_ANTIC]],1)</f>
        <v>O</v>
      </c>
      <c r="C537" t="str">
        <f>LEFT(Table1[[#This Row],[EPI_DGN_ANTIC]],3)</f>
        <v>Orq</v>
      </c>
      <c r="D537" t="s">
        <v>2332</v>
      </c>
      <c r="E537" s="10">
        <v>1</v>
      </c>
      <c r="F537" t="s">
        <v>2333</v>
      </c>
      <c r="H537" s="1">
        <v>535</v>
      </c>
      <c r="I537" t="s">
        <v>2334</v>
      </c>
    </row>
    <row r="538" spans="1:9">
      <c r="A538" s="1">
        <v>536</v>
      </c>
      <c r="B538" t="str">
        <f>LEFT(Table1[[#This Row],[EPI_DGN_ANTIC]],1)</f>
        <v>Q</v>
      </c>
      <c r="C538" t="str">
        <f>LEFT(Table1[[#This Row],[EPI_DGN_ANTIC]],2)</f>
        <v>QP</v>
      </c>
      <c r="D538" t="s">
        <v>2335</v>
      </c>
      <c r="E538" s="10">
        <v>0</v>
      </c>
      <c r="H538" s="1">
        <v>536</v>
      </c>
      <c r="I538" t="s">
        <v>2336</v>
      </c>
    </row>
    <row r="539" spans="1:9">
      <c r="A539" s="1">
        <v>537</v>
      </c>
      <c r="B539" t="str">
        <f>LEFT(Table1[[#This Row],[EPI_DGN_ANTIC]],1)</f>
        <v>Q</v>
      </c>
      <c r="C539" t="str">
        <f>LEFT(Table1[[#This Row],[EPI_DGN_ANTIC]],2)</f>
        <v>QP</v>
      </c>
      <c r="D539" t="s">
        <v>2335</v>
      </c>
      <c r="E539" s="10">
        <v>1</v>
      </c>
      <c r="F539" t="s">
        <v>2337</v>
      </c>
      <c r="H539" s="1">
        <v>537</v>
      </c>
      <c r="I539" t="s">
        <v>2338</v>
      </c>
    </row>
    <row r="540" spans="1:9">
      <c r="A540" s="1">
        <v>538</v>
      </c>
      <c r="B540" t="str">
        <f>LEFT(Table1[[#This Row],[EPI_DGN_ANTIC]],1)</f>
        <v>Q</v>
      </c>
      <c r="C540" t="str">
        <f>LEFT(Table1[[#This Row],[EPI_DGN_ANTIC]],2)</f>
        <v>Q2</v>
      </c>
      <c r="D540" t="s">
        <v>2339</v>
      </c>
      <c r="E540" s="10">
        <v>0</v>
      </c>
      <c r="H540" s="1">
        <v>538</v>
      </c>
      <c r="I540" t="s">
        <v>2340</v>
      </c>
    </row>
    <row r="541" spans="1:9">
      <c r="A541" s="1">
        <v>539</v>
      </c>
      <c r="B541" t="s">
        <v>1355</v>
      </c>
      <c r="C541" t="str">
        <f>LEFT(Table1[[#This Row],[EPI_DGN_ANTIC]],1)</f>
        <v>Q</v>
      </c>
      <c r="D541" t="s">
        <v>2341</v>
      </c>
      <c r="E541" s="10">
        <v>0</v>
      </c>
      <c r="H541" s="1">
        <v>539</v>
      </c>
      <c r="I541" t="s">
        <v>543</v>
      </c>
    </row>
    <row r="542" spans="1:9">
      <c r="A542" s="1">
        <v>540</v>
      </c>
      <c r="B542" t="str">
        <f>LEFT(Table1[[#This Row],[EPI_DGN_ANTIC]],1)</f>
        <v>S</v>
      </c>
      <c r="C542" t="str">
        <f>LEFT(Table1[[#This Row],[EPI_DGN_ANTIC]],2)</f>
        <v>Si</v>
      </c>
      <c r="D542" t="s">
        <v>2342</v>
      </c>
      <c r="E542" s="10">
        <v>1</v>
      </c>
      <c r="F542" t="s">
        <v>2343</v>
      </c>
      <c r="H542" s="1">
        <v>540</v>
      </c>
      <c r="I542" t="s">
        <v>125</v>
      </c>
    </row>
    <row r="543" spans="1:9">
      <c r="A543" s="1">
        <v>541</v>
      </c>
      <c r="B543" t="str">
        <f>LEFT(Table1[[#This Row],[EPI_DGN_ANTIC]],1)</f>
        <v>S</v>
      </c>
      <c r="C543" t="str">
        <f>LEFT(Table1[[#This Row],[EPI_DGN_ANTIC]],2)</f>
        <v>Si</v>
      </c>
      <c r="D543" t="s">
        <v>2344</v>
      </c>
      <c r="E543" s="10">
        <v>1</v>
      </c>
      <c r="F543" t="s">
        <v>2345</v>
      </c>
      <c r="H543" s="1">
        <v>541</v>
      </c>
      <c r="I543" t="s">
        <v>2346</v>
      </c>
    </row>
    <row r="544" spans="1:9">
      <c r="A544" s="1">
        <v>542</v>
      </c>
      <c r="B544" t="str">
        <f>LEFT(Table1[[#This Row],[EPI_DGN_ANTIC]],1)</f>
        <v>S</v>
      </c>
      <c r="C544" t="str">
        <f>LEFT(Table1[[#This Row],[EPI_DGN_ANTIC]],2)</f>
        <v>Si</v>
      </c>
      <c r="D544" t="s">
        <v>2347</v>
      </c>
      <c r="E544" s="10">
        <v>1</v>
      </c>
      <c r="F544" t="s">
        <v>2348</v>
      </c>
      <c r="H544" s="1">
        <v>542</v>
      </c>
      <c r="I544" t="s">
        <v>2349</v>
      </c>
    </row>
    <row r="545" spans="1:9">
      <c r="A545" s="1">
        <v>543</v>
      </c>
      <c r="B545" t="str">
        <f>LEFT(Table1[[#This Row],[EPI_DGN_ANTIC]],1)</f>
        <v>S</v>
      </c>
      <c r="C545" t="str">
        <f>LEFT(Table1[[#This Row],[EPI_DGN_ANTIC]],2)</f>
        <v>Si</v>
      </c>
      <c r="D545" t="s">
        <v>2350</v>
      </c>
      <c r="E545" s="10">
        <v>1</v>
      </c>
      <c r="F545" t="s">
        <v>2348</v>
      </c>
      <c r="H545" s="1">
        <v>543</v>
      </c>
      <c r="I545" t="s">
        <v>148</v>
      </c>
    </row>
    <row r="546" spans="1:9">
      <c r="A546" s="1">
        <v>544</v>
      </c>
      <c r="B546" t="str">
        <f>LEFT(Table1[[#This Row],[EPI_DGN_ANTIC]],1)</f>
        <v>S</v>
      </c>
      <c r="C546" t="str">
        <f>LEFT(Table1[[#This Row],[EPI_DGN_ANTIC]],2)</f>
        <v>S</v>
      </c>
      <c r="D546" t="s">
        <v>1705</v>
      </c>
      <c r="E546" s="10">
        <v>1</v>
      </c>
      <c r="F546" t="s">
        <v>1957</v>
      </c>
      <c r="H546" s="1">
        <v>544</v>
      </c>
      <c r="I546" t="s">
        <v>2351</v>
      </c>
    </row>
    <row r="547" spans="1:9">
      <c r="A547" s="1">
        <v>545</v>
      </c>
      <c r="B547" t="s">
        <v>1355</v>
      </c>
      <c r="C547" t="str">
        <f>LEFT(Table1[[#This Row],[EPI_DGN_ANTIC]],2)</f>
        <v>Sp</v>
      </c>
      <c r="D547" t="s">
        <v>2352</v>
      </c>
      <c r="E547" s="10">
        <v>0</v>
      </c>
      <c r="H547" s="1">
        <v>545</v>
      </c>
      <c r="I547" t="s">
        <v>2353</v>
      </c>
    </row>
    <row r="548" spans="1:9">
      <c r="A548" s="1">
        <v>546</v>
      </c>
      <c r="B548" t="s">
        <v>1705</v>
      </c>
      <c r="C548" t="s">
        <v>2354</v>
      </c>
      <c r="D548" t="s">
        <v>2355</v>
      </c>
      <c r="E548" s="10">
        <v>1</v>
      </c>
      <c r="F548" t="s">
        <v>1711</v>
      </c>
      <c r="G548" s="22" t="s">
        <v>786</v>
      </c>
      <c r="H548" s="1">
        <v>546</v>
      </c>
      <c r="I548" t="s">
        <v>1848</v>
      </c>
    </row>
    <row r="549" spans="1:9">
      <c r="A549" s="1">
        <v>547</v>
      </c>
      <c r="B549" t="str">
        <f>LEFT(Table1[[#This Row],[EPI_DGN_ANTIC]],1)</f>
        <v>Q</v>
      </c>
      <c r="C549" t="str">
        <f>LEFT(Table1[[#This Row],[EPI_DGN_ANTIC]],2)</f>
        <v>QH</v>
      </c>
      <c r="D549" t="s">
        <v>2356</v>
      </c>
      <c r="E549" s="10">
        <v>0</v>
      </c>
      <c r="H549" s="1">
        <v>547</v>
      </c>
      <c r="I549" t="s">
        <v>1391</v>
      </c>
    </row>
    <row r="550" spans="1:9">
      <c r="A550" s="1">
        <v>548</v>
      </c>
      <c r="B550" t="str">
        <f>LEFT(Table1[[#This Row],[EPI_DGN_ANTIC]],1)</f>
        <v>Q</v>
      </c>
      <c r="C550" t="str">
        <f>LEFT(Table1[[#This Row],[EPI_DGN_ANTIC]],2)</f>
        <v>QH</v>
      </c>
      <c r="D550" t="s">
        <v>2357</v>
      </c>
      <c r="E550" s="10">
        <v>1</v>
      </c>
      <c r="F550" t="s">
        <v>2358</v>
      </c>
      <c r="H550" s="1">
        <v>548</v>
      </c>
      <c r="I550" t="s">
        <v>191</v>
      </c>
    </row>
    <row r="551" spans="1:9">
      <c r="A551" s="1">
        <v>549</v>
      </c>
      <c r="B551" t="str">
        <f>LEFT(Table1[[#This Row],[EPI_DGN_ANTIC]],1)</f>
        <v>Q</v>
      </c>
      <c r="C551" t="str">
        <f>LEFT(Table1[[#This Row],[EPI_DGN_ANTIC]],2)</f>
        <v>QH</v>
      </c>
      <c r="D551" t="s">
        <v>2359</v>
      </c>
      <c r="E551" s="10">
        <v>1</v>
      </c>
      <c r="F551" t="s">
        <v>2360</v>
      </c>
      <c r="H551" s="1">
        <v>549</v>
      </c>
      <c r="I551" t="s">
        <v>848</v>
      </c>
    </row>
    <row r="552" spans="1:9">
      <c r="A552" s="1">
        <v>550</v>
      </c>
      <c r="B552" t="str">
        <f>LEFT(Table1[[#This Row],[EPI_DGN_ANTIC]],1)</f>
        <v>Q</v>
      </c>
      <c r="C552" t="str">
        <f>LEFT(Table1[[#This Row],[EPI_DGN_ANTIC]],2)</f>
        <v>Q</v>
      </c>
      <c r="D552" t="s">
        <v>1358</v>
      </c>
      <c r="E552" s="10">
        <v>0</v>
      </c>
      <c r="H552" s="1">
        <v>550</v>
      </c>
      <c r="I552" t="s">
        <v>2361</v>
      </c>
    </row>
    <row r="553" spans="1:9">
      <c r="A553" s="1">
        <v>551</v>
      </c>
      <c r="B553" t="str">
        <f>LEFT(Table1[[#This Row],[EPI_DGN_ANTIC]],1)</f>
        <v>Q</v>
      </c>
      <c r="C553" t="str">
        <f>LEFT(Table1[[#This Row],[EPI_DGN_ANTIC]],4)</f>
        <v>QPHa</v>
      </c>
      <c r="D553" t="s">
        <v>2362</v>
      </c>
      <c r="E553" s="10">
        <v>0</v>
      </c>
      <c r="H553" s="1">
        <v>551</v>
      </c>
      <c r="I553" t="s">
        <v>2363</v>
      </c>
    </row>
    <row r="554" spans="1:9">
      <c r="A554" s="1">
        <v>552</v>
      </c>
      <c r="B554" t="str">
        <f>LEFT(Table1[[#This Row],[EPI_DGN_ANTIC]],1)</f>
        <v>Q</v>
      </c>
      <c r="C554" t="str">
        <f>LEFT(Table1[[#This Row],[EPI_DGN_ANTIC]],4)</f>
        <v>QPHc</v>
      </c>
      <c r="D554" t="s">
        <v>2364</v>
      </c>
      <c r="E554" s="10">
        <v>0</v>
      </c>
      <c r="H554" s="1">
        <v>552</v>
      </c>
      <c r="I554" t="s">
        <v>848</v>
      </c>
    </row>
    <row r="555" spans="1:9">
      <c r="A555" s="1">
        <v>553</v>
      </c>
      <c r="B555" t="str">
        <f>LEFT(Table1[[#This Row],[EPI_DGN_ANTIC]],1)</f>
        <v>Q</v>
      </c>
      <c r="C555" t="str">
        <f>LEFT(Table1[[#This Row],[EPI_DGN_ANTIC]],4)</f>
        <v>QPHf</v>
      </c>
      <c r="D555" t="s">
        <v>2365</v>
      </c>
      <c r="E555" s="10">
        <v>0</v>
      </c>
      <c r="H555" s="1">
        <v>553</v>
      </c>
      <c r="I555" t="s">
        <v>2363</v>
      </c>
    </row>
    <row r="556" spans="1:9">
      <c r="A556" s="1">
        <v>554</v>
      </c>
      <c r="B556" t="str">
        <f>LEFT(Table1[[#This Row],[EPI_DGN_ANTIC]],1)</f>
        <v>Q</v>
      </c>
      <c r="C556" t="str">
        <f>LEFT(Table1[[#This Row],[EPI_DGN_ANTIC]],4)</f>
        <v>QPHg</v>
      </c>
      <c r="D556" t="s">
        <v>2366</v>
      </c>
      <c r="E556" s="10">
        <v>0</v>
      </c>
      <c r="H556" s="1">
        <v>554</v>
      </c>
      <c r="I556" t="s">
        <v>884</v>
      </c>
    </row>
    <row r="557" spans="1:9">
      <c r="A557" s="1">
        <v>555</v>
      </c>
      <c r="B557" t="str">
        <f>LEFT(Table1[[#This Row],[EPI_DGN_ANTIC]],1)</f>
        <v>Q</v>
      </c>
      <c r="C557" t="str">
        <f>LEFT(Table1[[#This Row],[EPI_DGN_ANTIC]],4)</f>
        <v>QPHa</v>
      </c>
      <c r="D557" t="s">
        <v>2367</v>
      </c>
      <c r="E557" s="10">
        <v>1</v>
      </c>
      <c r="F557" t="s">
        <v>2368</v>
      </c>
      <c r="H557" s="1">
        <v>555</v>
      </c>
      <c r="I557" t="s">
        <v>884</v>
      </c>
    </row>
    <row r="558" spans="1:9">
      <c r="A558" s="1">
        <v>556</v>
      </c>
      <c r="B558" t="str">
        <f>LEFT(Table1[[#This Row],[EPI_DGN_ANTIC]],1)</f>
        <v>Q</v>
      </c>
      <c r="C558" t="str">
        <f>LEFT(Table1[[#This Row],[EPI_DGN_ANTIC]],4)</f>
        <v>QPHc</v>
      </c>
      <c r="D558" t="s">
        <v>2364</v>
      </c>
      <c r="E558" s="10">
        <v>1</v>
      </c>
      <c r="F558" t="s">
        <v>1420</v>
      </c>
      <c r="H558" s="1">
        <v>556</v>
      </c>
      <c r="I558" t="s">
        <v>1017</v>
      </c>
    </row>
    <row r="559" spans="1:9">
      <c r="A559" s="1">
        <v>557</v>
      </c>
      <c r="B559" t="str">
        <f>LEFT(Table1[[#This Row],[EPI_DGN_ANTIC]],1)</f>
        <v>Q</v>
      </c>
      <c r="C559" t="str">
        <f>LEFT(Table1[[#This Row],[EPI_DGN_ANTIC]],4)</f>
        <v>QPHf</v>
      </c>
      <c r="D559" t="s">
        <v>2369</v>
      </c>
      <c r="E559" s="10">
        <v>1</v>
      </c>
      <c r="F559" t="s">
        <v>2370</v>
      </c>
      <c r="H559" s="1">
        <v>557</v>
      </c>
      <c r="I559" t="s">
        <v>2371</v>
      </c>
    </row>
    <row r="560" spans="1:9">
      <c r="A560" s="1">
        <v>558</v>
      </c>
      <c r="B560" t="str">
        <f>LEFT(Table1[[#This Row],[EPI_DGN_ANTIC]],1)</f>
        <v>Q</v>
      </c>
      <c r="C560" t="str">
        <f>LEFT(Table1[[#This Row],[EPI_DGN_ANTIC]],4)</f>
        <v>QPHg</v>
      </c>
      <c r="D560" t="s">
        <v>2366</v>
      </c>
      <c r="E560" s="10">
        <v>1</v>
      </c>
      <c r="F560" t="s">
        <v>2372</v>
      </c>
      <c r="H560" s="1">
        <v>558</v>
      </c>
      <c r="I560" t="s">
        <v>2373</v>
      </c>
    </row>
    <row r="561" spans="1:9">
      <c r="A561" s="1">
        <v>559</v>
      </c>
      <c r="B561" t="str">
        <f>LEFT(Table1[[#This Row],[EPI_DGN_ANTIC]],1)</f>
        <v>Q</v>
      </c>
      <c r="C561" t="str">
        <f>LEFT(Table1[[#This Row],[EPI_DGN_ANTIC]],2)</f>
        <v>Q</v>
      </c>
      <c r="D561" t="s">
        <v>1358</v>
      </c>
      <c r="E561" s="10">
        <v>0</v>
      </c>
      <c r="H561" s="1">
        <v>559</v>
      </c>
      <c r="I561" t="s">
        <v>2374</v>
      </c>
    </row>
    <row r="562" spans="1:9">
      <c r="A562" s="1">
        <v>560</v>
      </c>
      <c r="B562" t="str">
        <f>LEFT(Table1[[#This Row],[EPI_DGN_ANTIC]],1)</f>
        <v>Q</v>
      </c>
      <c r="C562" t="str">
        <f>LEFT(Table1[[#This Row],[EPI_DGN_ANTIC]],2)</f>
        <v>QH</v>
      </c>
      <c r="D562" t="s">
        <v>2375</v>
      </c>
      <c r="E562" s="10">
        <v>1</v>
      </c>
      <c r="F562" t="s">
        <v>2376</v>
      </c>
      <c r="H562" s="1">
        <v>560</v>
      </c>
      <c r="I562" t="s">
        <v>2374</v>
      </c>
    </row>
    <row r="563" spans="1:9">
      <c r="A563" s="1">
        <v>561</v>
      </c>
      <c r="B563" t="str">
        <f>LEFT(Table1[[#This Row],[EPI_DGN_ANTIC]],1)</f>
        <v>Q</v>
      </c>
      <c r="C563" t="str">
        <f>LEFT(Table1[[#This Row],[EPI_DGN_ANTIC]],2)</f>
        <v>QH</v>
      </c>
      <c r="D563" t="s">
        <v>2377</v>
      </c>
      <c r="E563" s="10">
        <v>1</v>
      </c>
      <c r="F563" t="s">
        <v>2378</v>
      </c>
      <c r="H563" s="1">
        <v>561</v>
      </c>
      <c r="I563" t="s">
        <v>2379</v>
      </c>
    </row>
    <row r="564" spans="1:9">
      <c r="A564" s="1">
        <v>562</v>
      </c>
      <c r="B564" t="str">
        <f>LEFT(Table1[[#This Row],[EPI_DGN_ANTIC]],1)</f>
        <v>Q</v>
      </c>
      <c r="C564" t="str">
        <f>LEFT(Table1[[#This Row],[EPI_DGN_ANTIC]],2)</f>
        <v>QH</v>
      </c>
      <c r="D564" t="s">
        <v>2380</v>
      </c>
      <c r="E564" s="10">
        <v>0</v>
      </c>
      <c r="H564" s="1">
        <v>562</v>
      </c>
      <c r="I564" t="s">
        <v>727</v>
      </c>
    </row>
    <row r="565" spans="1:9">
      <c r="A565" s="1">
        <v>563</v>
      </c>
      <c r="B565" t="str">
        <f>LEFT(Table1[[#This Row],[EPI_DGN_ANTIC]],1)</f>
        <v>Q</v>
      </c>
      <c r="C565" t="str">
        <f>LEFT(Table1[[#This Row],[EPI_DGN_ANTIC]],2)</f>
        <v>QH</v>
      </c>
      <c r="D565" t="s">
        <v>2381</v>
      </c>
      <c r="E565" s="10">
        <v>1</v>
      </c>
      <c r="F565" t="s">
        <v>1472</v>
      </c>
      <c r="H565" s="1">
        <v>563</v>
      </c>
      <c r="I565" t="s">
        <v>2382</v>
      </c>
    </row>
    <row r="566" spans="1:9">
      <c r="A566" s="1">
        <v>564</v>
      </c>
      <c r="B566" t="str">
        <f>LEFT(Table1[[#This Row],[EPI_DGN_ANTIC]],1)</f>
        <v>Q</v>
      </c>
      <c r="C566" t="str">
        <f>LEFT(Table1[[#This Row],[EPI_DGN_ANTIC]],2)</f>
        <v>QH</v>
      </c>
      <c r="D566" t="s">
        <v>2383</v>
      </c>
      <c r="E566" s="10">
        <v>1</v>
      </c>
      <c r="F566" t="s">
        <v>2384</v>
      </c>
      <c r="H566" s="1">
        <v>564</v>
      </c>
      <c r="I566" t="s">
        <v>1017</v>
      </c>
    </row>
    <row r="567" spans="1:9">
      <c r="A567" s="1">
        <v>565</v>
      </c>
      <c r="B567" t="str">
        <f>LEFT(Table1[[#This Row],[EPI_DGN_ANTIC]],1)</f>
        <v>Q</v>
      </c>
      <c r="C567" t="str">
        <f>LEFT(Table1[[#This Row],[EPI_DGN_ANTIC]],3)</f>
        <v>QPa</v>
      </c>
      <c r="D567" t="s">
        <v>2385</v>
      </c>
      <c r="E567" s="10">
        <v>1</v>
      </c>
      <c r="F567" t="s">
        <v>2386</v>
      </c>
      <c r="H567" s="1">
        <v>565</v>
      </c>
      <c r="I567" t="s">
        <v>1017</v>
      </c>
    </row>
    <row r="568" spans="1:9">
      <c r="A568" s="1">
        <v>566</v>
      </c>
      <c r="B568" t="s">
        <v>1355</v>
      </c>
      <c r="C568" t="str">
        <f>LEFT(Table1[[#This Row],[EPI_DGN_ANTIC]],1)</f>
        <v>Q</v>
      </c>
      <c r="D568" t="s">
        <v>2387</v>
      </c>
      <c r="E568" s="10">
        <v>0</v>
      </c>
      <c r="H568" s="1">
        <v>566</v>
      </c>
      <c r="I568" t="s">
        <v>291</v>
      </c>
    </row>
    <row r="569" spans="1:9">
      <c r="A569" s="1">
        <v>567</v>
      </c>
      <c r="B569" t="str">
        <f>LEFT(Table1[[#This Row],[EPI_DGN_ANTIC]],1)</f>
        <v>Q</v>
      </c>
      <c r="C569" t="str">
        <f>LEFT(Table1[[#This Row],[EPI_DGN_ANTIC]],3)</f>
        <v>QPc</v>
      </c>
      <c r="D569" t="s">
        <v>2388</v>
      </c>
      <c r="E569" s="10">
        <v>1</v>
      </c>
      <c r="F569" t="s">
        <v>2389</v>
      </c>
      <c r="H569" s="1">
        <v>567</v>
      </c>
      <c r="I569" t="s">
        <v>2390</v>
      </c>
    </row>
    <row r="570" spans="1:9">
      <c r="A570" s="1">
        <v>568</v>
      </c>
      <c r="B570" t="str">
        <f>LEFT(Table1[[#This Row],[EPI_DGN_ANTIC]],1)</f>
        <v>Q</v>
      </c>
      <c r="C570" t="str">
        <f>LEFT(Table1[[#This Row],[EPI_DGN_ANTIC]],3)</f>
        <v>QPf</v>
      </c>
      <c r="D570" t="s">
        <v>2391</v>
      </c>
      <c r="E570" s="10">
        <v>0</v>
      </c>
      <c r="H570" s="1">
        <v>568</v>
      </c>
      <c r="I570" t="s">
        <v>2392</v>
      </c>
    </row>
    <row r="571" spans="1:9">
      <c r="A571" s="1">
        <v>569</v>
      </c>
      <c r="B571" t="str">
        <f>LEFT(Table1[[#This Row],[EPI_DGN_ANTIC]],1)</f>
        <v>Q</v>
      </c>
      <c r="C571" t="str">
        <f>LEFT(Table1[[#This Row],[EPI_DGN_ANTIC]],3)</f>
        <v>QPf</v>
      </c>
      <c r="D571" t="s">
        <v>2393</v>
      </c>
      <c r="E571" s="10">
        <v>1</v>
      </c>
      <c r="F571" t="s">
        <v>2394</v>
      </c>
      <c r="H571" s="1">
        <v>569</v>
      </c>
      <c r="I571" t="s">
        <v>2392</v>
      </c>
    </row>
    <row r="572" spans="1:9">
      <c r="A572" s="1">
        <v>570</v>
      </c>
      <c r="B572" t="str">
        <f>LEFT(Table1[[#This Row],[EPI_DGN_ANTIC]],1)</f>
        <v>Q</v>
      </c>
      <c r="C572" t="str">
        <f>LEFT(Table1[[#This Row],[EPI_DGN_ANTIC]],3)</f>
        <v>QPf</v>
      </c>
      <c r="D572" t="s">
        <v>2395</v>
      </c>
      <c r="E572" s="10">
        <v>1</v>
      </c>
      <c r="F572" t="s">
        <v>2396</v>
      </c>
      <c r="H572" s="1">
        <v>570</v>
      </c>
      <c r="I572" t="s">
        <v>878</v>
      </c>
    </row>
    <row r="573" spans="1:9">
      <c r="A573" s="1">
        <v>571</v>
      </c>
      <c r="B573" t="str">
        <f>LEFT(Table1[[#This Row],[EPI_DGN_ANTIC]],1)</f>
        <v>Q</v>
      </c>
      <c r="C573" t="str">
        <f>LEFT(Table1[[#This Row],[EPI_DGN_ANTIC]],3)</f>
        <v>QPg</v>
      </c>
      <c r="D573" t="s">
        <v>2225</v>
      </c>
      <c r="E573" s="10">
        <v>1</v>
      </c>
      <c r="F573" t="s">
        <v>2397</v>
      </c>
      <c r="H573" s="1">
        <v>571</v>
      </c>
      <c r="I573" t="s">
        <v>878</v>
      </c>
    </row>
    <row r="574" spans="1:9">
      <c r="A574" s="1">
        <v>572</v>
      </c>
      <c r="B574" t="str">
        <f>LEFT(Table1[[#This Row],[EPI_DGN_ANTIC]],1)</f>
        <v>Q</v>
      </c>
      <c r="C574" t="str">
        <f>LEFT(Table1[[#This Row],[EPI_DGN_ANTIC]],3)</f>
        <v>QPg</v>
      </c>
      <c r="D574" t="s">
        <v>2398</v>
      </c>
      <c r="E574" s="10">
        <v>1</v>
      </c>
      <c r="F574" t="s">
        <v>2399</v>
      </c>
      <c r="H574" s="1">
        <v>572</v>
      </c>
      <c r="I574" t="s">
        <v>1022</v>
      </c>
    </row>
    <row r="575" spans="1:9">
      <c r="A575" s="1">
        <v>573</v>
      </c>
      <c r="B575" t="str">
        <f>LEFT(Table1[[#This Row],[EPI_DGN_ANTIC]],1)</f>
        <v>Q</v>
      </c>
      <c r="C575" t="str">
        <f>LEFT(Table1[[#This Row],[EPI_DGN_ANTIC]],3)</f>
        <v>QPg</v>
      </c>
      <c r="D575" t="s">
        <v>2400</v>
      </c>
      <c r="E575" s="10">
        <v>1</v>
      </c>
      <c r="F575" t="s">
        <v>2401</v>
      </c>
      <c r="H575" s="1">
        <v>573</v>
      </c>
      <c r="I575" t="s">
        <v>169</v>
      </c>
    </row>
    <row r="576" spans="1:9">
      <c r="A576" s="1">
        <v>574</v>
      </c>
      <c r="B576" t="str">
        <f>LEFT(Table1[[#This Row],[EPI_DGN_ANTIC]],1)</f>
        <v>Q</v>
      </c>
      <c r="C576" t="str">
        <f>LEFT(Table1[[#This Row],[EPI_DGN_ANTIC]],3)</f>
        <v>QPg</v>
      </c>
      <c r="D576" t="s">
        <v>2402</v>
      </c>
      <c r="E576" s="10">
        <v>1</v>
      </c>
      <c r="F576" t="s">
        <v>2403</v>
      </c>
      <c r="H576" s="1">
        <v>574</v>
      </c>
      <c r="I576" t="s">
        <v>2404</v>
      </c>
    </row>
    <row r="577" spans="1:9">
      <c r="A577" s="1">
        <v>575</v>
      </c>
      <c r="B577" t="str">
        <f>LEFT(Table1[[#This Row],[EPI_DGN_ANTIC]],1)</f>
        <v>Q</v>
      </c>
      <c r="C577" t="str">
        <f>LEFT(Table1[[#This Row],[EPI_DGN_ANTIC]],3)</f>
        <v>QPg</v>
      </c>
      <c r="D577" t="s">
        <v>2405</v>
      </c>
      <c r="E577" s="10">
        <v>1</v>
      </c>
      <c r="F577" t="s">
        <v>2406</v>
      </c>
      <c r="H577" s="1">
        <v>575</v>
      </c>
      <c r="I577" t="s">
        <v>890</v>
      </c>
    </row>
    <row r="578" spans="1:9">
      <c r="A578" s="1">
        <v>576</v>
      </c>
      <c r="B578" t="str">
        <f>LEFT(Table1[[#This Row],[EPI_DGN_ANTIC]],1)</f>
        <v>Q</v>
      </c>
      <c r="C578" t="str">
        <f>LEFT(Table1[[#This Row],[EPI_DGN_ANTIC]],3)</f>
        <v>QPg</v>
      </c>
      <c r="D578" t="s">
        <v>2407</v>
      </c>
      <c r="E578" s="10">
        <v>1</v>
      </c>
      <c r="F578" t="s">
        <v>2408</v>
      </c>
      <c r="H578" s="1">
        <v>576</v>
      </c>
      <c r="I578" t="s">
        <v>2409</v>
      </c>
    </row>
    <row r="579" spans="1:9">
      <c r="A579" s="1">
        <v>577</v>
      </c>
      <c r="B579" t="str">
        <f>LEFT(Table1[[#This Row],[EPI_DGN_ANTIC]],1)</f>
        <v>Q</v>
      </c>
      <c r="C579" t="str">
        <f>LEFT(Table1[[#This Row],[EPI_DGN_ANTIC]],3)</f>
        <v>QPg</v>
      </c>
      <c r="D579" t="s">
        <v>2410</v>
      </c>
      <c r="E579" s="10">
        <v>1</v>
      </c>
      <c r="F579" t="s">
        <v>2411</v>
      </c>
      <c r="H579" s="1">
        <v>577</v>
      </c>
      <c r="I579" t="s">
        <v>169</v>
      </c>
    </row>
    <row r="580" spans="1:9">
      <c r="A580" s="1">
        <v>578</v>
      </c>
      <c r="B580" t="str">
        <f>LEFT(Table1[[#This Row],[EPI_DGN_ANTIC]],1)</f>
        <v>Q</v>
      </c>
      <c r="C580" t="str">
        <f>LEFT(Table1[[#This Row],[EPI_DGN_ANTIC]],4)</f>
        <v>QPHc</v>
      </c>
      <c r="D580" t="s">
        <v>2412</v>
      </c>
      <c r="E580" s="10">
        <v>1</v>
      </c>
      <c r="F580" t="s">
        <v>2413</v>
      </c>
      <c r="H580" s="1">
        <v>578</v>
      </c>
      <c r="I580" t="s">
        <v>890</v>
      </c>
    </row>
    <row r="581" spans="1:9">
      <c r="A581" s="1">
        <v>579</v>
      </c>
      <c r="B581" t="str">
        <f>LEFT(Table1[[#This Row],[EPI_DGN_ANTIC]],1)</f>
        <v>Q</v>
      </c>
      <c r="C581" t="str">
        <f>LEFT(Table1[[#This Row],[EPI_DGN_ANTIC]],4)</f>
        <v>QPHt</v>
      </c>
      <c r="D581" t="s">
        <v>2414</v>
      </c>
      <c r="E581" s="10">
        <v>0</v>
      </c>
      <c r="H581" s="1">
        <v>579</v>
      </c>
      <c r="I581" t="s">
        <v>920</v>
      </c>
    </row>
    <row r="582" spans="1:9">
      <c r="A582" s="1">
        <v>580</v>
      </c>
      <c r="B582" t="str">
        <f>LEFT(Table1[[#This Row],[EPI_DGN_ANTIC]],1)</f>
        <v>Q</v>
      </c>
      <c r="C582" t="str">
        <f>LEFT(Table1[[#This Row],[EPI_DGN_ANTIC]],4)</f>
        <v>QPHt</v>
      </c>
      <c r="D582" t="s">
        <v>2414</v>
      </c>
      <c r="E582" s="10">
        <v>1</v>
      </c>
      <c r="F582" t="s">
        <v>2415</v>
      </c>
      <c r="H582" s="1">
        <v>580</v>
      </c>
      <c r="I582" t="s">
        <v>2416</v>
      </c>
    </row>
    <row r="583" spans="1:9">
      <c r="A583" s="1">
        <v>581</v>
      </c>
      <c r="B583" t="str">
        <f>LEFT(Table1[[#This Row],[EPI_DGN_ANTIC]],1)</f>
        <v>Q</v>
      </c>
      <c r="C583" t="str">
        <f>LEFT(Table1[[#This Row],[EPI_DGN_ANTIC]],4)</f>
        <v>QPHt</v>
      </c>
      <c r="D583" t="s">
        <v>2417</v>
      </c>
      <c r="E583" s="10">
        <v>1</v>
      </c>
      <c r="F583" t="s">
        <v>2418</v>
      </c>
      <c r="H583" s="1">
        <v>581</v>
      </c>
      <c r="I583" t="s">
        <v>2419</v>
      </c>
    </row>
    <row r="584" spans="1:9">
      <c r="A584" s="1">
        <v>582</v>
      </c>
      <c r="B584" t="str">
        <f>LEFT(Table1[[#This Row],[EPI_DGN_ANTIC]],1)</f>
        <v>Q</v>
      </c>
      <c r="C584" t="str">
        <f>LEFT(Table1[[#This Row],[EPI_DGN_ANTIC]],4)</f>
        <v>QPHt</v>
      </c>
      <c r="D584" t="s">
        <v>2420</v>
      </c>
      <c r="E584" s="10">
        <v>1</v>
      </c>
      <c r="F584" t="s">
        <v>1908</v>
      </c>
      <c r="H584" s="1">
        <v>582</v>
      </c>
      <c r="I584" t="s">
        <v>2416</v>
      </c>
    </row>
    <row r="585" spans="1:9">
      <c r="A585" s="1">
        <v>583</v>
      </c>
      <c r="B585" t="str">
        <f>LEFT(Table1[[#This Row],[EPI_DGN_ANTIC]],1)</f>
        <v>Q</v>
      </c>
      <c r="C585" t="str">
        <f>LEFT(Table1[[#This Row],[EPI_DGN_ANTIC]],2)</f>
        <v>Q</v>
      </c>
      <c r="D585" t="s">
        <v>1358</v>
      </c>
      <c r="E585" s="10">
        <v>1</v>
      </c>
      <c r="F585" t="s">
        <v>2215</v>
      </c>
      <c r="H585" s="1">
        <v>583</v>
      </c>
      <c r="I585" t="s">
        <v>990</v>
      </c>
    </row>
    <row r="586" spans="1:9">
      <c r="A586" s="1">
        <v>584</v>
      </c>
      <c r="B586" t="str">
        <f>LEFT(Table1[[#This Row],[EPI_DGN_ANTIC]],1)</f>
        <v>Q</v>
      </c>
      <c r="C586" t="str">
        <f>LEFT(Table1[[#This Row],[EPI_DGN_ANTIC]],4)</f>
        <v>QPHl</v>
      </c>
      <c r="D586" t="s">
        <v>2421</v>
      </c>
      <c r="E586" s="10">
        <v>0</v>
      </c>
      <c r="H586" s="1">
        <v>584</v>
      </c>
      <c r="I586" t="s">
        <v>990</v>
      </c>
    </row>
    <row r="587" spans="1:9">
      <c r="A587" s="1">
        <v>585</v>
      </c>
      <c r="B587" t="str">
        <f>LEFT(Table1[[#This Row],[EPI_DGN_ANTIC]],1)</f>
        <v>Q</v>
      </c>
      <c r="C587" t="str">
        <f>LEFT(Table1[[#This Row],[EPI_DGN_ANTIC]],4)</f>
        <v>QPHl</v>
      </c>
      <c r="D587" t="s">
        <v>2422</v>
      </c>
      <c r="E587" s="10">
        <v>1</v>
      </c>
      <c r="F587" t="s">
        <v>2423</v>
      </c>
      <c r="H587" s="1">
        <v>585</v>
      </c>
      <c r="I587" t="s">
        <v>2424</v>
      </c>
    </row>
    <row r="588" spans="1:9">
      <c r="A588" s="1">
        <v>586</v>
      </c>
      <c r="B588" t="str">
        <f>LEFT(Table1[[#This Row],[EPI_DGN_ANTIC]],1)</f>
        <v>Q</v>
      </c>
      <c r="C588" t="str">
        <f>LEFT(Table1[[#This Row],[EPI_DGN_ANTIC]],4)</f>
        <v>QPHl</v>
      </c>
      <c r="D588" t="s">
        <v>2425</v>
      </c>
      <c r="E588" s="10">
        <v>1</v>
      </c>
      <c r="F588" t="s">
        <v>2426</v>
      </c>
      <c r="H588" s="1">
        <v>586</v>
      </c>
      <c r="I588" t="s">
        <v>2427</v>
      </c>
    </row>
    <row r="589" spans="1:9">
      <c r="A589" s="1">
        <v>587</v>
      </c>
      <c r="B589" t="str">
        <f>LEFT(Table1[[#This Row],[EPI_DGN_ANTIC]],1)</f>
        <v>Q</v>
      </c>
      <c r="C589" t="str">
        <f>LEFT(Table1[[#This Row],[EPI_DGN_ANTIC]],4)</f>
        <v>QPHv</v>
      </c>
      <c r="D589" t="s">
        <v>2428</v>
      </c>
      <c r="E589" s="10">
        <v>0</v>
      </c>
      <c r="H589" s="1">
        <v>587</v>
      </c>
      <c r="I589" t="s">
        <v>2284</v>
      </c>
    </row>
    <row r="590" spans="1:9">
      <c r="A590" s="1">
        <v>588</v>
      </c>
      <c r="B590" t="str">
        <f>LEFT(Table1[[#This Row],[EPI_DGN_ANTIC]],1)</f>
        <v>Q</v>
      </c>
      <c r="C590" t="str">
        <f>LEFT(Table1[[#This Row],[EPI_DGN_ANTIC]],4)</f>
        <v>QPHv</v>
      </c>
      <c r="D590" t="s">
        <v>2429</v>
      </c>
      <c r="E590" s="10">
        <v>1</v>
      </c>
      <c r="F590" t="s">
        <v>2430</v>
      </c>
      <c r="H590" s="1">
        <v>588</v>
      </c>
      <c r="I590" t="s">
        <v>2431</v>
      </c>
    </row>
    <row r="591" spans="1:9">
      <c r="A591" s="1">
        <v>589</v>
      </c>
      <c r="B591" t="s">
        <v>1355</v>
      </c>
      <c r="C591" t="str">
        <f>LEFT(Table1[[#This Row],[EPI_DGN_ANTIC]],1)</f>
        <v>Q</v>
      </c>
      <c r="D591" t="s">
        <v>2432</v>
      </c>
      <c r="E591" s="10">
        <v>0</v>
      </c>
      <c r="H591" s="1">
        <v>589</v>
      </c>
      <c r="I591" t="s">
        <v>2431</v>
      </c>
    </row>
    <row r="592" spans="1:9">
      <c r="A592" s="1">
        <v>590</v>
      </c>
      <c r="B592" t="s">
        <v>1355</v>
      </c>
      <c r="C592" t="str">
        <f>LEFT(Table1[[#This Row],[EPI_DGN_ANTIC]],1)</f>
        <v>Q</v>
      </c>
      <c r="D592" t="s">
        <v>2433</v>
      </c>
      <c r="E592" s="10">
        <v>0</v>
      </c>
      <c r="H592" s="1">
        <v>590</v>
      </c>
      <c r="I592" t="s">
        <v>2434</v>
      </c>
    </row>
    <row r="593" spans="1:9">
      <c r="A593" s="1">
        <v>591</v>
      </c>
      <c r="B593" t="s">
        <v>1355</v>
      </c>
      <c r="C593" t="str">
        <f>LEFT(Table1[[#This Row],[EPI_DGN_ANTIC]],1)</f>
        <v>Q</v>
      </c>
      <c r="D593" t="s">
        <v>2435</v>
      </c>
      <c r="E593" s="10">
        <v>0</v>
      </c>
      <c r="H593" s="1">
        <v>591</v>
      </c>
      <c r="I593" t="s">
        <v>2436</v>
      </c>
    </row>
    <row r="594" spans="1:9">
      <c r="A594" s="1">
        <v>592</v>
      </c>
      <c r="B594" t="s">
        <v>1355</v>
      </c>
      <c r="C594" t="str">
        <f>LEFT(Table1[[#This Row],[EPI_DGN_ANTIC]],1)</f>
        <v>Q</v>
      </c>
      <c r="D594" t="s">
        <v>2437</v>
      </c>
      <c r="E594" s="10">
        <v>0</v>
      </c>
      <c r="H594" s="1">
        <v>592</v>
      </c>
      <c r="I594" t="s">
        <v>2438</v>
      </c>
    </row>
    <row r="595" spans="1:9">
      <c r="A595" s="1">
        <v>593</v>
      </c>
      <c r="B595" t="s">
        <v>1355</v>
      </c>
      <c r="C595" t="str">
        <f>LEFT(Table1[[#This Row],[EPI_DGN_ANTIC]],1)</f>
        <v>Q</v>
      </c>
      <c r="D595" t="s">
        <v>2439</v>
      </c>
      <c r="E595" s="10">
        <v>0</v>
      </c>
      <c r="H595" s="1">
        <v>593</v>
      </c>
      <c r="I595" t="s">
        <v>2440</v>
      </c>
    </row>
    <row r="596" spans="1:9">
      <c r="A596" s="1">
        <v>594</v>
      </c>
      <c r="B596" t="str">
        <f>LEFT(Table1[[#This Row],[EPI_DGN_ANTIC]],1)</f>
        <v>Q</v>
      </c>
      <c r="C596" t="str">
        <f>LEFT(Table1[[#This Row],[EPI_DGN_ANTIC]],2)</f>
        <v>QH</v>
      </c>
      <c r="D596" t="s">
        <v>2441</v>
      </c>
      <c r="E596" s="10">
        <v>0</v>
      </c>
      <c r="H596" s="1">
        <v>594</v>
      </c>
      <c r="I596" t="s">
        <v>2442</v>
      </c>
    </row>
    <row r="597" spans="1:9">
      <c r="A597" s="1">
        <v>595</v>
      </c>
      <c r="B597" t="str">
        <f>LEFT(Table1[[#This Row],[EPI_DGN_ANTIC]],1)</f>
        <v>Q</v>
      </c>
      <c r="C597" t="str">
        <f>LEFT(Table1[[#This Row],[EPI_DGN_ANTIC]],2)</f>
        <v>QH</v>
      </c>
      <c r="D597" t="s">
        <v>2443</v>
      </c>
      <c r="E597" s="10">
        <v>1</v>
      </c>
      <c r="F597" t="s">
        <v>2210</v>
      </c>
      <c r="H597" s="1">
        <v>595</v>
      </c>
      <c r="I597" t="s">
        <v>2444</v>
      </c>
    </row>
    <row r="598" spans="1:9">
      <c r="A598" s="1">
        <v>596</v>
      </c>
      <c r="B598" t="str">
        <f>LEFT(Table1[[#This Row],[EPI_DGN_ANTIC]],1)</f>
        <v>Q</v>
      </c>
      <c r="C598" t="str">
        <f>LEFT(Table1[[#This Row],[EPI_DGN_ANTIC]],4)</f>
        <v>QPHd</v>
      </c>
      <c r="D598" t="s">
        <v>2445</v>
      </c>
      <c r="E598" s="10">
        <v>1</v>
      </c>
      <c r="F598" t="s">
        <v>2446</v>
      </c>
      <c r="H598" s="1">
        <v>596</v>
      </c>
      <c r="I598" t="s">
        <v>2444</v>
      </c>
    </row>
    <row r="599" spans="1:9">
      <c r="A599" s="1">
        <v>597</v>
      </c>
      <c r="B599" t="str">
        <f>LEFT(Table1[[#This Row],[EPI_DGN_ANTIC]],1)</f>
        <v>Q</v>
      </c>
      <c r="C599" t="str">
        <f>LEFT(Table1[[#This Row],[EPI_DGN_ANTIC]],4)</f>
        <v>QPHd</v>
      </c>
      <c r="D599" t="s">
        <v>2447</v>
      </c>
      <c r="E599" s="10">
        <v>0</v>
      </c>
      <c r="H599" s="1">
        <v>597</v>
      </c>
      <c r="I599" t="s">
        <v>2448</v>
      </c>
    </row>
    <row r="600" spans="1:9">
      <c r="A600" s="1">
        <v>598</v>
      </c>
      <c r="B600" t="str">
        <f>LEFT(Table1[[#This Row],[EPI_DGN_ANTIC]],1)</f>
        <v>Q</v>
      </c>
      <c r="C600" t="str">
        <f>LEFT(Table1[[#This Row],[EPI_DGN_ANTIC]],3)</f>
        <v>QPt</v>
      </c>
      <c r="D600" t="s">
        <v>2449</v>
      </c>
      <c r="E600" s="10">
        <v>1</v>
      </c>
      <c r="F600" t="s">
        <v>2403</v>
      </c>
      <c r="H600" s="1">
        <v>598</v>
      </c>
      <c r="I600" t="s">
        <v>2346</v>
      </c>
    </row>
    <row r="601" spans="1:9">
      <c r="A601" s="1">
        <v>599</v>
      </c>
      <c r="B601" t="str">
        <f>LEFT(Table1[[#This Row],[EPI_DGN_ANTIC]],1)</f>
        <v>Q</v>
      </c>
      <c r="C601" t="str">
        <f>LEFT(Table1[[#This Row],[EPI_DGN_ANTIC]],3)</f>
        <v>QPt</v>
      </c>
      <c r="D601" t="s">
        <v>2450</v>
      </c>
      <c r="E601" s="10">
        <v>1</v>
      </c>
      <c r="F601" t="s">
        <v>2406</v>
      </c>
      <c r="H601" s="1">
        <v>599</v>
      </c>
      <c r="I601" t="s">
        <v>2451</v>
      </c>
    </row>
    <row r="602" spans="1:9">
      <c r="A602" s="1">
        <v>600</v>
      </c>
      <c r="B602" t="str">
        <f>LEFT(Table1[[#This Row],[EPI_DGN_ANTIC]],1)</f>
        <v>Q</v>
      </c>
      <c r="C602" t="str">
        <f>LEFT(Table1[[#This Row],[EPI_DGN_ANTIC]],3)</f>
        <v>QPt</v>
      </c>
      <c r="D602" t="s">
        <v>2452</v>
      </c>
      <c r="E602" s="10">
        <v>1</v>
      </c>
      <c r="F602" t="s">
        <v>2399</v>
      </c>
      <c r="H602" s="1">
        <v>600</v>
      </c>
      <c r="I602" t="s">
        <v>2453</v>
      </c>
    </row>
    <row r="603" spans="1:9">
      <c r="A603" s="1">
        <v>601</v>
      </c>
      <c r="B603" t="str">
        <f>LEFT(Table1[[#This Row],[EPI_DGN_ANTIC]],1)</f>
        <v>Q</v>
      </c>
      <c r="C603" t="str">
        <f>LEFT(Table1[[#This Row],[EPI_DGN_ANTIC]],3)</f>
        <v>QPt</v>
      </c>
      <c r="D603" t="s">
        <v>2454</v>
      </c>
      <c r="E603" s="10">
        <v>1</v>
      </c>
      <c r="F603" t="s">
        <v>2401</v>
      </c>
      <c r="H603" s="1">
        <v>601</v>
      </c>
      <c r="I603" t="s">
        <v>2455</v>
      </c>
    </row>
    <row r="604" spans="1:9">
      <c r="A604" s="1">
        <v>602</v>
      </c>
      <c r="B604" t="str">
        <f>LEFT(Table1[[#This Row],[EPI_DGN_ANTIC]],1)</f>
        <v>Q</v>
      </c>
      <c r="C604" t="str">
        <f>LEFT(Table1[[#This Row],[EPI_DGN_ANTIC]],3)</f>
        <v>QPv</v>
      </c>
      <c r="D604" t="s">
        <v>2456</v>
      </c>
      <c r="E604" s="10">
        <v>1</v>
      </c>
      <c r="F604" t="s">
        <v>2234</v>
      </c>
      <c r="H604" s="1">
        <v>602</v>
      </c>
      <c r="I604" t="s">
        <v>2448</v>
      </c>
    </row>
    <row r="605" spans="1:9">
      <c r="A605" s="1">
        <v>603</v>
      </c>
      <c r="B605" t="str">
        <f>LEFT(Table1[[#This Row],[EPI_DGN_ANTIC]],1)</f>
        <v>Q</v>
      </c>
      <c r="C605" t="str">
        <f>LEFT(Table1[[#This Row],[EPI_DGN_ANTIC]],3)</f>
        <v>QPv</v>
      </c>
      <c r="D605" t="s">
        <v>2457</v>
      </c>
      <c r="E605" s="10">
        <v>1</v>
      </c>
      <c r="F605" t="s">
        <v>2236</v>
      </c>
      <c r="H605" s="1">
        <v>603</v>
      </c>
      <c r="I605" t="s">
        <v>2458</v>
      </c>
    </row>
    <row r="606" spans="1:9">
      <c r="A606" s="1">
        <v>604</v>
      </c>
      <c r="B606" t="str">
        <f>LEFT(Table1[[#This Row],[EPI_DGN_ANTIC]],1)</f>
        <v>Q</v>
      </c>
      <c r="C606" t="str">
        <f>LEFT(Table1[[#This Row],[EPI_DGN_ANTIC]],3)</f>
        <v>QPv</v>
      </c>
      <c r="D606" t="s">
        <v>2459</v>
      </c>
      <c r="E606" s="10">
        <v>1</v>
      </c>
      <c r="F606" t="s">
        <v>2399</v>
      </c>
      <c r="H606" s="1">
        <v>604</v>
      </c>
      <c r="I606" t="s">
        <v>1882</v>
      </c>
    </row>
    <row r="607" spans="1:9">
      <c r="A607" s="1">
        <v>605</v>
      </c>
      <c r="B607" t="str">
        <f>LEFT(Table1[[#This Row],[EPI_DGN_ANTIC]],1)</f>
        <v>Q</v>
      </c>
      <c r="C607" t="str">
        <f>LEFT(Table1[[#This Row],[EPI_DGN_ANTIC]],3)</f>
        <v>QPv</v>
      </c>
      <c r="D607" t="s">
        <v>2460</v>
      </c>
      <c r="E607" s="10">
        <v>1</v>
      </c>
      <c r="F607" t="s">
        <v>2401</v>
      </c>
      <c r="H607" s="1">
        <v>605</v>
      </c>
      <c r="I607" t="s">
        <v>2461</v>
      </c>
    </row>
    <row r="608" spans="1:9">
      <c r="A608" s="1">
        <v>606</v>
      </c>
      <c r="B608" t="str">
        <f>LEFT(Table1[[#This Row],[EPI_DGN_ANTIC]],1)</f>
        <v>Q</v>
      </c>
      <c r="C608" t="str">
        <f>LEFT(Table1[[#This Row],[EPI_DGN_ANTIC]],3)</f>
        <v>QPv</v>
      </c>
      <c r="D608" t="s">
        <v>2462</v>
      </c>
      <c r="E608" s="10">
        <v>1</v>
      </c>
      <c r="F608" t="s">
        <v>2463</v>
      </c>
      <c r="H608" s="1">
        <v>606</v>
      </c>
      <c r="I608" t="s">
        <v>2464</v>
      </c>
    </row>
    <row r="609" spans="1:9">
      <c r="A609" s="1">
        <v>607</v>
      </c>
      <c r="B609" t="str">
        <f>LEFT(Table1[[#This Row],[EPI_DGN_ANTIC]],1)</f>
        <v>Q</v>
      </c>
      <c r="C609" t="str">
        <f>LEFT(Table1[[#This Row],[EPI_DGN_ANTIC]],3)</f>
        <v>QPv</v>
      </c>
      <c r="D609" t="s">
        <v>2465</v>
      </c>
      <c r="E609" s="10">
        <v>1</v>
      </c>
      <c r="F609" t="s">
        <v>2406</v>
      </c>
      <c r="H609" s="1">
        <v>607</v>
      </c>
      <c r="I609" t="s">
        <v>2464</v>
      </c>
    </row>
    <row r="610" spans="1:9">
      <c r="A610" s="1">
        <v>608</v>
      </c>
      <c r="B610" t="str">
        <f>LEFT(Table1[[#This Row],[EPI_DGN_ANTIC]],1)</f>
        <v>Q</v>
      </c>
      <c r="C610" t="str">
        <f>LEFT(Table1[[#This Row],[EPI_DGN_ANTIC]],3)</f>
        <v>QPv</v>
      </c>
      <c r="D610" t="s">
        <v>2466</v>
      </c>
      <c r="E610" s="10">
        <v>1</v>
      </c>
      <c r="F610" t="s">
        <v>2408</v>
      </c>
      <c r="H610" s="1">
        <v>608</v>
      </c>
      <c r="I610" t="s">
        <v>748</v>
      </c>
    </row>
    <row r="611" spans="1:9">
      <c r="A611" s="1">
        <v>609</v>
      </c>
      <c r="B611" t="str">
        <f>LEFT(Table1[[#This Row],[EPI_DGN_ANTIC]],1)</f>
        <v>Q</v>
      </c>
      <c r="C611" t="str">
        <f>LEFT(Table1[[#This Row],[EPI_DGN_ANTIC]],3)</f>
        <v>QPv</v>
      </c>
      <c r="D611" t="s">
        <v>2467</v>
      </c>
      <c r="E611" s="10">
        <v>1</v>
      </c>
      <c r="F611" t="s">
        <v>2468</v>
      </c>
      <c r="H611" s="1">
        <v>609</v>
      </c>
      <c r="I611" t="s">
        <v>748</v>
      </c>
    </row>
    <row r="612" spans="1:9">
      <c r="A612" s="1">
        <v>610</v>
      </c>
      <c r="B612" t="s">
        <v>1355</v>
      </c>
      <c r="C612" t="str">
        <f>LEFT(Table1[[#This Row],[EPI_DGN_ANTIC]],1)</f>
        <v>Q</v>
      </c>
      <c r="D612" t="s">
        <v>2469</v>
      </c>
      <c r="E612" s="10">
        <v>0</v>
      </c>
      <c r="H612" s="1">
        <v>610</v>
      </c>
      <c r="I612" t="s">
        <v>2175</v>
      </c>
    </row>
    <row r="613" spans="1:9">
      <c r="A613" s="1">
        <v>611</v>
      </c>
      <c r="B613" t="str">
        <f>LEFT(Table1[[#This Row],[EPI_DGN_ANTIC]],1)</f>
        <v>X</v>
      </c>
      <c r="C613" t="str">
        <f>LEFT(Table1[[#This Row],[EPI_DGN_ANTIC]],2)</f>
        <v>X</v>
      </c>
      <c r="D613" t="s">
        <v>1355</v>
      </c>
      <c r="E613" s="10">
        <v>0</v>
      </c>
      <c r="H613" s="1">
        <v>611</v>
      </c>
      <c r="I613" t="s">
        <v>2175</v>
      </c>
    </row>
    <row r="614" spans="1:9">
      <c r="A614" s="1">
        <v>612</v>
      </c>
      <c r="B614" t="s">
        <v>1355</v>
      </c>
      <c r="C614" t="str">
        <f>LEFT(Table1[[#This Row],[EPI_DGN_ANTIC]],1)</f>
        <v>C</v>
      </c>
      <c r="D614" t="s">
        <v>229</v>
      </c>
      <c r="E614" s="10">
        <v>0</v>
      </c>
      <c r="H614" s="1">
        <v>612</v>
      </c>
      <c r="I614" t="s">
        <v>2470</v>
      </c>
    </row>
    <row r="615" spans="1:9">
      <c r="A615" s="1">
        <v>613</v>
      </c>
      <c r="B615" t="s">
        <v>1355</v>
      </c>
      <c r="C615" t="str">
        <f>LEFT(Table1[[#This Row],[EPI_DGN_ANTIC]],1)</f>
        <v>C</v>
      </c>
      <c r="D615" t="s">
        <v>2471</v>
      </c>
      <c r="E615" s="10">
        <v>0</v>
      </c>
      <c r="H615" s="1">
        <v>613</v>
      </c>
      <c r="I615" t="s">
        <v>2472</v>
      </c>
    </row>
    <row r="616" spans="1:9">
      <c r="A616" s="1">
        <v>614</v>
      </c>
      <c r="B616" t="str">
        <f>LEFT(Table1[[#This Row],[EPI_DGN_ANTIC]],1)</f>
        <v>Q</v>
      </c>
      <c r="C616" t="str">
        <f>LEFT(Table1[[#This Row],[EPI_DGN_ANTIC]],3)</f>
        <v>QPv</v>
      </c>
      <c r="D616" t="s">
        <v>2473</v>
      </c>
      <c r="E616" s="10">
        <v>1</v>
      </c>
      <c r="F616" t="s">
        <v>1824</v>
      </c>
      <c r="H616" s="1">
        <v>614</v>
      </c>
      <c r="I616" t="s">
        <v>2474</v>
      </c>
    </row>
    <row r="617" spans="1:9">
      <c r="A617" s="1">
        <v>615</v>
      </c>
      <c r="B617" t="str">
        <f>LEFT(Table1[[#This Row],[EPI_DGN_ANTIC]],1)</f>
        <v>Q</v>
      </c>
      <c r="C617" t="str">
        <f>LEFT(Table1[[#This Row],[EPI_DGN_ANTIC]],3)</f>
        <v>QPf</v>
      </c>
      <c r="D617" t="s">
        <v>2475</v>
      </c>
      <c r="E617" s="10">
        <v>1</v>
      </c>
      <c r="F617" t="s">
        <v>2476</v>
      </c>
      <c r="H617" s="1">
        <v>615</v>
      </c>
      <c r="I617" t="s">
        <v>2477</v>
      </c>
    </row>
    <row r="618" spans="1:9">
      <c r="A618" s="1">
        <v>616</v>
      </c>
      <c r="B618" t="str">
        <f>LEFT(Table1[[#This Row],[EPI_DGN_ANTIC]],1)</f>
        <v>Q</v>
      </c>
      <c r="C618" t="str">
        <f>LEFT(Table1[[#This Row],[EPI_DGN_ANTIC]],2)</f>
        <v>QH</v>
      </c>
      <c r="D618" t="s">
        <v>2478</v>
      </c>
      <c r="E618" s="10">
        <v>0</v>
      </c>
      <c r="H618" s="1">
        <v>616</v>
      </c>
      <c r="I618" t="s">
        <v>2479</v>
      </c>
    </row>
    <row r="619" spans="1:9">
      <c r="A619" s="1">
        <v>617</v>
      </c>
      <c r="B619" t="str">
        <f>LEFT(Table1[[#This Row],[EPI_DGN_ANTIC]],1)</f>
        <v>Q</v>
      </c>
      <c r="C619" t="str">
        <f>LEFT(Table1[[#This Row],[EPI_DGN_ANTIC]],2)</f>
        <v>QH</v>
      </c>
      <c r="D619" t="s">
        <v>2480</v>
      </c>
      <c r="E619" s="10">
        <v>1</v>
      </c>
      <c r="F619" t="s">
        <v>1579</v>
      </c>
      <c r="H619" s="1">
        <v>617</v>
      </c>
      <c r="I619" t="s">
        <v>1811</v>
      </c>
    </row>
    <row r="620" spans="1:9">
      <c r="A620" s="1">
        <v>618</v>
      </c>
      <c r="B620" t="str">
        <f>LEFT(Table1[[#This Row],[EPI_DGN_ANTIC]],1)</f>
        <v>Q</v>
      </c>
      <c r="C620" t="str">
        <f>LEFT(Table1[[#This Row],[EPI_DGN_ANTIC]],2)</f>
        <v>QH</v>
      </c>
      <c r="D620" t="s">
        <v>2481</v>
      </c>
      <c r="E620" s="10">
        <v>1</v>
      </c>
      <c r="F620" t="s">
        <v>2482</v>
      </c>
      <c r="H620" s="1">
        <v>618</v>
      </c>
      <c r="I620" t="s">
        <v>2483</v>
      </c>
    </row>
    <row r="621" spans="1:9">
      <c r="A621" s="1">
        <v>619</v>
      </c>
      <c r="B621" t="str">
        <f>LEFT(Table1[[#This Row],[EPI_DGN_ANTIC]],1)</f>
        <v>N</v>
      </c>
      <c r="C621" t="str">
        <f>LEFT(Table1[[#This Row],[EPI_DGN_ANTIC]],3)</f>
        <v>NMg</v>
      </c>
      <c r="D621" t="s">
        <v>2484</v>
      </c>
      <c r="E621" s="10">
        <v>1</v>
      </c>
      <c r="F621" t="s">
        <v>1587</v>
      </c>
      <c r="H621" s="1">
        <v>619</v>
      </c>
      <c r="I621" t="s">
        <v>2485</v>
      </c>
    </row>
    <row r="622" spans="1:9">
      <c r="A622" s="1">
        <v>620</v>
      </c>
      <c r="B622" t="str">
        <f>LEFT(Table1[[#This Row],[EPI_DGN_ANTIC]],1)</f>
        <v>N</v>
      </c>
      <c r="C622" t="str">
        <f>LEFT(Table1[[#This Row],[EPI_DGN_ANTIC]],3)</f>
        <v>NPM</v>
      </c>
      <c r="D622" t="s">
        <v>2486</v>
      </c>
      <c r="E622" s="10">
        <v>1</v>
      </c>
      <c r="F622" t="s">
        <v>2487</v>
      </c>
      <c r="H622" s="1">
        <v>620</v>
      </c>
      <c r="I622" t="s">
        <v>109</v>
      </c>
    </row>
    <row r="623" spans="1:9">
      <c r="A623" s="1">
        <v>621</v>
      </c>
      <c r="B623" t="str">
        <f>LEFT(Table1[[#This Row],[EPI_DGN_ANTIC]],1)</f>
        <v>N</v>
      </c>
      <c r="C623" t="str">
        <f>LEFT(Table1[[#This Row],[EPI_DGN_ANTIC]],2)</f>
        <v>N</v>
      </c>
      <c r="D623" t="s">
        <v>1550</v>
      </c>
      <c r="E623" s="10">
        <v>0</v>
      </c>
      <c r="H623" s="1">
        <v>621</v>
      </c>
      <c r="I623" t="s">
        <v>1095</v>
      </c>
    </row>
    <row r="624" spans="1:9">
      <c r="A624" s="1">
        <v>622</v>
      </c>
      <c r="B624" t="str">
        <f>LEFT(Table1[[#This Row],[EPI_DGN_ANTIC]],1)</f>
        <v>N</v>
      </c>
      <c r="C624" t="str">
        <f>LEFT(Table1[[#This Row],[EPI_DGN_ANTIC]],3)</f>
        <v>NPA</v>
      </c>
      <c r="D624" t="s">
        <v>2488</v>
      </c>
      <c r="E624" s="10">
        <v>0</v>
      </c>
      <c r="H624" s="1">
        <v>622</v>
      </c>
      <c r="I624" t="s">
        <v>1097</v>
      </c>
    </row>
    <row r="625" spans="1:9">
      <c r="A625" s="1">
        <v>623</v>
      </c>
      <c r="B625" t="str">
        <f>LEFT(Table1[[#This Row],[EPI_DGN_ANTIC]],1)</f>
        <v>N</v>
      </c>
      <c r="C625" t="str">
        <f>LEFT(Table1[[#This Row],[EPI_DGN_ANTIC]],3)</f>
        <v>NPF</v>
      </c>
      <c r="D625" t="s">
        <v>2489</v>
      </c>
      <c r="E625" s="10">
        <v>0</v>
      </c>
      <c r="H625" s="1">
        <v>623</v>
      </c>
      <c r="I625" t="s">
        <v>1105</v>
      </c>
    </row>
    <row r="626" spans="1:9">
      <c r="A626" s="1">
        <v>624</v>
      </c>
      <c r="B626" t="str">
        <f>LEFT(Table1[[#This Row],[EPI_DGN_ANTIC]],1)</f>
        <v>N</v>
      </c>
      <c r="C626" t="str">
        <f>LEFT(Table1[[#This Row],[EPI_DGN_ANTIC]],3)</f>
        <v>NPg</v>
      </c>
      <c r="D626" t="s">
        <v>2490</v>
      </c>
      <c r="E626" s="10">
        <v>0</v>
      </c>
      <c r="H626" s="1">
        <v>624</v>
      </c>
      <c r="I626" t="s">
        <v>1108</v>
      </c>
    </row>
    <row r="627" spans="1:9">
      <c r="A627" s="1">
        <v>625</v>
      </c>
      <c r="B627" t="str">
        <f>LEFT(Table1[[#This Row],[EPI_DGN_ANTIC]],1)</f>
        <v>N</v>
      </c>
      <c r="C627" t="str">
        <f>LEFT(Table1[[#This Row],[EPI_DGN_ANTIC]],3)</f>
        <v>NMb</v>
      </c>
      <c r="D627" t="s">
        <v>1567</v>
      </c>
      <c r="E627" s="10">
        <v>1</v>
      </c>
      <c r="F627" t="s">
        <v>2491</v>
      </c>
      <c r="H627" s="1">
        <v>625</v>
      </c>
      <c r="I627" t="s">
        <v>1111</v>
      </c>
    </row>
    <row r="628" spans="1:9">
      <c r="A628" s="1">
        <v>626</v>
      </c>
      <c r="B628" t="str">
        <f>LEFT(Table1[[#This Row],[EPI_DGN_ANTIC]],1)</f>
        <v>N</v>
      </c>
      <c r="C628" t="str">
        <f>LEFT(Table1[[#This Row],[EPI_DGN_ANTIC]],3)</f>
        <v>NMa</v>
      </c>
      <c r="D628" t="s">
        <v>2492</v>
      </c>
      <c r="E628" s="10">
        <v>0</v>
      </c>
      <c r="H628" s="1">
        <v>626</v>
      </c>
      <c r="I628" t="s">
        <v>1100</v>
      </c>
    </row>
    <row r="629" spans="1:9">
      <c r="A629" s="1">
        <v>627</v>
      </c>
      <c r="B629" t="str">
        <f>LEFT(Table1[[#This Row],[EPI_DGN_ANTIC]],1)</f>
        <v>N</v>
      </c>
      <c r="C629" t="str">
        <f>LEFT(Table1[[#This Row],[EPI_DGN_ANTIC]],2)</f>
        <v>NB</v>
      </c>
      <c r="D629" t="s">
        <v>1798</v>
      </c>
      <c r="E629" s="10">
        <v>1</v>
      </c>
      <c r="F629" t="s">
        <v>2493</v>
      </c>
      <c r="H629" s="1">
        <v>627</v>
      </c>
      <c r="I629" t="s">
        <v>2404</v>
      </c>
    </row>
    <row r="630" spans="1:9">
      <c r="A630" s="1">
        <v>628</v>
      </c>
      <c r="B630" t="str">
        <f>LEFT(Table1[[#This Row],[EPI_DGN_ANTIC]],1)</f>
        <v>N</v>
      </c>
      <c r="C630" t="str">
        <f>LEFT(Table1[[#This Row],[EPI_DGN_ANTIC]],3)</f>
        <v>NPs</v>
      </c>
      <c r="D630" t="s">
        <v>2494</v>
      </c>
      <c r="E630" s="10">
        <v>1</v>
      </c>
      <c r="F630" t="s">
        <v>2495</v>
      </c>
      <c r="H630" s="1">
        <v>628</v>
      </c>
      <c r="I630" t="s">
        <v>125</v>
      </c>
    </row>
    <row r="631" spans="1:9">
      <c r="A631" s="1">
        <v>629</v>
      </c>
      <c r="B631" t="str">
        <f>LEFT(Table1[[#This Row],[EPI_DGN_ANTIC]],1)</f>
        <v>N</v>
      </c>
      <c r="C631" t="str">
        <f>LEFT(Table1[[#This Row],[EPI_DGN_ANTIC]],3)</f>
        <v>NPP</v>
      </c>
      <c r="D631" t="s">
        <v>2496</v>
      </c>
      <c r="E631" s="10">
        <v>0</v>
      </c>
      <c r="H631" s="1">
        <v>629</v>
      </c>
      <c r="I631" t="s">
        <v>1650</v>
      </c>
    </row>
    <row r="632" spans="1:9">
      <c r="A632" s="1">
        <v>630</v>
      </c>
      <c r="B632" t="str">
        <f>LEFT(Table1[[#This Row],[EPI_DGN_ANTIC]],1)</f>
        <v>N</v>
      </c>
      <c r="C632" t="str">
        <f>LEFT(Table1[[#This Row],[EPI_DGN_ANTIC]],3)</f>
        <v>NPP</v>
      </c>
      <c r="D632" t="s">
        <v>2497</v>
      </c>
      <c r="E632" s="10">
        <v>1</v>
      </c>
      <c r="F632" t="s">
        <v>1566</v>
      </c>
      <c r="H632" s="1">
        <v>630</v>
      </c>
      <c r="I632" t="s">
        <v>2498</v>
      </c>
    </row>
    <row r="633" spans="1:9">
      <c r="A633" s="1">
        <v>631</v>
      </c>
      <c r="B633" t="str">
        <f>LEFT(Table1[[#This Row],[EPI_DGN_ANTIC]],1)</f>
        <v>N</v>
      </c>
      <c r="C633" t="str">
        <f>LEFT(Table1[[#This Row],[EPI_DGN_ANTIC]],3)</f>
        <v>NPR</v>
      </c>
      <c r="D633" t="s">
        <v>2499</v>
      </c>
      <c r="E633" s="10">
        <v>1</v>
      </c>
      <c r="F633" t="s">
        <v>2500</v>
      </c>
      <c r="H633" s="1">
        <v>631</v>
      </c>
      <c r="I633" t="s">
        <v>2501</v>
      </c>
    </row>
    <row r="634" spans="1:9">
      <c r="A634" s="1">
        <v>632</v>
      </c>
      <c r="B634" t="str">
        <f>LEFT(Table1[[#This Row],[EPI_DGN_ANTIC]],1)</f>
        <v>N</v>
      </c>
      <c r="C634" t="str">
        <f>LEFT(Table1[[#This Row],[EPI_DGN_ANTIC]],3)</f>
        <v>NPS</v>
      </c>
      <c r="D634" t="s">
        <v>2502</v>
      </c>
      <c r="E634" s="10">
        <v>1</v>
      </c>
      <c r="F634" t="s">
        <v>2487</v>
      </c>
      <c r="H634" s="1">
        <v>632</v>
      </c>
      <c r="I634" t="s">
        <v>534</v>
      </c>
    </row>
    <row r="635" spans="1:9">
      <c r="A635" s="1">
        <v>633</v>
      </c>
      <c r="B635" t="str">
        <f>LEFT(Table1[[#This Row],[EPI_DGN_ANTIC]],1)</f>
        <v>N</v>
      </c>
      <c r="C635" t="str">
        <f>LEFT(Table1[[#This Row],[EPI_DGN_ANTIC]],3)</f>
        <v>NPP</v>
      </c>
      <c r="D635" t="s">
        <v>2503</v>
      </c>
      <c r="E635" s="10">
        <v>1</v>
      </c>
      <c r="F635" t="s">
        <v>1566</v>
      </c>
      <c r="H635" s="1">
        <v>633</v>
      </c>
      <c r="I635" t="s">
        <v>2504</v>
      </c>
    </row>
    <row r="636" spans="1:9">
      <c r="A636" s="1">
        <v>634</v>
      </c>
      <c r="B636" t="str">
        <f>LEFT(Table1[[#This Row],[EPI_DGN_ANTIC]],1)</f>
        <v>N</v>
      </c>
      <c r="C636" t="str">
        <f>LEFT(Table1[[#This Row],[EPI_DGN_ANTIC]],3)</f>
        <v>NPR</v>
      </c>
      <c r="D636" t="s">
        <v>2505</v>
      </c>
      <c r="E636" s="10">
        <v>1</v>
      </c>
      <c r="F636" t="s">
        <v>2506</v>
      </c>
      <c r="H636" s="1">
        <v>634</v>
      </c>
      <c r="I636" t="s">
        <v>2507</v>
      </c>
    </row>
    <row r="637" spans="1:9">
      <c r="A637" s="1">
        <v>635</v>
      </c>
      <c r="B637" t="str">
        <f>LEFT(Table1[[#This Row],[EPI_DGN_ANTIC]],1)</f>
        <v>N</v>
      </c>
      <c r="C637" t="str">
        <f>LEFT(Table1[[#This Row],[EPI_DGN_ANTIC]],3)</f>
        <v>NPR</v>
      </c>
      <c r="D637" t="s">
        <v>2508</v>
      </c>
      <c r="E637" s="10">
        <v>1</v>
      </c>
      <c r="F637" t="s">
        <v>1619</v>
      </c>
      <c r="H637" s="1">
        <v>635</v>
      </c>
      <c r="I637" t="s">
        <v>2509</v>
      </c>
    </row>
    <row r="638" spans="1:9">
      <c r="A638" s="1">
        <v>636</v>
      </c>
      <c r="B638" t="str">
        <f>LEFT(Table1[[#This Row],[EPI_DGN_ANTIC]],1)</f>
        <v>N</v>
      </c>
      <c r="C638" t="str">
        <f>LEFT(Table1[[#This Row],[EPI_DGN_ANTIC]],3)</f>
        <v>NPV</v>
      </c>
      <c r="D638" t="s">
        <v>2510</v>
      </c>
      <c r="E638" s="10">
        <v>1</v>
      </c>
      <c r="F638" t="s">
        <v>2511</v>
      </c>
      <c r="H638" s="1">
        <v>636</v>
      </c>
      <c r="I638" t="s">
        <v>1406</v>
      </c>
    </row>
    <row r="639" spans="1:9">
      <c r="A639" s="1">
        <v>637</v>
      </c>
      <c r="B639" t="str">
        <f>LEFT(Table1[[#This Row],[EPI_DGN_ANTIC]],1)</f>
        <v>N</v>
      </c>
      <c r="C639" t="str">
        <f>LEFT(Table1[[#This Row],[EPI_DGN_ANTIC]],3)</f>
        <v>NPV</v>
      </c>
      <c r="D639" t="s">
        <v>2512</v>
      </c>
      <c r="E639" s="10">
        <v>1</v>
      </c>
      <c r="F639" t="s">
        <v>2511</v>
      </c>
      <c r="H639" s="1">
        <v>637</v>
      </c>
      <c r="I639" t="s">
        <v>2513</v>
      </c>
    </row>
    <row r="640" spans="1:9">
      <c r="A640" s="1">
        <v>638</v>
      </c>
      <c r="B640" t="str">
        <f>LEFT(Table1[[#This Row],[EPI_DGN_ANTIC]],1)</f>
        <v>N</v>
      </c>
      <c r="C640" t="str">
        <f>LEFT(Table1[[#This Row],[EPI_DGN_ANTIC]],3)</f>
        <v>NPs</v>
      </c>
      <c r="D640" t="s">
        <v>2514</v>
      </c>
      <c r="E640" s="10">
        <v>1</v>
      </c>
      <c r="F640" t="s">
        <v>2515</v>
      </c>
      <c r="H640" s="1">
        <v>638</v>
      </c>
      <c r="I640" t="s">
        <v>2513</v>
      </c>
    </row>
    <row r="641" spans="1:9">
      <c r="A641" s="1">
        <v>639</v>
      </c>
      <c r="B641" t="str">
        <f>LEFT(Table1[[#This Row],[EPI_DGN_ANTIC]],1)</f>
        <v>N</v>
      </c>
      <c r="C641" t="str">
        <f>LEFT(Table1[[#This Row],[EPI_DGN_ANTIC]],3)</f>
        <v>NPs</v>
      </c>
      <c r="D641" t="s">
        <v>2516</v>
      </c>
      <c r="E641" s="10">
        <v>1</v>
      </c>
      <c r="F641" t="s">
        <v>2515</v>
      </c>
      <c r="H641" s="1">
        <v>639</v>
      </c>
      <c r="I641" t="s">
        <v>830</v>
      </c>
    </row>
    <row r="642" spans="1:9">
      <c r="A642" s="1">
        <v>640</v>
      </c>
      <c r="B642" t="str">
        <f>LEFT(Table1[[#This Row],[EPI_DGN_ANTIC]],1)</f>
        <v>N</v>
      </c>
      <c r="C642" t="str">
        <f>LEFT(Table1[[#This Row],[EPI_DGN_ANTIC]],2)</f>
        <v>N</v>
      </c>
      <c r="D642" t="s">
        <v>1550</v>
      </c>
      <c r="E642" s="10">
        <v>0</v>
      </c>
      <c r="H642" s="1">
        <v>640</v>
      </c>
      <c r="I642" t="s">
        <v>2513</v>
      </c>
    </row>
    <row r="643" spans="1:9">
      <c r="A643" s="1">
        <v>641</v>
      </c>
      <c r="B643" t="str">
        <f>LEFT(Table1[[#This Row],[EPI_DGN_ANTIC]],1)</f>
        <v>N</v>
      </c>
      <c r="C643" t="str">
        <f>LEFT(Table1[[#This Row],[EPI_DGN_ANTIC]],3)</f>
        <v>NPR</v>
      </c>
      <c r="D643" t="s">
        <v>2517</v>
      </c>
      <c r="E643" s="10">
        <v>0</v>
      </c>
      <c r="H643" s="1">
        <v>641</v>
      </c>
      <c r="I643" t="s">
        <v>2513</v>
      </c>
    </row>
    <row r="644" spans="1:9">
      <c r="A644" s="1">
        <v>642</v>
      </c>
      <c r="B644" t="str">
        <f>LEFT(Table1[[#This Row],[EPI_DGN_ANTIC]],1)</f>
        <v>N</v>
      </c>
      <c r="C644" t="str">
        <f>LEFT(Table1[[#This Row],[EPI_DGN_ANTIC]],3)</f>
        <v>NPS</v>
      </c>
      <c r="D644" t="s">
        <v>2518</v>
      </c>
      <c r="E644" s="10">
        <v>0</v>
      </c>
      <c r="H644" s="1">
        <v>642</v>
      </c>
      <c r="I644" t="s">
        <v>1888</v>
      </c>
    </row>
    <row r="645" spans="1:9">
      <c r="A645" s="1">
        <v>643</v>
      </c>
      <c r="B645" t="str">
        <f>LEFT(Table1[[#This Row],[EPI_DGN_ANTIC]],1)</f>
        <v>N</v>
      </c>
      <c r="C645" t="str">
        <f>LEFT(Table1[[#This Row],[EPI_DGN_ANTIC]],3)</f>
        <v>NPV</v>
      </c>
      <c r="D645" t="s">
        <v>2519</v>
      </c>
      <c r="E645" s="10">
        <v>0</v>
      </c>
      <c r="H645" s="1">
        <v>643</v>
      </c>
      <c r="I645" t="s">
        <v>2513</v>
      </c>
    </row>
    <row r="646" spans="1:9">
      <c r="A646" s="1">
        <v>644</v>
      </c>
      <c r="B646" t="str">
        <f>LEFT(Table1[[#This Row],[EPI_DGN_ANTIC]],1)</f>
        <v>N</v>
      </c>
      <c r="C646" t="str">
        <f>LEFT(Table1[[#This Row],[EPI_DGN_ANTIC]],2)</f>
        <v>Ni</v>
      </c>
      <c r="D646" t="s">
        <v>2520</v>
      </c>
      <c r="E646" s="10">
        <v>0</v>
      </c>
      <c r="H646" s="1">
        <v>644</v>
      </c>
      <c r="I646" t="s">
        <v>2521</v>
      </c>
    </row>
    <row r="647" spans="1:9">
      <c r="A647" s="1">
        <v>645</v>
      </c>
      <c r="B647" t="str">
        <f>LEFT(Table1[[#This Row],[EPI_DGN_ANTIC]],1)</f>
        <v>N</v>
      </c>
      <c r="C647" t="str">
        <f>LEFT(Table1[[#This Row],[EPI_DGN_ANTIC]],3)</f>
        <v>NMc</v>
      </c>
      <c r="D647" t="s">
        <v>2522</v>
      </c>
      <c r="E647" s="10">
        <v>0</v>
      </c>
      <c r="H647" s="1">
        <v>645</v>
      </c>
      <c r="I647" t="s">
        <v>1910</v>
      </c>
    </row>
    <row r="648" spans="1:9">
      <c r="A648" s="1">
        <v>646</v>
      </c>
      <c r="B648" t="str">
        <f>LEFT(Table1[[#This Row],[EPI_DGN_ANTIC]],1)</f>
        <v>N</v>
      </c>
      <c r="C648" t="str">
        <f>LEFT(Table1[[#This Row],[EPI_DGN_ANTIC]],3)</f>
        <v>NMF</v>
      </c>
      <c r="D648" t="s">
        <v>1595</v>
      </c>
      <c r="E648" s="10">
        <v>1</v>
      </c>
      <c r="F648" t="s">
        <v>2523</v>
      </c>
      <c r="H648" s="1">
        <v>646</v>
      </c>
      <c r="I648" t="s">
        <v>1889</v>
      </c>
    </row>
    <row r="649" spans="1:9">
      <c r="A649" s="1">
        <v>647</v>
      </c>
      <c r="B649" t="str">
        <f>LEFT(Table1[[#This Row],[EPI_DGN_ANTIC]],1)</f>
        <v>N</v>
      </c>
      <c r="C649" t="str">
        <f>LEFT(Table1[[#This Row],[EPI_DGN_ANTIC]],3)</f>
        <v>NMg</v>
      </c>
      <c r="D649" t="s">
        <v>1897</v>
      </c>
      <c r="E649" s="10">
        <v>1</v>
      </c>
      <c r="F649" t="s">
        <v>2524</v>
      </c>
      <c r="H649" s="1">
        <v>647</v>
      </c>
      <c r="I649" t="s">
        <v>2525</v>
      </c>
    </row>
    <row r="650" spans="1:9">
      <c r="A650" s="1">
        <v>648</v>
      </c>
      <c r="B650" t="str">
        <f>LEFT(Table1[[#This Row],[EPI_DGN_ANTIC]],1)</f>
        <v>N</v>
      </c>
      <c r="C650" t="str">
        <f>LEFT(Table1[[#This Row],[EPI_DGN_ANTIC]],3)</f>
        <v>NML</v>
      </c>
      <c r="D650" t="s">
        <v>2526</v>
      </c>
      <c r="E650" s="10">
        <v>0</v>
      </c>
      <c r="H650" s="1">
        <v>648</v>
      </c>
      <c r="I650" t="s">
        <v>1406</v>
      </c>
    </row>
    <row r="651" spans="1:9">
      <c r="A651" s="1">
        <v>649</v>
      </c>
      <c r="B651" t="str">
        <f>LEFT(Table1[[#This Row],[EPI_DGN_ANTIC]],1)</f>
        <v>N</v>
      </c>
      <c r="C651" t="str">
        <f>LEFT(Table1[[#This Row],[EPI_DGN_ANTIC]],3)</f>
        <v>NMm</v>
      </c>
      <c r="D651" t="s">
        <v>1590</v>
      </c>
      <c r="E651" s="10">
        <v>1</v>
      </c>
      <c r="F651" t="s">
        <v>2527</v>
      </c>
      <c r="H651" s="1">
        <v>649</v>
      </c>
      <c r="I651" t="s">
        <v>2528</v>
      </c>
    </row>
    <row r="652" spans="1:9">
      <c r="A652" s="1">
        <v>650</v>
      </c>
      <c r="B652" t="str">
        <f>LEFT(Table1[[#This Row],[EPI_DGN_ANTIC]],1)</f>
        <v>N</v>
      </c>
      <c r="C652" t="str">
        <f>LEFT(Table1[[#This Row],[EPI_DGN_ANTIC]],3)</f>
        <v>NMS</v>
      </c>
      <c r="D652" t="s">
        <v>2529</v>
      </c>
      <c r="E652" s="10">
        <v>0</v>
      </c>
      <c r="H652" s="1">
        <v>650</v>
      </c>
      <c r="I652" t="s">
        <v>2530</v>
      </c>
    </row>
    <row r="653" spans="1:9">
      <c r="A653" s="1">
        <v>651</v>
      </c>
      <c r="B653" t="str">
        <f>LEFT(Table1[[#This Row],[EPI_DGN_ANTIC]],1)</f>
        <v>N</v>
      </c>
      <c r="C653" t="str">
        <f>LEFT(Table1[[#This Row],[EPI_DGN_ANTIC]],2)</f>
        <v>NT</v>
      </c>
      <c r="D653" t="s">
        <v>2531</v>
      </c>
      <c r="E653" s="10">
        <v>0</v>
      </c>
      <c r="H653" s="1">
        <v>651</v>
      </c>
      <c r="I653" t="s">
        <v>2532</v>
      </c>
    </row>
    <row r="654" spans="1:9">
      <c r="A654" s="1">
        <v>652</v>
      </c>
      <c r="B654" t="str">
        <f>LEFT(Table1[[#This Row],[EPI_DGN_ANTIC]],1)</f>
        <v>N</v>
      </c>
      <c r="C654" t="str">
        <f>LEFT(Table1[[#This Row],[EPI_DGN_ANTIC]],2)</f>
        <v>Nv</v>
      </c>
      <c r="D654" t="s">
        <v>2533</v>
      </c>
      <c r="E654" s="10">
        <v>1</v>
      </c>
      <c r="F654" t="s">
        <v>2534</v>
      </c>
      <c r="H654" s="1">
        <v>652</v>
      </c>
      <c r="I654" t="s">
        <v>2455</v>
      </c>
    </row>
    <row r="655" spans="1:9">
      <c r="A655" s="1">
        <v>653</v>
      </c>
      <c r="B655" t="str">
        <f>LEFT(Table1[[#This Row],[EPI_DGN_ANTIC]],1)</f>
        <v>N</v>
      </c>
      <c r="C655" t="str">
        <f>LEFT(Table1[[#This Row],[EPI_DGN_ANTIC]],2)</f>
        <v>Nv</v>
      </c>
      <c r="D655" t="s">
        <v>2535</v>
      </c>
      <c r="E655" s="10">
        <v>1</v>
      </c>
      <c r="F655" t="s">
        <v>2536</v>
      </c>
      <c r="H655" s="1">
        <v>653</v>
      </c>
      <c r="I655" t="s">
        <v>2537</v>
      </c>
    </row>
    <row r="656" spans="1:9">
      <c r="A656" s="1">
        <v>654</v>
      </c>
      <c r="B656" t="str">
        <f>LEFT(Table1[[#This Row],[EPI_DGN_ANTIC]],1)</f>
        <v>N</v>
      </c>
      <c r="C656" t="str">
        <f>LEFT(Table1[[#This Row],[EPI_DGN_ANTIC]],2)</f>
        <v>NT</v>
      </c>
      <c r="D656" t="s">
        <v>2531</v>
      </c>
      <c r="E656" s="10">
        <v>1</v>
      </c>
      <c r="F656" t="s">
        <v>2538</v>
      </c>
      <c r="H656" s="1">
        <v>654</v>
      </c>
      <c r="I656" t="s">
        <v>884</v>
      </c>
    </row>
    <row r="657" spans="1:9">
      <c r="A657" s="1">
        <v>655</v>
      </c>
      <c r="B657" t="str">
        <f>LEFT(Table1[[#This Row],[EPI_DGN_ANTIC]],1)</f>
        <v>N</v>
      </c>
      <c r="C657" t="str">
        <f>LEFT(Table1[[#This Row],[EPI_DGN_ANTIC]],2)</f>
        <v>N</v>
      </c>
      <c r="D657" t="s">
        <v>1550</v>
      </c>
      <c r="E657" s="10">
        <v>1</v>
      </c>
      <c r="F657" t="s">
        <v>1616</v>
      </c>
      <c r="H657" s="1">
        <v>655</v>
      </c>
      <c r="I657" t="s">
        <v>2539</v>
      </c>
    </row>
    <row r="658" spans="1:9">
      <c r="A658" s="1">
        <v>656</v>
      </c>
      <c r="B658" t="str">
        <f>LEFT(Table1[[#This Row],[EPI_DGN_ANTIC]],1)</f>
        <v>N</v>
      </c>
      <c r="C658" t="str">
        <f>LEFT(Table1[[#This Row],[EPI_DGN_ANTIC]],2)</f>
        <v>Nv</v>
      </c>
      <c r="D658" t="s">
        <v>2540</v>
      </c>
      <c r="E658" s="10">
        <v>0</v>
      </c>
      <c r="H658" s="1">
        <v>656</v>
      </c>
      <c r="I658" t="s">
        <v>2455</v>
      </c>
    </row>
    <row r="659" spans="1:9">
      <c r="A659" s="1">
        <v>657</v>
      </c>
      <c r="B659" t="str">
        <f>LEFT(Table1[[#This Row],[EPI_DGN_ANTIC]],1)</f>
        <v>N</v>
      </c>
      <c r="C659" t="str">
        <f>LEFT(Table1[[#This Row],[EPI_DGN_ANTIC]],2)</f>
        <v>Nv</v>
      </c>
      <c r="D659" t="s">
        <v>2540</v>
      </c>
      <c r="E659" s="10">
        <v>1</v>
      </c>
      <c r="F659" t="s">
        <v>1558</v>
      </c>
      <c r="H659" s="1">
        <v>657</v>
      </c>
      <c r="I659" t="s">
        <v>303</v>
      </c>
    </row>
    <row r="660" spans="1:9">
      <c r="A660" s="1">
        <v>658</v>
      </c>
      <c r="B660" t="str">
        <f>LEFT(Table1[[#This Row],[EPI_DGN_ANTIC]],1)</f>
        <v>N</v>
      </c>
      <c r="C660" t="str">
        <f>LEFT(Table1[[#This Row],[EPI_DGN_ANTIC]],3)</f>
        <v>NQP</v>
      </c>
      <c r="D660" t="s">
        <v>2541</v>
      </c>
      <c r="E660" s="10">
        <v>0</v>
      </c>
      <c r="H660" s="1">
        <v>658</v>
      </c>
      <c r="I660" t="s">
        <v>2542</v>
      </c>
    </row>
    <row r="661" spans="1:9">
      <c r="A661" s="1">
        <v>659</v>
      </c>
      <c r="B661" t="s">
        <v>1355</v>
      </c>
      <c r="C661" t="str">
        <f>LEFT(Table1[[#This Row],[EPI_DGN_ANTIC]],1)</f>
        <v>D</v>
      </c>
      <c r="D661" t="s">
        <v>378</v>
      </c>
      <c r="E661" s="10">
        <v>0</v>
      </c>
      <c r="H661" s="1">
        <v>659</v>
      </c>
      <c r="I661" t="s">
        <v>2543</v>
      </c>
    </row>
    <row r="662" spans="1:9">
      <c r="A662" s="1">
        <v>660</v>
      </c>
      <c r="B662" t="s">
        <v>1355</v>
      </c>
      <c r="C662" t="str">
        <f>LEFT(Table1[[#This Row],[EPI_DGN_ANTIC]],1)</f>
        <v>D</v>
      </c>
      <c r="D662" t="s">
        <v>2544</v>
      </c>
      <c r="E662" s="10">
        <v>0</v>
      </c>
      <c r="H662" s="1">
        <v>660</v>
      </c>
      <c r="I662" t="s">
        <v>2545</v>
      </c>
    </row>
    <row r="663" spans="1:9">
      <c r="A663" s="1">
        <v>661</v>
      </c>
      <c r="B663" t="s">
        <v>1355</v>
      </c>
      <c r="C663" t="str">
        <f>LEFT(Table1[[#This Row],[EPI_DGN_ANTIC]],1)</f>
        <v>M</v>
      </c>
      <c r="D663" t="s">
        <v>2546</v>
      </c>
      <c r="E663" s="10">
        <v>0</v>
      </c>
      <c r="H663" s="1">
        <v>661</v>
      </c>
      <c r="I663" t="s">
        <v>2547</v>
      </c>
    </row>
    <row r="664" spans="1:9">
      <c r="A664" s="1">
        <v>662</v>
      </c>
      <c r="B664" t="str">
        <f>LEFT(Table1[[#This Row],[EPI_DGN_ANTIC]],1)</f>
        <v>N</v>
      </c>
      <c r="C664" t="str">
        <f>LEFT(Table1[[#This Row],[EPI_DGN_ANTIC]],2)</f>
        <v>NM</v>
      </c>
      <c r="D664" t="s">
        <v>1563</v>
      </c>
      <c r="E664" s="10">
        <v>1</v>
      </c>
      <c r="F664" t="s">
        <v>794</v>
      </c>
      <c r="H664" s="1">
        <v>662</v>
      </c>
      <c r="I664" t="s">
        <v>2548</v>
      </c>
    </row>
    <row r="665" spans="1:9">
      <c r="A665" s="1">
        <v>663</v>
      </c>
      <c r="B665" t="str">
        <f>LEFT(Table1[[#This Row],[EPI_DGN_ANTIC]],1)</f>
        <v>N</v>
      </c>
      <c r="C665" t="str">
        <f>LEFT(Table1[[#This Row],[EPI_DGN_ANTIC]],3)</f>
        <v>NPF</v>
      </c>
      <c r="D665" t="s">
        <v>2549</v>
      </c>
      <c r="E665" s="10">
        <v>1</v>
      </c>
      <c r="F665" t="s">
        <v>1616</v>
      </c>
      <c r="H665" s="1">
        <v>663</v>
      </c>
      <c r="I665" t="s">
        <v>2550</v>
      </c>
    </row>
    <row r="666" spans="1:9">
      <c r="A666" s="1">
        <v>664</v>
      </c>
      <c r="B666" t="str">
        <f>LEFT(Table1[[#This Row],[EPI_DGN_ANTIC]],1)</f>
        <v>N</v>
      </c>
      <c r="C666" t="str">
        <f>LEFT(Table1[[#This Row],[EPI_DGN_ANTIC]],3)</f>
        <v>NPF</v>
      </c>
      <c r="D666" t="s">
        <v>2551</v>
      </c>
      <c r="E666" s="10">
        <v>1</v>
      </c>
      <c r="F666" t="s">
        <v>1622</v>
      </c>
      <c r="H666" s="1">
        <v>664</v>
      </c>
      <c r="I666" t="s">
        <v>2552</v>
      </c>
    </row>
    <row r="667" spans="1:9">
      <c r="A667" s="1">
        <v>665</v>
      </c>
      <c r="B667" t="str">
        <f>LEFT(Table1[[#This Row],[EPI_DGN_ANTIC]],1)</f>
        <v>N</v>
      </c>
      <c r="C667" t="str">
        <f>LEFT(Table1[[#This Row],[EPI_DGN_ANTIC]],3)</f>
        <v>NQP</v>
      </c>
      <c r="D667" t="s">
        <v>2553</v>
      </c>
      <c r="E667" s="10">
        <v>1</v>
      </c>
      <c r="F667" t="s">
        <v>2554</v>
      </c>
    </row>
    <row r="668" spans="1:9">
      <c r="A668" s="1">
        <v>666</v>
      </c>
      <c r="B668" t="str">
        <f>LEFT(Table1[[#This Row],[EPI_DGN_ANTIC]],1)</f>
        <v>O</v>
      </c>
      <c r="C668" t="str">
        <f>LEFT(Table1[[#This Row],[EPI_DGN_ANTIC]],3)</f>
        <v>Ord</v>
      </c>
      <c r="D668" t="s">
        <v>2555</v>
      </c>
      <c r="E668" s="10">
        <v>1</v>
      </c>
      <c r="F668" t="s">
        <v>1784</v>
      </c>
    </row>
    <row r="669" spans="1:9">
      <c r="A669" s="1">
        <v>667</v>
      </c>
      <c r="B669" t="str">
        <f>LEFT(Table1[[#This Row],[EPI_DGN_ANTIC]],1)</f>
        <v>O</v>
      </c>
      <c r="C669" t="str">
        <f>LEFT(Table1[[#This Row],[EPI_DGN_ANTIC]],3)</f>
        <v>Ord</v>
      </c>
      <c r="D669" t="s">
        <v>2556</v>
      </c>
      <c r="E669" s="10">
        <v>1</v>
      </c>
      <c r="F669" t="s">
        <v>1730</v>
      </c>
    </row>
    <row r="670" spans="1:9">
      <c r="A670" s="1">
        <v>668</v>
      </c>
      <c r="B670" t="str">
        <f>LEFT(Table1[[#This Row],[EPI_DGN_ANTIC]],1)</f>
        <v>P</v>
      </c>
      <c r="C670" t="str">
        <f>LEFT(Table1[[#This Row],[EPI_DGN_ANTIC]],2)</f>
        <v>Pa</v>
      </c>
      <c r="D670" t="s">
        <v>2557</v>
      </c>
      <c r="E670" s="10">
        <v>1</v>
      </c>
      <c r="F670" t="s">
        <v>1211</v>
      </c>
    </row>
    <row r="671" spans="1:9">
      <c r="A671" s="1">
        <v>669</v>
      </c>
      <c r="B671" t="str">
        <f>LEFT(Table1[[#This Row],[EPI_DGN_ANTIC]],1)</f>
        <v>P</v>
      </c>
      <c r="C671" t="str">
        <f>LEFT(Table1[[#This Row],[EPI_DGN_ANTIC]],2)</f>
        <v>PI</v>
      </c>
      <c r="D671" t="s">
        <v>2558</v>
      </c>
      <c r="E671" s="10">
        <v>1</v>
      </c>
      <c r="F671" t="s">
        <v>1661</v>
      </c>
    </row>
    <row r="672" spans="1:9">
      <c r="A672" s="1">
        <v>670</v>
      </c>
      <c r="B672" t="str">
        <f>LEFT(Table1[[#This Row],[EPI_DGN_ANTIC]],1)</f>
        <v>P</v>
      </c>
      <c r="C672" t="str">
        <f>LEFT(Table1[[#This Row],[EPI_DGN_ANTIC]],2)</f>
        <v>PI</v>
      </c>
      <c r="D672" t="s">
        <v>2559</v>
      </c>
      <c r="E672" s="10">
        <v>1</v>
      </c>
      <c r="F672" t="s">
        <v>1661</v>
      </c>
    </row>
    <row r="673" spans="1:6">
      <c r="A673" s="1">
        <v>671</v>
      </c>
      <c r="B673" t="str">
        <f>LEFT(Table1[[#This Row],[EPI_DGN_ANTIC]],1)</f>
        <v>P</v>
      </c>
      <c r="C673" t="str">
        <f>LEFT(Table1[[#This Row],[EPI_DGN_ANTIC]],2)</f>
        <v>PI</v>
      </c>
      <c r="D673" t="s">
        <v>2560</v>
      </c>
      <c r="E673" s="10">
        <v>1</v>
      </c>
      <c r="F673" t="s">
        <v>1661</v>
      </c>
    </row>
    <row r="674" spans="1:6">
      <c r="A674" s="1">
        <v>672</v>
      </c>
      <c r="B674" t="str">
        <f>LEFT(Table1[[#This Row],[EPI_DGN_ANTIC]],1)</f>
        <v>Q</v>
      </c>
      <c r="C674" t="str">
        <f>LEFT(Table1[[#This Row],[EPI_DGN_ANTIC]],2)</f>
        <v>QH</v>
      </c>
      <c r="D674" t="s">
        <v>2561</v>
      </c>
      <c r="E674" s="10">
        <v>0</v>
      </c>
    </row>
    <row r="675" spans="1:6">
      <c r="A675" s="1">
        <v>673</v>
      </c>
      <c r="B675" t="str">
        <f>LEFT(Table1[[#This Row],[EPI_DGN_ANTIC]],1)</f>
        <v>Q</v>
      </c>
      <c r="C675" t="str">
        <f>LEFT(Table1[[#This Row],[EPI_DGN_ANTIC]],2)</f>
        <v>QH</v>
      </c>
      <c r="D675" t="s">
        <v>2562</v>
      </c>
      <c r="E675" s="10">
        <v>1</v>
      </c>
      <c r="F675" t="s">
        <v>2563</v>
      </c>
    </row>
    <row r="676" spans="1:6">
      <c r="A676" s="1">
        <v>674</v>
      </c>
      <c r="B676" t="str">
        <f>LEFT(Table1[[#This Row],[EPI_DGN_ANTIC]],1)</f>
        <v>Q</v>
      </c>
      <c r="C676" t="str">
        <f>LEFT(Table1[[#This Row],[EPI_DGN_ANTIC]],2)</f>
        <v>QH</v>
      </c>
      <c r="D676" t="s">
        <v>2564</v>
      </c>
      <c r="E676" s="10">
        <v>1</v>
      </c>
      <c r="F676" t="s">
        <v>2565</v>
      </c>
    </row>
    <row r="677" spans="1:6">
      <c r="A677" s="1">
        <v>675</v>
      </c>
      <c r="B677" t="str">
        <f>LEFT(Table1[[#This Row],[EPI_DGN_ANTIC]],1)</f>
        <v>Q</v>
      </c>
      <c r="C677" t="str">
        <f>LEFT(Table1[[#This Row],[EPI_DGN_ANTIC]],2)</f>
        <v>QH</v>
      </c>
      <c r="D677" t="s">
        <v>2566</v>
      </c>
      <c r="E677" s="10">
        <v>1</v>
      </c>
      <c r="F677" t="s">
        <v>2302</v>
      </c>
    </row>
    <row r="678" spans="1:6">
      <c r="A678" s="1">
        <v>676</v>
      </c>
      <c r="B678" t="str">
        <f>LEFT(Table1[[#This Row],[EPI_DGN_ANTIC]],1)</f>
        <v>Q</v>
      </c>
      <c r="C678" t="str">
        <f>LEFT(Table1[[#This Row],[EPI_DGN_ANTIC]],2)</f>
        <v>QH</v>
      </c>
      <c r="D678" t="s">
        <v>2567</v>
      </c>
      <c r="E678" s="10">
        <v>1</v>
      </c>
      <c r="F678" t="s">
        <v>2302</v>
      </c>
    </row>
    <row r="679" spans="1:6">
      <c r="A679" s="1">
        <v>677</v>
      </c>
      <c r="B679" t="str">
        <f>LEFT(Table1[[#This Row],[EPI_DGN_ANTIC]],1)</f>
        <v>Q</v>
      </c>
      <c r="C679" t="str">
        <f>LEFT(Table1[[#This Row],[EPI_DGN_ANTIC]],3)</f>
        <v>QPb</v>
      </c>
      <c r="D679" t="s">
        <v>2568</v>
      </c>
      <c r="E679" s="10">
        <v>1</v>
      </c>
      <c r="F679" t="s">
        <v>1925</v>
      </c>
    </row>
    <row r="680" spans="1:6">
      <c r="A680" s="1">
        <v>678</v>
      </c>
      <c r="B680" t="str">
        <f>LEFT(Table1[[#This Row],[EPI_DGN_ANTIC]],1)</f>
        <v>Q</v>
      </c>
      <c r="C680" t="str">
        <f>LEFT(Table1[[#This Row],[EPI_DGN_ANTIC]],3)</f>
        <v>QPb</v>
      </c>
      <c r="D680" t="s">
        <v>2569</v>
      </c>
      <c r="E680" s="10">
        <v>0</v>
      </c>
    </row>
    <row r="681" spans="1:6">
      <c r="A681" s="1">
        <v>679</v>
      </c>
      <c r="B681" t="str">
        <f>LEFT(Table1[[#This Row],[EPI_DGN_ANTIC]],1)</f>
        <v>Q</v>
      </c>
      <c r="C681" t="str">
        <f>LEFT(Table1[[#This Row],[EPI_DGN_ANTIC]],3)</f>
        <v>QPc</v>
      </c>
      <c r="D681" t="s">
        <v>2570</v>
      </c>
      <c r="E681" s="10">
        <v>1</v>
      </c>
      <c r="F681" t="s">
        <v>2571</v>
      </c>
    </row>
    <row r="682" spans="1:6">
      <c r="A682" s="1">
        <v>680</v>
      </c>
      <c r="B682" t="str">
        <f>LEFT(Table1[[#This Row],[EPI_DGN_ANTIC]],1)</f>
        <v>Q</v>
      </c>
      <c r="C682" t="str">
        <f>LEFT(Table1[[#This Row],[EPI_DGN_ANTIC]],3)</f>
        <v>QPc</v>
      </c>
      <c r="D682" t="s">
        <v>2572</v>
      </c>
      <c r="E682" s="10">
        <v>1</v>
      </c>
      <c r="F682" t="s">
        <v>2573</v>
      </c>
    </row>
    <row r="683" spans="1:6">
      <c r="A683" s="1">
        <v>681</v>
      </c>
      <c r="B683" t="str">
        <f>LEFT(Table1[[#This Row],[EPI_DGN_ANTIC]],1)</f>
        <v>Q</v>
      </c>
      <c r="C683" t="str">
        <f>LEFT(Table1[[#This Row],[EPI_DGN_ANTIC]],3)</f>
        <v>QPc</v>
      </c>
      <c r="D683" t="s">
        <v>2574</v>
      </c>
      <c r="E683" s="10">
        <v>0</v>
      </c>
    </row>
    <row r="684" spans="1:6">
      <c r="A684" s="1">
        <v>682</v>
      </c>
      <c r="B684" t="str">
        <f>LEFT(Table1[[#This Row],[EPI_DGN_ANTIC]],1)</f>
        <v>Q</v>
      </c>
      <c r="C684" t="str">
        <f>LEFT(Table1[[#This Row],[EPI_DGN_ANTIC]],2)</f>
        <v>QH</v>
      </c>
      <c r="D684" t="s">
        <v>2165</v>
      </c>
      <c r="E684" s="10">
        <v>1</v>
      </c>
      <c r="F684" t="s">
        <v>1501</v>
      </c>
    </row>
    <row r="685" spans="1:6">
      <c r="A685" s="1">
        <v>683</v>
      </c>
      <c r="B685" t="str">
        <f>LEFT(Table1[[#This Row],[EPI_DGN_ANTIC]],1)</f>
        <v>Q</v>
      </c>
      <c r="C685" t="str">
        <f>LEFT(Table1[[#This Row],[EPI_DGN_ANTIC]],3)</f>
        <v>QPl</v>
      </c>
      <c r="D685" t="s">
        <v>2575</v>
      </c>
      <c r="E685" s="10">
        <v>1</v>
      </c>
      <c r="F685" t="s">
        <v>2426</v>
      </c>
    </row>
    <row r="686" spans="1:6">
      <c r="A686" s="1">
        <v>684</v>
      </c>
      <c r="B686" t="str">
        <f>LEFT(Table1[[#This Row],[EPI_DGN_ANTIC]],1)</f>
        <v>Q</v>
      </c>
      <c r="C686" t="str">
        <f>LEFT(Table1[[#This Row],[EPI_DGN_ANTIC]],3)</f>
        <v>QPt</v>
      </c>
      <c r="D686" t="s">
        <v>2576</v>
      </c>
      <c r="E686" s="10">
        <v>1</v>
      </c>
      <c r="F686" t="s">
        <v>2219</v>
      </c>
    </row>
    <row r="687" spans="1:6">
      <c r="A687" s="1">
        <v>685</v>
      </c>
      <c r="B687" t="str">
        <f>LEFT(Table1[[#This Row],[EPI_DGN_ANTIC]],1)</f>
        <v>Q</v>
      </c>
      <c r="C687" t="str">
        <f>LEFT(Table1[[#This Row],[EPI_DGN_ANTIC]],2)</f>
        <v>QP</v>
      </c>
      <c r="D687" t="s">
        <v>2577</v>
      </c>
      <c r="E687" s="10">
        <v>1</v>
      </c>
      <c r="F687" t="s">
        <v>2236</v>
      </c>
    </row>
    <row r="688" spans="1:6">
      <c r="A688" s="1">
        <v>686</v>
      </c>
      <c r="B688" t="str">
        <f>LEFT(Table1[[#This Row],[EPI_DGN_ANTIC]],1)</f>
        <v>Q</v>
      </c>
      <c r="C688" t="str">
        <f>LEFT(Table1[[#This Row],[EPI_DGN_ANTIC]],3)</f>
        <v>QPt</v>
      </c>
      <c r="D688" t="s">
        <v>2578</v>
      </c>
      <c r="E688" s="10">
        <v>1</v>
      </c>
      <c r="F688" t="s">
        <v>2579</v>
      </c>
    </row>
    <row r="689" spans="1:6">
      <c r="A689" s="1">
        <v>687</v>
      </c>
      <c r="B689" t="str">
        <f>LEFT(Table1[[#This Row],[EPI_DGN_ANTIC]],1)</f>
        <v>Q</v>
      </c>
      <c r="C689" t="str">
        <f>LEFT(Table1[[#This Row],[EPI_DGN_ANTIC]],4)</f>
        <v>QPHt</v>
      </c>
      <c r="D689" t="s">
        <v>2580</v>
      </c>
      <c r="E689" s="10">
        <v>1</v>
      </c>
      <c r="F689" t="s">
        <v>1935</v>
      </c>
    </row>
    <row r="690" spans="1:6">
      <c r="A690" s="1">
        <v>688</v>
      </c>
      <c r="B690" t="str">
        <f>LEFT(Table1[[#This Row],[EPI_DGN_ANTIC]],1)</f>
        <v>Q</v>
      </c>
      <c r="C690" t="str">
        <f>LEFT(Table1[[#This Row],[EPI_DGN_ANTIC]],3)</f>
        <v>QPt</v>
      </c>
      <c r="D690" t="s">
        <v>2581</v>
      </c>
      <c r="E690" s="10">
        <v>1</v>
      </c>
      <c r="F690" t="s">
        <v>2582</v>
      </c>
    </row>
    <row r="691" spans="1:6">
      <c r="A691" s="1">
        <v>689</v>
      </c>
      <c r="B691" t="str">
        <f>LEFT(Table1[[#This Row],[EPI_DGN_ANTIC]],1)</f>
        <v>Q</v>
      </c>
      <c r="C691" t="str">
        <f>LEFT(Table1[[#This Row],[EPI_DGN_ANTIC]],3)</f>
        <v>QPt</v>
      </c>
      <c r="D691" t="s">
        <v>2583</v>
      </c>
      <c r="E691" s="10">
        <v>1</v>
      </c>
      <c r="F691" t="s">
        <v>2584</v>
      </c>
    </row>
    <row r="692" spans="1:6">
      <c r="A692" s="1">
        <v>690</v>
      </c>
      <c r="B692" t="str">
        <f>LEFT(Table1[[#This Row],[EPI_DGN_ANTIC]],1)</f>
        <v>Q</v>
      </c>
      <c r="C692" t="str">
        <f>LEFT(Table1[[#This Row],[EPI_DGN_ANTIC]],4)</f>
        <v>QPHt</v>
      </c>
      <c r="D692" t="s">
        <v>2585</v>
      </c>
      <c r="E692" s="10">
        <v>1</v>
      </c>
      <c r="F692" t="s">
        <v>2586</v>
      </c>
    </row>
    <row r="693" spans="1:6">
      <c r="A693" s="1">
        <v>691</v>
      </c>
      <c r="B693" t="str">
        <f>LEFT(Table1[[#This Row],[EPI_DGN_ANTIC]],1)</f>
        <v>Q</v>
      </c>
      <c r="C693" t="str">
        <f>LEFT(Table1[[#This Row],[EPI_DGN_ANTIC]],4)</f>
        <v>QPHt</v>
      </c>
      <c r="D693" t="s">
        <v>2587</v>
      </c>
      <c r="E693" s="10">
        <v>1</v>
      </c>
      <c r="F693" t="s">
        <v>2588</v>
      </c>
    </row>
    <row r="694" spans="1:6">
      <c r="A694" s="1">
        <v>692</v>
      </c>
      <c r="B694" t="str">
        <f>LEFT(Table1[[#This Row],[EPI_DGN_ANTIC]],1)</f>
        <v>Q</v>
      </c>
      <c r="C694" t="str">
        <f>LEFT(Table1[[#This Row],[EPI_DGN_ANTIC]],4)</f>
        <v>QPHd</v>
      </c>
      <c r="D694" t="s">
        <v>2589</v>
      </c>
      <c r="E694" s="10">
        <v>1</v>
      </c>
      <c r="F694" t="s">
        <v>2590</v>
      </c>
    </row>
    <row r="695" spans="1:6">
      <c r="A695" s="1">
        <v>693</v>
      </c>
      <c r="B695" t="str">
        <f>LEFT(Table1[[#This Row],[EPI_DGN_ANTIC]],1)</f>
        <v>Q</v>
      </c>
      <c r="C695" t="str">
        <f>LEFT(Table1[[#This Row],[EPI_DGN_ANTIC]],2)</f>
        <v>QH</v>
      </c>
      <c r="D695" t="s">
        <v>2591</v>
      </c>
      <c r="E695" s="10">
        <v>1</v>
      </c>
      <c r="F695" t="s">
        <v>2592</v>
      </c>
    </row>
    <row r="696" spans="1:6">
      <c r="A696" s="1">
        <v>694</v>
      </c>
      <c r="B696" t="str">
        <f>LEFT(Table1[[#This Row],[EPI_DGN_ANTIC]],1)</f>
        <v>Q</v>
      </c>
      <c r="C696" t="str">
        <f>LEFT(Table1[[#This Row],[EPI_DGN_ANTIC]],3)</f>
        <v>QPv</v>
      </c>
      <c r="D696" t="s">
        <v>2593</v>
      </c>
      <c r="E696" s="10">
        <v>1</v>
      </c>
      <c r="F696" t="s">
        <v>2594</v>
      </c>
    </row>
    <row r="697" spans="1:6">
      <c r="A697" s="1">
        <v>695</v>
      </c>
      <c r="B697" t="str">
        <f>LEFT(Table1[[#This Row],[EPI_DGN_ANTIC]],1)</f>
        <v>Q</v>
      </c>
      <c r="C697" t="str">
        <f>LEFT(Table1[[#This Row],[EPI_DGN_ANTIC]],3)</f>
        <v>QPv</v>
      </c>
      <c r="D697" t="s">
        <v>2595</v>
      </c>
      <c r="E697" s="10">
        <v>1</v>
      </c>
      <c r="F697" t="s">
        <v>1538</v>
      </c>
    </row>
    <row r="698" spans="1:6">
      <c r="A698" s="1">
        <v>696</v>
      </c>
      <c r="B698" t="str">
        <f>LEFT(Table1[[#This Row],[EPI_DGN_ANTIC]],1)</f>
        <v>Q</v>
      </c>
      <c r="C698" t="str">
        <f>LEFT(Table1[[#This Row],[EPI_DGN_ANTIC]],3)</f>
        <v>QPv</v>
      </c>
      <c r="D698" t="s">
        <v>2596</v>
      </c>
      <c r="E698" s="10">
        <v>1</v>
      </c>
      <c r="F698" t="s">
        <v>2430</v>
      </c>
    </row>
    <row r="699" spans="1:6">
      <c r="A699" s="1">
        <v>697</v>
      </c>
      <c r="B699" t="str">
        <f>LEFT(Table1[[#This Row],[EPI_DGN_ANTIC]],1)</f>
        <v>Q</v>
      </c>
      <c r="C699" t="str">
        <f>LEFT(Table1[[#This Row],[EPI_DGN_ANTIC]],3)</f>
        <v>QPv</v>
      </c>
      <c r="D699" t="s">
        <v>2597</v>
      </c>
      <c r="E699" s="10">
        <v>1</v>
      </c>
      <c r="F699" t="s">
        <v>2598</v>
      </c>
    </row>
    <row r="700" spans="1:6">
      <c r="A700" s="1">
        <v>698</v>
      </c>
      <c r="B700" t="str">
        <f>LEFT(Table1[[#This Row],[EPI_DGN_ANTIC]],1)</f>
        <v>Q</v>
      </c>
      <c r="C700" t="str">
        <f>LEFT(Table1[[#This Row],[EPI_DGN_ANTIC]],3)</f>
        <v>QPv</v>
      </c>
      <c r="D700" t="s">
        <v>2599</v>
      </c>
      <c r="E700" s="10">
        <v>1</v>
      </c>
      <c r="F700" t="s">
        <v>1543</v>
      </c>
    </row>
    <row r="701" spans="1:6">
      <c r="A701" s="1">
        <v>699</v>
      </c>
      <c r="B701" t="str">
        <f>LEFT(Table1[[#This Row],[EPI_DGN_ANTIC]],1)</f>
        <v>Q</v>
      </c>
      <c r="C701" t="str">
        <f>LEFT(Table1[[#This Row],[EPI_DGN_ANTIC]],3)</f>
        <v>QPf</v>
      </c>
      <c r="D701" t="s">
        <v>2600</v>
      </c>
      <c r="E701" s="10">
        <v>1</v>
      </c>
      <c r="F701" t="s">
        <v>2208</v>
      </c>
    </row>
    <row r="702" spans="1:6">
      <c r="A702" s="1">
        <v>700</v>
      </c>
      <c r="B702" t="str">
        <f>LEFT(Table1[[#This Row],[EPI_DGN_ANTIC]],1)</f>
        <v>Q</v>
      </c>
      <c r="C702" t="str">
        <f>LEFT(Table1[[#This Row],[EPI_DGN_ANTIC]],3)</f>
        <v>QPm</v>
      </c>
      <c r="D702" t="s">
        <v>2601</v>
      </c>
      <c r="E702" s="10">
        <v>1</v>
      </c>
      <c r="F702" t="s">
        <v>2602</v>
      </c>
    </row>
    <row r="703" spans="1:6">
      <c r="A703" s="1">
        <v>701</v>
      </c>
      <c r="B703" t="str">
        <f>LEFT(Table1[[#This Row],[EPI_DGN_ANTIC]],1)</f>
        <v>Q</v>
      </c>
      <c r="C703" t="str">
        <f>LEFT(Table1[[#This Row],[EPI_DGN_ANTIC]],3)</f>
        <v>QPm</v>
      </c>
      <c r="D703" t="s">
        <v>2603</v>
      </c>
      <c r="E703" s="10">
        <v>0</v>
      </c>
    </row>
    <row r="704" spans="1:6">
      <c r="A704" s="1">
        <v>702</v>
      </c>
      <c r="B704" t="str">
        <f>LEFT(Table1[[#This Row],[EPI_DGN_ANTIC]],1)</f>
        <v>S</v>
      </c>
      <c r="C704" t="str">
        <f>LEFT(Table1[[#This Row],[EPI_DGN_ANTIC]],2)</f>
        <v>SD</v>
      </c>
      <c r="D704" t="s">
        <v>2604</v>
      </c>
      <c r="E704" s="10">
        <v>1</v>
      </c>
      <c r="F704" t="s">
        <v>1801</v>
      </c>
    </row>
    <row r="705" spans="1:6">
      <c r="A705" s="1">
        <v>703</v>
      </c>
      <c r="B705" t="str">
        <f>LEFT(Table1[[#This Row],[EPI_DGN_ANTIC]],1)</f>
        <v>P</v>
      </c>
      <c r="C705" t="str">
        <f>LEFT(Table1[[#This Row],[EPI_DGN_ANTIC]],3)</f>
        <v>PEB</v>
      </c>
      <c r="D705" t="s">
        <v>2605</v>
      </c>
      <c r="E705" s="10">
        <v>1</v>
      </c>
      <c r="F705" t="s">
        <v>2606</v>
      </c>
    </row>
    <row r="706" spans="1:6">
      <c r="A706" s="1">
        <v>704</v>
      </c>
      <c r="B706" t="str">
        <f>LEFT(Table1[[#This Row],[EPI_DGN_ANTIC]],1)</f>
        <v>P</v>
      </c>
      <c r="C706" t="str">
        <f>LEFT(Table1[[#This Row],[EPI_DGN_ANTIC]],3)</f>
        <v>PEB</v>
      </c>
      <c r="D706" t="s">
        <v>2607</v>
      </c>
      <c r="E706" s="10">
        <v>1</v>
      </c>
      <c r="F706" t="s">
        <v>2608</v>
      </c>
    </row>
    <row r="707" spans="1:6">
      <c r="A707" s="1">
        <v>705</v>
      </c>
      <c r="B707" t="str">
        <f>LEFT(Table1[[#This Row],[EPI_DGN_ANTIC]],1)</f>
        <v>P</v>
      </c>
      <c r="C707" t="str">
        <f>LEFT(Table1[[#This Row],[EPI_DGN_ANTIC]],3)</f>
        <v>PEB</v>
      </c>
      <c r="D707" t="s">
        <v>2609</v>
      </c>
      <c r="E707" s="10">
        <v>1</v>
      </c>
      <c r="F707" t="s">
        <v>2610</v>
      </c>
    </row>
    <row r="708" spans="1:6">
      <c r="A708" s="1">
        <v>706</v>
      </c>
      <c r="B708" t="str">
        <f>LEFT(Table1[[#This Row],[EPI_DGN_ANTIC]],1)</f>
        <v>P</v>
      </c>
      <c r="C708" t="str">
        <f>LEFT(Table1[[#This Row],[EPI_DGN_ANTIC]],3)</f>
        <v>PEB</v>
      </c>
      <c r="D708" t="s">
        <v>2611</v>
      </c>
      <c r="E708" s="10">
        <v>1</v>
      </c>
      <c r="F708" t="s">
        <v>1820</v>
      </c>
    </row>
    <row r="709" spans="1:6">
      <c r="A709" s="1">
        <v>707</v>
      </c>
      <c r="B709" t="str">
        <f>LEFT(Table1[[#This Row],[EPI_DGN_ANTIC]],1)</f>
        <v>P</v>
      </c>
      <c r="C709" t="str">
        <f>LEFT(Table1[[#This Row],[EPI_DGN_ANTIC]],3)</f>
        <v>PEB</v>
      </c>
      <c r="D709" t="s">
        <v>2612</v>
      </c>
      <c r="E709" s="10">
        <v>1</v>
      </c>
      <c r="F709" t="s">
        <v>2613</v>
      </c>
    </row>
    <row r="710" spans="1:6">
      <c r="A710" s="1">
        <v>708</v>
      </c>
      <c r="B710" t="str">
        <f>LEFT(Table1[[#This Row],[EPI_DGN_ANTIC]],1)</f>
        <v>P</v>
      </c>
      <c r="C710" t="str">
        <f>LEFT(Table1[[#This Row],[EPI_DGN_ANTIC]],3)</f>
        <v>PEB</v>
      </c>
      <c r="D710" t="s">
        <v>2614</v>
      </c>
      <c r="E710" s="10">
        <v>1</v>
      </c>
      <c r="F710" t="s">
        <v>2615</v>
      </c>
    </row>
    <row r="711" spans="1:6">
      <c r="A711" s="1">
        <v>709</v>
      </c>
      <c r="B711" t="str">
        <f>LEFT(Table1[[#This Row],[EPI_DGN_ANTIC]],1)</f>
        <v>P</v>
      </c>
      <c r="C711" t="str">
        <f>LEFT(Table1[[#This Row],[EPI_DGN_ANTIC]],3)</f>
        <v>PEB</v>
      </c>
      <c r="D711" t="s">
        <v>2616</v>
      </c>
      <c r="E711" s="10">
        <v>1</v>
      </c>
      <c r="F711" t="s">
        <v>2617</v>
      </c>
    </row>
    <row r="712" spans="1:6">
      <c r="A712" s="1">
        <v>710</v>
      </c>
      <c r="B712" t="str">
        <f>LEFT(Table1[[#This Row],[EPI_DGN_ANTIC]],1)</f>
        <v>P</v>
      </c>
      <c r="C712" t="str">
        <f>LEFT(Table1[[#This Row],[EPI_DGN_ANTIC]],3)</f>
        <v>PEB</v>
      </c>
      <c r="D712" t="s">
        <v>2618</v>
      </c>
      <c r="E712" s="10">
        <v>1</v>
      </c>
      <c r="F712" t="s">
        <v>2619</v>
      </c>
    </row>
    <row r="713" spans="1:6">
      <c r="A713" s="1">
        <v>711</v>
      </c>
      <c r="B713" t="str">
        <f>LEFT(Table1[[#This Row],[EPI_DGN_ANTIC]],1)</f>
        <v>P</v>
      </c>
      <c r="C713" t="str">
        <f>LEFT(Table1[[#This Row],[EPI_DGN_ANTIC]],3)</f>
        <v>PEB</v>
      </c>
      <c r="D713" t="s">
        <v>2620</v>
      </c>
      <c r="E713" s="10">
        <v>1</v>
      </c>
      <c r="F713" t="s">
        <v>2621</v>
      </c>
    </row>
    <row r="714" spans="1:6">
      <c r="A714" s="1">
        <v>712</v>
      </c>
      <c r="B714" t="str">
        <f>LEFT(Table1[[#This Row],[EPI_DGN_ANTIC]],1)</f>
        <v>P</v>
      </c>
      <c r="C714" t="str">
        <f>LEFT(Table1[[#This Row],[EPI_DGN_ANTIC]],3)</f>
        <v>PEB</v>
      </c>
      <c r="D714" t="s">
        <v>2622</v>
      </c>
      <c r="E714" s="10">
        <v>1</v>
      </c>
      <c r="F714" t="s">
        <v>2623</v>
      </c>
    </row>
    <row r="715" spans="1:6">
      <c r="A715" s="1">
        <v>713</v>
      </c>
      <c r="B715" t="str">
        <f>LEFT(Table1[[#This Row],[EPI_DGN_ANTIC]],1)</f>
        <v>P</v>
      </c>
      <c r="C715" t="str">
        <f>LEFT(Table1[[#This Row],[EPI_DGN_ANTIC]],3)</f>
        <v>PEB</v>
      </c>
      <c r="D715" t="s">
        <v>2624</v>
      </c>
      <c r="E715" s="10">
        <v>1</v>
      </c>
      <c r="F715" t="s">
        <v>603</v>
      </c>
    </row>
    <row r="716" spans="1:6">
      <c r="A716" s="1">
        <v>714</v>
      </c>
      <c r="B716" t="str">
        <f>LEFT(Table1[[#This Row],[EPI_DGN_ANTIC]],1)</f>
        <v>P</v>
      </c>
      <c r="C716" t="str">
        <f>LEFT(Table1[[#This Row],[EPI_DGN_ANTIC]],3)</f>
        <v>PEB</v>
      </c>
      <c r="D716" t="s">
        <v>2625</v>
      </c>
      <c r="E716" s="10">
        <v>1</v>
      </c>
      <c r="F716" t="s">
        <v>50</v>
      </c>
    </row>
    <row r="717" spans="1:6">
      <c r="A717" s="1">
        <v>715</v>
      </c>
      <c r="B717" t="str">
        <f>LEFT(Table1[[#This Row],[EPI_DGN_ANTIC]],1)</f>
        <v>P</v>
      </c>
      <c r="C717" t="str">
        <f>LEFT(Table1[[#This Row],[EPI_DGN_ANTIC]],3)</f>
        <v>PEB</v>
      </c>
      <c r="D717" t="s">
        <v>2626</v>
      </c>
      <c r="E717" s="10">
        <v>1</v>
      </c>
      <c r="F717" t="s">
        <v>2627</v>
      </c>
    </row>
    <row r="718" spans="1:6">
      <c r="A718" s="1">
        <v>716</v>
      </c>
      <c r="B718" t="str">
        <f>LEFT(Table1[[#This Row],[EPI_DGN_ANTIC]],1)</f>
        <v>P</v>
      </c>
      <c r="C718" t="str">
        <f>LEFT(Table1[[#This Row],[EPI_DGN_ANTIC]],3)</f>
        <v>PEB</v>
      </c>
      <c r="D718" t="s">
        <v>2628</v>
      </c>
      <c r="E718" s="10">
        <v>1</v>
      </c>
      <c r="F718" t="s">
        <v>2629</v>
      </c>
    </row>
    <row r="719" spans="1:6">
      <c r="A719" s="1">
        <v>717</v>
      </c>
      <c r="B719" t="str">
        <f>LEFT(Table1[[#This Row],[EPI_DGN_ANTIC]],1)</f>
        <v>P</v>
      </c>
      <c r="C719" t="str">
        <f>LEFT(Table1[[#This Row],[EPI_DGN_ANTIC]],3)</f>
        <v>PEB</v>
      </c>
      <c r="D719" t="s">
        <v>2630</v>
      </c>
      <c r="E719" s="10">
        <v>1</v>
      </c>
      <c r="F719" t="s">
        <v>2631</v>
      </c>
    </row>
    <row r="720" spans="1:6">
      <c r="A720" s="1">
        <v>718</v>
      </c>
      <c r="B720" t="str">
        <f>LEFT(Table1[[#This Row],[EPI_DGN_ANTIC]],1)</f>
        <v>P</v>
      </c>
      <c r="C720" t="str">
        <f>LEFT(Table1[[#This Row],[EPI_DGN_ANTIC]],3)</f>
        <v>PEB</v>
      </c>
      <c r="D720" t="s">
        <v>2632</v>
      </c>
      <c r="E720" s="10">
        <v>1</v>
      </c>
      <c r="F720" t="s">
        <v>56</v>
      </c>
    </row>
    <row r="721" spans="1:6">
      <c r="A721" s="1">
        <v>719</v>
      </c>
      <c r="B721" t="str">
        <f>LEFT(Table1[[#This Row],[EPI_DGN_ANTIC]],1)</f>
        <v>P</v>
      </c>
      <c r="C721" t="str">
        <f>LEFT(Table1[[#This Row],[EPI_DGN_ANTIC]],3)</f>
        <v>PEB</v>
      </c>
      <c r="D721" t="s">
        <v>2633</v>
      </c>
      <c r="E721" s="10">
        <v>1</v>
      </c>
      <c r="F721" t="s">
        <v>2634</v>
      </c>
    </row>
    <row r="722" spans="1:6">
      <c r="A722" s="1">
        <v>720</v>
      </c>
      <c r="B722" t="str">
        <f>LEFT(Table1[[#This Row],[EPI_DGN_ANTIC]],1)</f>
        <v>P</v>
      </c>
      <c r="C722" t="str">
        <f>LEFT(Table1[[#This Row],[EPI_DGN_ANTIC]],3)</f>
        <v>PEI</v>
      </c>
      <c r="D722" t="s">
        <v>2635</v>
      </c>
      <c r="E722" s="10">
        <v>1</v>
      </c>
      <c r="F722" t="s">
        <v>1924</v>
      </c>
    </row>
    <row r="723" spans="1:6">
      <c r="A723" s="1">
        <v>721</v>
      </c>
      <c r="B723" t="str">
        <f>LEFT(Table1[[#This Row],[EPI_DGN_ANTIC]],1)</f>
        <v>P</v>
      </c>
      <c r="C723" t="str">
        <f>LEFT(Table1[[#This Row],[EPI_DGN_ANTIC]],3)</f>
        <v>PEI</v>
      </c>
      <c r="D723" t="s">
        <v>2636</v>
      </c>
      <c r="E723" s="10">
        <v>1</v>
      </c>
      <c r="F723" t="s">
        <v>1587</v>
      </c>
    </row>
    <row r="724" spans="1:6">
      <c r="A724" s="1">
        <v>722</v>
      </c>
      <c r="B724" t="str">
        <f>LEFT(Table1[[#This Row],[EPI_DGN_ANTIC]],1)</f>
        <v>P</v>
      </c>
      <c r="C724" t="str">
        <f>LEFT(Table1[[#This Row],[EPI_DGN_ANTIC]],3)</f>
        <v>PEI</v>
      </c>
      <c r="D724" t="s">
        <v>2637</v>
      </c>
      <c r="E724" s="10">
        <v>1</v>
      </c>
      <c r="F724" t="s">
        <v>98</v>
      </c>
    </row>
    <row r="725" spans="1:6">
      <c r="A725" s="1">
        <v>723</v>
      </c>
      <c r="B725" t="str">
        <f>LEFT(Table1[[#This Row],[EPI_DGN_ANTIC]],1)</f>
        <v>P</v>
      </c>
      <c r="C725" t="str">
        <f>LEFT(Table1[[#This Row],[EPI_DGN_ANTIC]],2)</f>
        <v>P</v>
      </c>
      <c r="D725" t="s">
        <v>1649</v>
      </c>
      <c r="E725" s="10">
        <v>0</v>
      </c>
    </row>
    <row r="726" spans="1:6">
      <c r="A726" s="1">
        <v>724</v>
      </c>
      <c r="B726" t="str">
        <f>LEFT(Table1[[#This Row],[EPI_DGN_ANTIC]],1)</f>
        <v>P</v>
      </c>
      <c r="C726" t="str">
        <f>LEFT(Table1[[#This Row],[EPI_DGN_ANTIC]],3)</f>
        <v>PEL</v>
      </c>
      <c r="D726" t="s">
        <v>2638</v>
      </c>
      <c r="E726" s="10">
        <v>0</v>
      </c>
      <c r="F726" t="s">
        <v>2639</v>
      </c>
    </row>
    <row r="727" spans="1:6">
      <c r="A727" s="1">
        <v>725</v>
      </c>
      <c r="B727" t="str">
        <f>LEFT(Table1[[#This Row],[EPI_DGN_ANTIC]],1)</f>
        <v>P</v>
      </c>
      <c r="C727" t="str">
        <f>LEFT(Table1[[#This Row],[EPI_DGN_ANTIC]],3)</f>
        <v>PEL</v>
      </c>
      <c r="D727" t="s">
        <v>2640</v>
      </c>
      <c r="E727" s="10">
        <v>1</v>
      </c>
      <c r="F727" t="s">
        <v>1008</v>
      </c>
    </row>
    <row r="728" spans="1:6">
      <c r="A728" s="1">
        <v>726</v>
      </c>
      <c r="B728" t="str">
        <f>LEFT(Table1[[#This Row],[EPI_DGN_ANTIC]],1)</f>
        <v>P</v>
      </c>
      <c r="C728" t="str">
        <f>LEFT(Table1[[#This Row],[EPI_DGN_ANTIC]],3)</f>
        <v>PEL</v>
      </c>
      <c r="D728" t="s">
        <v>2641</v>
      </c>
      <c r="E728" s="10">
        <v>1</v>
      </c>
      <c r="F728" t="s">
        <v>2642</v>
      </c>
    </row>
    <row r="729" spans="1:6">
      <c r="A729" s="1">
        <v>727</v>
      </c>
      <c r="B729" t="str">
        <f>LEFT(Table1[[#This Row],[EPI_DGN_ANTIC]],1)</f>
        <v>P</v>
      </c>
      <c r="C729" t="str">
        <f>LEFT(Table1[[#This Row],[EPI_DGN_ANTIC]],3)</f>
        <v>PEL</v>
      </c>
      <c r="D729" t="s">
        <v>2643</v>
      </c>
      <c r="E729" s="10">
        <v>1</v>
      </c>
      <c r="F729" t="s">
        <v>2644</v>
      </c>
    </row>
    <row r="730" spans="1:6">
      <c r="A730" s="1">
        <v>728</v>
      </c>
      <c r="B730" t="str">
        <f>LEFT(Table1[[#This Row],[EPI_DGN_ANTIC]],1)</f>
        <v>P</v>
      </c>
      <c r="C730" t="str">
        <f>LEFT(Table1[[#This Row],[EPI_DGN_ANTIC]],3)</f>
        <v>PEL</v>
      </c>
      <c r="D730" t="s">
        <v>2645</v>
      </c>
      <c r="E730" s="10">
        <v>1</v>
      </c>
      <c r="F730" t="s">
        <v>2644</v>
      </c>
    </row>
    <row r="731" spans="1:6">
      <c r="A731" s="1">
        <v>729</v>
      </c>
      <c r="B731" t="str">
        <f>LEFT(Table1[[#This Row],[EPI_DGN_ANTIC]],1)</f>
        <v>P</v>
      </c>
      <c r="C731" t="str">
        <f>LEFT(Table1[[#This Row],[EPI_DGN_ANTIC]],3)</f>
        <v>PEL</v>
      </c>
      <c r="D731" t="s">
        <v>2646</v>
      </c>
      <c r="E731" s="10">
        <v>1</v>
      </c>
      <c r="F731" t="s">
        <v>1142</v>
      </c>
    </row>
    <row r="732" spans="1:6">
      <c r="A732" s="1">
        <v>730</v>
      </c>
      <c r="B732" t="str">
        <f>LEFT(Table1[[#This Row],[EPI_DGN_ANTIC]],1)</f>
        <v>P</v>
      </c>
      <c r="C732" t="str">
        <f>LEFT(Table1[[#This Row],[EPI_DGN_ANTIC]],3)</f>
        <v>PEL</v>
      </c>
      <c r="D732" t="s">
        <v>2647</v>
      </c>
      <c r="E732" s="10">
        <v>1</v>
      </c>
      <c r="F732" t="s">
        <v>1142</v>
      </c>
    </row>
    <row r="733" spans="1:6">
      <c r="A733" s="1">
        <v>731</v>
      </c>
      <c r="B733" t="str">
        <f>LEFT(Table1[[#This Row],[EPI_DGN_ANTIC]],1)</f>
        <v>P</v>
      </c>
      <c r="C733" t="str">
        <f>LEFT(Table1[[#This Row],[EPI_DGN_ANTIC]],3)</f>
        <v>PEL</v>
      </c>
      <c r="D733" t="s">
        <v>2648</v>
      </c>
      <c r="E733" s="10">
        <v>1</v>
      </c>
      <c r="F733" t="s">
        <v>1237</v>
      </c>
    </row>
    <row r="734" spans="1:6">
      <c r="A734" s="1">
        <v>732</v>
      </c>
      <c r="B734" t="str">
        <f>LEFT(Table1[[#This Row],[EPI_DGN_ANTIC]],1)</f>
        <v>P</v>
      </c>
      <c r="C734" t="str">
        <f>LEFT(Table1[[#This Row],[EPI_DGN_ANTIC]],3)</f>
        <v>PEI</v>
      </c>
      <c r="D734" t="s">
        <v>2649</v>
      </c>
      <c r="E734" s="10">
        <v>0</v>
      </c>
    </row>
    <row r="735" spans="1:6">
      <c r="A735" s="1">
        <v>733</v>
      </c>
      <c r="B735" t="str">
        <f>LEFT(Table1[[#This Row],[EPI_DGN_ANTIC]],1)</f>
        <v>P</v>
      </c>
      <c r="C735" t="str">
        <f>LEFT(Table1[[#This Row],[EPI_DGN_ANTIC]],4)</f>
        <v>PELB</v>
      </c>
      <c r="D735" t="s">
        <v>2650</v>
      </c>
      <c r="E735" s="10">
        <v>1</v>
      </c>
      <c r="F735" t="s">
        <v>2651</v>
      </c>
    </row>
    <row r="736" spans="1:6">
      <c r="A736" s="1">
        <v>734</v>
      </c>
      <c r="B736" t="str">
        <f>LEFT(Table1[[#This Row],[EPI_DGN_ANTIC]],1)</f>
        <v>P</v>
      </c>
      <c r="C736" t="str">
        <f>LEFT(Table1[[#This Row],[EPI_DGN_ANTIC]],4)</f>
        <v>PELB</v>
      </c>
      <c r="D736" t="s">
        <v>2652</v>
      </c>
      <c r="E736" s="10">
        <v>0</v>
      </c>
    </row>
    <row r="737" spans="1:6">
      <c r="A737" s="1">
        <v>735</v>
      </c>
      <c r="B737" t="str">
        <f>LEFT(Table1[[#This Row],[EPI_DGN_ANTIC]],1)</f>
        <v>P</v>
      </c>
      <c r="C737" t="str">
        <f>LEFT(Table1[[#This Row],[EPI_DGN_ANTIC]],3)</f>
        <v>PEL</v>
      </c>
      <c r="D737" t="s">
        <v>2653</v>
      </c>
      <c r="E737" s="10">
        <v>1</v>
      </c>
      <c r="F737" t="s">
        <v>2654</v>
      </c>
    </row>
    <row r="738" spans="1:6">
      <c r="A738" s="1">
        <v>736</v>
      </c>
      <c r="B738" t="str">
        <f>LEFT(Table1[[#This Row],[EPI_DGN_ANTIC]],1)</f>
        <v>P</v>
      </c>
      <c r="C738" t="str">
        <f>LEFT(Table1[[#This Row],[EPI_DGN_ANTIC]],3)</f>
        <v>PEL</v>
      </c>
      <c r="D738" t="s">
        <v>2655</v>
      </c>
      <c r="E738" s="10">
        <v>1</v>
      </c>
      <c r="F738" t="s">
        <v>2656</v>
      </c>
    </row>
    <row r="739" spans="1:6">
      <c r="A739" s="1">
        <v>737</v>
      </c>
      <c r="B739" t="str">
        <f>LEFT(Table1[[#This Row],[EPI_DGN_ANTIC]],1)</f>
        <v>P</v>
      </c>
      <c r="C739" t="str">
        <f>LEFT(Table1[[#This Row],[EPI_DGN_ANTIC]],3)</f>
        <v>PEL</v>
      </c>
      <c r="D739" t="s">
        <v>2657</v>
      </c>
      <c r="E739" s="10">
        <v>1</v>
      </c>
      <c r="F739" t="s">
        <v>2656</v>
      </c>
    </row>
    <row r="740" spans="1:6">
      <c r="A740" s="1">
        <v>738</v>
      </c>
      <c r="B740" t="str">
        <f>LEFT(Table1[[#This Row],[EPI_DGN_ANTIC]],1)</f>
        <v>P</v>
      </c>
      <c r="C740" t="str">
        <f>LEFT(Table1[[#This Row],[EPI_DGN_ANTIC]],3)</f>
        <v>PEL</v>
      </c>
      <c r="D740" t="s">
        <v>2658</v>
      </c>
      <c r="E740" s="10">
        <v>1</v>
      </c>
      <c r="F740" t="s">
        <v>2659</v>
      </c>
    </row>
    <row r="741" spans="1:6">
      <c r="A741" s="1">
        <v>739</v>
      </c>
      <c r="B741" t="str">
        <f>LEFT(Table1[[#This Row],[EPI_DGN_ANTIC]],1)</f>
        <v>P</v>
      </c>
      <c r="C741" t="str">
        <f>LEFT(Table1[[#This Row],[EPI_DGN_ANTIC]],3)</f>
        <v>PEL</v>
      </c>
      <c r="D741" t="s">
        <v>2660</v>
      </c>
      <c r="E741" s="10">
        <v>1</v>
      </c>
      <c r="F741" t="s">
        <v>817</v>
      </c>
    </row>
    <row r="742" spans="1:6">
      <c r="A742" s="1">
        <v>740</v>
      </c>
      <c r="B742" t="str">
        <f>LEFT(Table1[[#This Row],[EPI_DGN_ANTIC]],1)</f>
        <v>P</v>
      </c>
      <c r="C742" t="str">
        <f>LEFT(Table1[[#This Row],[EPI_DGN_ANTIC]],3)</f>
        <v>PEL</v>
      </c>
      <c r="D742" t="s">
        <v>2661</v>
      </c>
      <c r="E742" s="10">
        <v>1</v>
      </c>
      <c r="F742" t="s">
        <v>2662</v>
      </c>
    </row>
    <row r="743" spans="1:6">
      <c r="A743" s="1">
        <v>741</v>
      </c>
      <c r="B743" t="str">
        <f>LEFT(Table1[[#This Row],[EPI_DGN_ANTIC]],1)</f>
        <v>P</v>
      </c>
      <c r="C743" t="str">
        <f>LEFT(Table1[[#This Row],[EPI_DGN_ANTIC]],3)</f>
        <v>PEL</v>
      </c>
      <c r="D743" t="s">
        <v>2663</v>
      </c>
      <c r="E743" s="10">
        <v>1</v>
      </c>
      <c r="F743" t="s">
        <v>1237</v>
      </c>
    </row>
    <row r="744" spans="1:6">
      <c r="A744" s="1">
        <v>742</v>
      </c>
      <c r="B744" t="str">
        <f>LEFT(Table1[[#This Row],[EPI_DGN_ANTIC]],1)</f>
        <v>P</v>
      </c>
      <c r="C744" t="str">
        <f>LEFT(Table1[[#This Row],[EPI_DGN_ANTIC]],3)</f>
        <v>PEL</v>
      </c>
      <c r="D744" t="s">
        <v>2664</v>
      </c>
      <c r="E744" s="10">
        <v>1</v>
      </c>
      <c r="F744" t="s">
        <v>1237</v>
      </c>
    </row>
    <row r="745" spans="1:6">
      <c r="A745" s="1">
        <v>743</v>
      </c>
      <c r="B745" t="str">
        <f>LEFT(Table1[[#This Row],[EPI_DGN_ANTIC]],1)</f>
        <v>P</v>
      </c>
      <c r="C745" t="str">
        <f>LEFT(Table1[[#This Row],[EPI_DGN_ANTIC]],3)</f>
        <v>PEL</v>
      </c>
      <c r="D745" t="s">
        <v>2665</v>
      </c>
      <c r="E745" s="10">
        <v>1</v>
      </c>
      <c r="F745" t="s">
        <v>330</v>
      </c>
    </row>
    <row r="746" spans="1:6">
      <c r="A746" s="1">
        <v>744</v>
      </c>
      <c r="B746" t="str">
        <f>LEFT(Table1[[#This Row],[EPI_DGN_ANTIC]],1)</f>
        <v>P</v>
      </c>
      <c r="C746" t="str">
        <f>LEFT(Table1[[#This Row],[EPI_DGN_ANTIC]],3)</f>
        <v>PEL</v>
      </c>
      <c r="D746" t="s">
        <v>2666</v>
      </c>
      <c r="E746" s="10">
        <v>1</v>
      </c>
      <c r="F746" t="s">
        <v>2667</v>
      </c>
    </row>
    <row r="747" spans="1:6">
      <c r="A747" s="1">
        <v>745</v>
      </c>
      <c r="B747" t="str">
        <f>LEFT(Table1[[#This Row],[EPI_DGN_ANTIC]],1)</f>
        <v>P</v>
      </c>
      <c r="C747" t="str">
        <f>LEFT(Table1[[#This Row],[EPI_DGN_ANTIC]],3)</f>
        <v>PEL</v>
      </c>
      <c r="D747" t="s">
        <v>2668</v>
      </c>
      <c r="E747" s="10">
        <v>1</v>
      </c>
      <c r="F747" t="s">
        <v>2669</v>
      </c>
    </row>
    <row r="748" spans="1:6">
      <c r="A748" s="1">
        <v>746</v>
      </c>
      <c r="B748" t="str">
        <f>LEFT(Table1[[#This Row],[EPI_DGN_ANTIC]],1)</f>
        <v>P</v>
      </c>
      <c r="C748" t="str">
        <f>LEFT(Table1[[#This Row],[EPI_DGN_ANTIC]],3)</f>
        <v>PEL</v>
      </c>
      <c r="D748" t="s">
        <v>2670</v>
      </c>
      <c r="E748" s="10">
        <v>1</v>
      </c>
      <c r="F748" t="s">
        <v>2669</v>
      </c>
    </row>
    <row r="749" spans="1:6">
      <c r="A749" s="1">
        <v>747</v>
      </c>
      <c r="B749" t="str">
        <f>LEFT(Table1[[#This Row],[EPI_DGN_ANTIC]],1)</f>
        <v>P</v>
      </c>
      <c r="C749" t="str">
        <f>LEFT(Table1[[#This Row],[EPI_DGN_ANTIC]],3)</f>
        <v>PEL</v>
      </c>
      <c r="D749" t="s">
        <v>2671</v>
      </c>
      <c r="E749" s="10">
        <v>1</v>
      </c>
      <c r="F749" t="s">
        <v>1021</v>
      </c>
    </row>
    <row r="750" spans="1:6">
      <c r="A750" s="1">
        <v>748</v>
      </c>
      <c r="B750" t="str">
        <f>LEFT(Table1[[#This Row],[EPI_DGN_ANTIC]],1)</f>
        <v>P</v>
      </c>
      <c r="C750" t="str">
        <f>LEFT(Table1[[#This Row],[EPI_DGN_ANTIC]],3)</f>
        <v>PEL</v>
      </c>
      <c r="D750" t="s">
        <v>2672</v>
      </c>
      <c r="E750" s="10">
        <v>1</v>
      </c>
      <c r="F750" t="s">
        <v>1021</v>
      </c>
    </row>
    <row r="751" spans="1:6">
      <c r="A751" s="1">
        <v>749</v>
      </c>
      <c r="B751" t="str">
        <f>LEFT(Table1[[#This Row],[EPI_DGN_ANTIC]],1)</f>
        <v>P</v>
      </c>
      <c r="C751" t="str">
        <f>LEFT(Table1[[#This Row],[EPI_DGN_ANTIC]],3)</f>
        <v>PEL</v>
      </c>
      <c r="D751" t="s">
        <v>2638</v>
      </c>
      <c r="E751" s="10">
        <v>0</v>
      </c>
    </row>
    <row r="752" spans="1:6">
      <c r="A752" s="1">
        <v>750</v>
      </c>
      <c r="B752" t="str">
        <f>LEFT(Table1[[#This Row],[EPI_DGN_ANTIC]],1)</f>
        <v>P</v>
      </c>
      <c r="C752" t="str">
        <f>LEFT(Table1[[#This Row],[EPI_DGN_ANTIC]],3)</f>
        <v>PEL</v>
      </c>
      <c r="D752" t="s">
        <v>2673</v>
      </c>
      <c r="E752" s="10">
        <v>1</v>
      </c>
      <c r="F752" t="s">
        <v>1240</v>
      </c>
    </row>
    <row r="753" spans="1:6">
      <c r="A753" s="1">
        <v>751</v>
      </c>
      <c r="B753" t="str">
        <f>LEFT(Table1[[#This Row],[EPI_DGN_ANTIC]],1)</f>
        <v>P</v>
      </c>
      <c r="C753" t="str">
        <f>LEFT(Table1[[#This Row],[EPI_DGN_ANTIC]],3)</f>
        <v>PEP</v>
      </c>
      <c r="D753" t="s">
        <v>2674</v>
      </c>
      <c r="E753" s="10">
        <v>1</v>
      </c>
      <c r="F753" t="s">
        <v>424</v>
      </c>
    </row>
    <row r="754" spans="1:6">
      <c r="A754" s="1">
        <v>752</v>
      </c>
      <c r="B754" t="str">
        <f>LEFT(Table1[[#This Row],[EPI_DGN_ANTIC]],1)</f>
        <v>P</v>
      </c>
      <c r="C754" t="str">
        <f>LEFT(Table1[[#This Row],[EPI_DGN_ANTIC]],3)</f>
        <v>PEP</v>
      </c>
      <c r="D754" t="s">
        <v>2675</v>
      </c>
      <c r="E754" s="10">
        <v>0</v>
      </c>
    </row>
    <row r="755" spans="1:6">
      <c r="A755" s="1">
        <v>753</v>
      </c>
      <c r="B755" t="str">
        <f>LEFT(Table1[[#This Row],[EPI_DGN_ANTIC]],1)</f>
        <v>P</v>
      </c>
      <c r="C755" t="str">
        <f>LEFT(Table1[[#This Row],[EPI_DGN_ANTIC]],3)</f>
        <v>PEP</v>
      </c>
      <c r="D755" t="s">
        <v>2676</v>
      </c>
      <c r="E755" s="10">
        <v>1</v>
      </c>
      <c r="F755" t="s">
        <v>2677</v>
      </c>
    </row>
    <row r="756" spans="1:6">
      <c r="A756" s="1">
        <v>754</v>
      </c>
      <c r="B756" t="str">
        <f>LEFT(Table1[[#This Row],[EPI_DGN_ANTIC]],1)</f>
        <v>P</v>
      </c>
      <c r="C756" t="str">
        <f>LEFT(Table1[[#This Row],[EPI_DGN_ANTIC]],3)</f>
        <v>PEP</v>
      </c>
      <c r="D756" t="s">
        <v>2678</v>
      </c>
      <c r="E756" s="10">
        <v>1</v>
      </c>
      <c r="F756" t="s">
        <v>1067</v>
      </c>
    </row>
    <row r="757" spans="1:6">
      <c r="A757" s="1">
        <v>755</v>
      </c>
      <c r="B757" t="str">
        <f>LEFT(Table1[[#This Row],[EPI_DGN_ANTIC]],1)</f>
        <v>P</v>
      </c>
      <c r="C757" t="str">
        <f>LEFT(Table1[[#This Row],[EPI_DGN_ANTIC]],3)</f>
        <v>PEP</v>
      </c>
      <c r="D757" t="s">
        <v>2679</v>
      </c>
      <c r="E757" s="10">
        <v>1</v>
      </c>
      <c r="F757" t="s">
        <v>2680</v>
      </c>
    </row>
    <row r="758" spans="1:6">
      <c r="A758" s="1">
        <v>756</v>
      </c>
      <c r="B758" t="str">
        <f>LEFT(Table1[[#This Row],[EPI_DGN_ANTIC]],1)</f>
        <v>P</v>
      </c>
      <c r="C758" t="str">
        <f>LEFT(Table1[[#This Row],[EPI_DGN_ANTIC]],3)</f>
        <v>PEP</v>
      </c>
      <c r="D758" t="s">
        <v>2681</v>
      </c>
      <c r="E758" s="10">
        <v>1</v>
      </c>
      <c r="F758" t="s">
        <v>424</v>
      </c>
    </row>
    <row r="759" spans="1:6">
      <c r="A759" s="1">
        <v>757</v>
      </c>
      <c r="B759" t="str">
        <f>LEFT(Table1[[#This Row],[EPI_DGN_ANTIC]],1)</f>
        <v>P</v>
      </c>
      <c r="C759" t="str">
        <f>LEFT(Table1[[#This Row],[EPI_DGN_ANTIC]],3)</f>
        <v>PEP</v>
      </c>
      <c r="D759" t="s">
        <v>2682</v>
      </c>
      <c r="E759" s="10">
        <v>1</v>
      </c>
      <c r="F759" t="s">
        <v>1067</v>
      </c>
    </row>
    <row r="760" spans="1:6">
      <c r="A760" s="1">
        <v>758</v>
      </c>
      <c r="B760" t="str">
        <f>LEFT(Table1[[#This Row],[EPI_DGN_ANTIC]],1)</f>
        <v>P</v>
      </c>
      <c r="C760" t="str">
        <f>LEFT(Table1[[#This Row],[EPI_DGN_ANTIC]],2)</f>
        <v>PE</v>
      </c>
      <c r="D760" t="s">
        <v>2683</v>
      </c>
      <c r="E760" s="10">
        <v>1</v>
      </c>
      <c r="F760" t="s">
        <v>1116</v>
      </c>
    </row>
    <row r="761" spans="1:6">
      <c r="A761" s="1">
        <v>759</v>
      </c>
      <c r="B761" t="str">
        <f>LEFT(Table1[[#This Row],[EPI_DGN_ANTIC]],1)</f>
        <v>P</v>
      </c>
      <c r="C761" t="str">
        <f>LEFT(Table1[[#This Row],[EPI_DGN_ANTIC]],3)</f>
        <v>POR</v>
      </c>
      <c r="D761" t="s">
        <v>2684</v>
      </c>
      <c r="E761" s="10">
        <v>0</v>
      </c>
    </row>
    <row r="762" spans="1:6">
      <c r="A762" s="1">
        <v>760</v>
      </c>
      <c r="B762" t="str">
        <f>LEFT(Table1[[#This Row],[EPI_DGN_ANTIC]],1)</f>
        <v>P</v>
      </c>
      <c r="C762" t="str">
        <f>LEFT(Table1[[#This Row],[EPI_DGN_ANTIC]],2)</f>
        <v>PP</v>
      </c>
      <c r="D762" t="s">
        <v>2685</v>
      </c>
      <c r="E762" s="10">
        <v>0</v>
      </c>
    </row>
    <row r="763" spans="1:6">
      <c r="A763" s="1">
        <v>761</v>
      </c>
      <c r="B763" t="str">
        <f>LEFT(Table1[[#This Row],[EPI_DGN_ANTIC]],1)</f>
        <v>P</v>
      </c>
      <c r="C763" t="str">
        <f>LEFT(Table1[[#This Row],[EPI_DGN_ANTIC]],3)</f>
        <v>POR</v>
      </c>
      <c r="D763" t="s">
        <v>2686</v>
      </c>
      <c r="E763" s="10">
        <v>1</v>
      </c>
      <c r="F763" t="s">
        <v>1745</v>
      </c>
    </row>
    <row r="764" spans="1:6">
      <c r="A764" s="1">
        <v>762</v>
      </c>
      <c r="B764" t="str">
        <f>LEFT(Table1[[#This Row],[EPI_DGN_ANTIC]],1)</f>
        <v>P</v>
      </c>
      <c r="C764" t="str">
        <f>LEFT(Table1[[#This Row],[EPI_DGN_ANTIC]],3)</f>
        <v>POR</v>
      </c>
      <c r="D764" t="s">
        <v>2687</v>
      </c>
      <c r="E764" s="10">
        <v>1</v>
      </c>
      <c r="F764" t="s">
        <v>2688</v>
      </c>
    </row>
    <row r="765" spans="1:6">
      <c r="A765" s="1">
        <v>763</v>
      </c>
      <c r="B765" t="str">
        <f>LEFT(Table1[[#This Row],[EPI_DGN_ANTIC]],1)</f>
        <v>P</v>
      </c>
      <c r="C765" t="str">
        <f>LEFT(Table1[[#This Row],[EPI_DGN_ANTIC]],3)</f>
        <v>POR</v>
      </c>
      <c r="D765" t="s">
        <v>2689</v>
      </c>
      <c r="E765" s="10">
        <v>1</v>
      </c>
      <c r="F765" t="s">
        <v>1745</v>
      </c>
    </row>
    <row r="766" spans="1:6">
      <c r="A766" s="1">
        <v>764</v>
      </c>
      <c r="B766" t="str">
        <f>LEFT(Table1[[#This Row],[EPI_DGN_ANTIC]],1)</f>
        <v>P</v>
      </c>
      <c r="C766" t="str">
        <f>LEFT(Table1[[#This Row],[EPI_DGN_ANTIC]],2)</f>
        <v>PP</v>
      </c>
      <c r="D766" t="s">
        <v>2690</v>
      </c>
      <c r="E766" s="10">
        <v>1</v>
      </c>
      <c r="F766" t="s">
        <v>1211</v>
      </c>
    </row>
    <row r="767" spans="1:6">
      <c r="A767" s="1">
        <v>765</v>
      </c>
      <c r="B767" t="str">
        <f>LEFT(Table1[[#This Row],[EPI_DGN_ANTIC]],1)</f>
        <v>P</v>
      </c>
      <c r="C767" t="str">
        <f>LEFT(Table1[[#This Row],[EPI_DGN_ANTIC]],2)</f>
        <v>PP</v>
      </c>
      <c r="D767" t="s">
        <v>2691</v>
      </c>
      <c r="E767" s="10">
        <v>1</v>
      </c>
      <c r="F767" t="s">
        <v>1211</v>
      </c>
    </row>
    <row r="768" spans="1:6">
      <c r="A768" s="1">
        <v>766</v>
      </c>
      <c r="B768" t="str">
        <f>LEFT(Table1[[#This Row],[EPI_DGN_ANTIC]],1)</f>
        <v>Q</v>
      </c>
      <c r="C768" t="str">
        <f>LEFT(Table1[[#This Row],[EPI_DGN_ANTIC]],4)</f>
        <v>QPHe</v>
      </c>
      <c r="D768" t="s">
        <v>2692</v>
      </c>
      <c r="E768" s="10">
        <v>1</v>
      </c>
      <c r="F768" t="s">
        <v>2693</v>
      </c>
    </row>
    <row r="769" spans="1:6">
      <c r="A769" s="1">
        <v>767</v>
      </c>
      <c r="B769" t="str">
        <f>LEFT(Table1[[#This Row],[EPI_DGN_ANTIC]],1)</f>
        <v>Q</v>
      </c>
      <c r="C769" t="str">
        <f>LEFT(Table1[[#This Row],[EPI_DGN_ANTIC]],3)</f>
        <v>QPl</v>
      </c>
      <c r="D769" t="s">
        <v>2694</v>
      </c>
      <c r="E769" s="10">
        <v>1</v>
      </c>
      <c r="F769" t="s">
        <v>2695</v>
      </c>
    </row>
    <row r="770" spans="1:6">
      <c r="A770" s="1">
        <v>768</v>
      </c>
      <c r="B770" t="str">
        <f>LEFT(Table1[[#This Row],[EPI_DGN_ANTIC]],1)</f>
        <v>Q</v>
      </c>
      <c r="C770" t="str">
        <f>LEFT(Table1[[#This Row],[EPI_DGN_ANTIC]],4)</f>
        <v>QPHt</v>
      </c>
      <c r="D770" t="s">
        <v>2696</v>
      </c>
      <c r="E770" s="10">
        <v>1</v>
      </c>
      <c r="F770" t="s">
        <v>1935</v>
      </c>
    </row>
    <row r="771" spans="1:6">
      <c r="A771" s="1">
        <v>769</v>
      </c>
      <c r="B771" t="str">
        <f>LEFT(Table1[[#This Row],[EPI_DGN_ANTIC]],1)</f>
        <v>P</v>
      </c>
      <c r="C771" t="str">
        <f>LEFT(Table1[[#This Row],[EPI_DGN_ANTIC]],2)</f>
        <v>P</v>
      </c>
      <c r="D771" t="s">
        <v>1649</v>
      </c>
      <c r="E771" s="10">
        <v>1</v>
      </c>
      <c r="F771" t="s">
        <v>1921</v>
      </c>
    </row>
    <row r="772" spans="1:6">
      <c r="A772" s="1">
        <v>770</v>
      </c>
      <c r="B772" t="str">
        <f>LEFT(Table1[[#This Row],[EPI_DGN_ANTIC]],1)</f>
        <v>P</v>
      </c>
      <c r="C772" t="str">
        <f>LEFT(Table1[[#This Row],[EPI_DGN_ANTIC]],3)</f>
        <v>PPD</v>
      </c>
      <c r="D772" t="s">
        <v>2697</v>
      </c>
      <c r="E772" s="10">
        <v>0</v>
      </c>
    </row>
    <row r="773" spans="1:6">
      <c r="A773" s="1">
        <v>771</v>
      </c>
      <c r="B773" t="str">
        <f>LEFT(Table1[[#This Row],[EPI_DGN_ANTIC]],1)</f>
        <v>P</v>
      </c>
      <c r="C773" t="str">
        <f>LEFT(Table1[[#This Row],[EPI_DGN_ANTIC]],3)</f>
        <v>PPD</v>
      </c>
      <c r="D773" t="s">
        <v>2698</v>
      </c>
      <c r="E773" s="10">
        <v>1</v>
      </c>
      <c r="F773" t="s">
        <v>2699</v>
      </c>
    </row>
    <row r="774" spans="1:6">
      <c r="A774" s="1">
        <v>772</v>
      </c>
      <c r="B774" t="str">
        <f>LEFT(Table1[[#This Row],[EPI_DGN_ANTIC]],1)</f>
        <v>P</v>
      </c>
      <c r="C774" t="str">
        <f>LEFT(Table1[[#This Row],[EPI_DGN_ANTIC]],2)</f>
        <v>PP</v>
      </c>
      <c r="D774" t="s">
        <v>2700</v>
      </c>
      <c r="E774" s="10">
        <v>1</v>
      </c>
      <c r="F774" t="s">
        <v>2699</v>
      </c>
    </row>
    <row r="775" spans="1:6">
      <c r="A775" s="1">
        <v>773</v>
      </c>
      <c r="B775" t="str">
        <f>LEFT(Table1[[#This Row],[EPI_DGN_ANTIC]],1)</f>
        <v>P</v>
      </c>
      <c r="C775" t="str">
        <f>LEFT(Table1[[#This Row],[EPI_DGN_ANTIC]],3)</f>
        <v>PPT</v>
      </c>
      <c r="D775" t="s">
        <v>2701</v>
      </c>
      <c r="E775" s="10">
        <v>0</v>
      </c>
    </row>
    <row r="776" spans="1:6">
      <c r="A776" s="1">
        <v>774</v>
      </c>
      <c r="B776" t="str">
        <f>LEFT(Table1[[#This Row],[EPI_DGN_ANTIC]],1)</f>
        <v>P</v>
      </c>
      <c r="C776" t="str">
        <f>LEFT(Table1[[#This Row],[EPI_DGN_ANTIC]],3)</f>
        <v>PPT</v>
      </c>
      <c r="D776" t="s">
        <v>2701</v>
      </c>
      <c r="E776" s="10">
        <v>1</v>
      </c>
      <c r="F776" t="s">
        <v>2702</v>
      </c>
    </row>
    <row r="777" spans="1:6">
      <c r="A777" s="1">
        <v>775</v>
      </c>
      <c r="B777" t="str">
        <f>LEFT(Table1[[#This Row],[EPI_DGN_ANTIC]],1)</f>
        <v>N</v>
      </c>
      <c r="C777" t="str">
        <f>LEFT(Table1[[#This Row],[EPI_DGN_ANTIC]],3)</f>
        <v>NML</v>
      </c>
      <c r="D777" t="s">
        <v>2703</v>
      </c>
      <c r="E777" s="10">
        <v>1</v>
      </c>
      <c r="F777" t="s">
        <v>2704</v>
      </c>
    </row>
    <row r="778" spans="1:6">
      <c r="A778" s="1">
        <v>776</v>
      </c>
      <c r="B778" t="str">
        <f>LEFT(Table1[[#This Row],[EPI_DGN_ANTIC]],1)</f>
        <v>N</v>
      </c>
      <c r="C778" t="str">
        <f>LEFT(Table1[[#This Row],[EPI_DGN_ANTIC]],3)</f>
        <v>NMS</v>
      </c>
      <c r="D778" t="s">
        <v>2705</v>
      </c>
      <c r="E778" s="10">
        <v>1</v>
      </c>
      <c r="F778" t="s">
        <v>2706</v>
      </c>
    </row>
    <row r="779" spans="1:6">
      <c r="A779" s="1">
        <v>777</v>
      </c>
      <c r="B779" t="str">
        <f>LEFT(Table1[[#This Row],[EPI_DGN_ANTIC]],1)</f>
        <v>N</v>
      </c>
      <c r="C779" t="str">
        <f>LEFT(Table1[[#This Row],[EPI_DGN_ANTIC]],3)</f>
        <v>NMS</v>
      </c>
      <c r="D779" t="s">
        <v>2707</v>
      </c>
      <c r="E779" s="10">
        <v>1</v>
      </c>
      <c r="F779" t="s">
        <v>2708</v>
      </c>
    </row>
    <row r="780" spans="1:6">
      <c r="A780" s="1">
        <v>778</v>
      </c>
      <c r="B780" t="str">
        <f>LEFT(Table1[[#This Row],[EPI_DGN_ANTIC]],1)</f>
        <v>N</v>
      </c>
      <c r="C780" t="str">
        <f>LEFT(Table1[[#This Row],[EPI_DGN_ANTIC]],3)</f>
        <v>NMS</v>
      </c>
      <c r="D780" t="s">
        <v>2709</v>
      </c>
      <c r="E780" s="10">
        <v>1</v>
      </c>
      <c r="F780" t="s">
        <v>2710</v>
      </c>
    </row>
    <row r="781" spans="1:6">
      <c r="A781" s="1">
        <v>779</v>
      </c>
      <c r="B781" t="str">
        <f>LEFT(Table1[[#This Row],[EPI_DGN_ANTIC]],1)</f>
        <v>N</v>
      </c>
      <c r="C781" t="str">
        <f>LEFT(Table1[[#This Row],[EPI_DGN_ANTIC]],3)</f>
        <v>NPc</v>
      </c>
      <c r="D781" t="s">
        <v>2711</v>
      </c>
      <c r="E781" s="10">
        <v>0</v>
      </c>
    </row>
    <row r="782" spans="1:6">
      <c r="A782" s="1">
        <v>780</v>
      </c>
      <c r="B782" t="str">
        <f>LEFT(Table1[[#This Row],[EPI_DGN_ANTIC]],1)</f>
        <v>N</v>
      </c>
      <c r="C782" t="str">
        <f>LEFT(Table1[[#This Row],[EPI_DGN_ANTIC]],3)</f>
        <v>NPc</v>
      </c>
      <c r="D782" t="s">
        <v>2712</v>
      </c>
      <c r="E782" s="10">
        <v>1</v>
      </c>
      <c r="F782" t="s">
        <v>2713</v>
      </c>
    </row>
    <row r="783" spans="1:6">
      <c r="A783" s="1">
        <v>781</v>
      </c>
      <c r="B783" t="str">
        <f>LEFT(Table1[[#This Row],[EPI_DGN_ANTIC]],1)</f>
        <v>N</v>
      </c>
      <c r="C783" t="str">
        <f>LEFT(Table1[[#This Row],[EPI_DGN_ANTIC]],3)</f>
        <v>NPc</v>
      </c>
      <c r="D783" t="s">
        <v>2714</v>
      </c>
      <c r="E783" s="10">
        <v>1</v>
      </c>
      <c r="F783" t="s">
        <v>2713</v>
      </c>
    </row>
    <row r="784" spans="1:6">
      <c r="A784" s="1">
        <v>782</v>
      </c>
      <c r="B784" t="str">
        <f>LEFT(Table1[[#This Row],[EPI_DGN_ANTIC]],1)</f>
        <v>N</v>
      </c>
      <c r="C784" t="str">
        <f>LEFT(Table1[[#This Row],[EPI_DGN_ANTIC]],3)</f>
        <v>NPl</v>
      </c>
      <c r="D784" t="s">
        <v>2715</v>
      </c>
      <c r="E784" s="10">
        <v>1</v>
      </c>
      <c r="F784" t="s">
        <v>2716</v>
      </c>
    </row>
    <row r="785" spans="1:6">
      <c r="A785" s="1">
        <v>783</v>
      </c>
      <c r="B785" t="str">
        <f>LEFT(Table1[[#This Row],[EPI_DGN_ANTIC]],1)</f>
        <v>Q</v>
      </c>
      <c r="C785" t="str">
        <f>LEFT(Table1[[#This Row],[EPI_DGN_ANTIC]],2)</f>
        <v>QH</v>
      </c>
      <c r="D785" t="s">
        <v>2717</v>
      </c>
      <c r="E785" s="10">
        <v>1</v>
      </c>
      <c r="F785" t="s">
        <v>2627</v>
      </c>
    </row>
    <row r="786" spans="1:6">
      <c r="A786" s="1">
        <v>784</v>
      </c>
      <c r="B786" t="str">
        <f>LEFT(Table1[[#This Row],[EPI_DGN_ANTIC]],1)</f>
        <v>Q</v>
      </c>
      <c r="C786" t="str">
        <f>LEFT(Table1[[#This Row],[EPI_DGN_ANTIC]],2)</f>
        <v>QP</v>
      </c>
      <c r="D786" t="s">
        <v>2718</v>
      </c>
      <c r="E786" s="10">
        <v>0</v>
      </c>
    </row>
    <row r="787" spans="1:6">
      <c r="A787" s="1">
        <v>785</v>
      </c>
      <c r="B787" t="str">
        <f>LEFT(Table1[[#This Row],[EPI_DGN_ANTIC]],1)</f>
        <v>Q</v>
      </c>
      <c r="C787" t="str">
        <f>LEFT(Table1[[#This Row],[EPI_DGN_ANTIC]],2)</f>
        <v>QP</v>
      </c>
      <c r="D787" t="s">
        <v>2719</v>
      </c>
      <c r="E787" s="10">
        <v>1</v>
      </c>
      <c r="F787" t="s">
        <v>2720</v>
      </c>
    </row>
    <row r="788" spans="1:6">
      <c r="A788" s="1">
        <v>786</v>
      </c>
      <c r="B788" t="str">
        <f>LEFT(Table1[[#This Row],[EPI_DGN_ANTIC]],1)</f>
        <v>N</v>
      </c>
      <c r="C788" t="str">
        <f>LEFT(Table1[[#This Row],[EPI_DGN_ANTIC]],3)</f>
        <v>NMS</v>
      </c>
      <c r="D788" t="s">
        <v>2721</v>
      </c>
      <c r="E788" s="10">
        <v>1</v>
      </c>
      <c r="F788" t="s">
        <v>2722</v>
      </c>
    </row>
    <row r="789" spans="1:6">
      <c r="A789" s="1">
        <v>787</v>
      </c>
      <c r="B789" t="str">
        <f>LEFT(Table1[[#This Row],[EPI_DGN_ANTIC]],1)</f>
        <v>N</v>
      </c>
      <c r="C789" t="str">
        <f>LEFT(Table1[[#This Row],[EPI_DGN_ANTIC]],3)</f>
        <v>NMS</v>
      </c>
      <c r="D789" t="s">
        <v>2723</v>
      </c>
      <c r="E789" s="10">
        <v>1</v>
      </c>
      <c r="F789" t="s">
        <v>2724</v>
      </c>
    </row>
    <row r="790" spans="1:6">
      <c r="A790" s="1">
        <v>788</v>
      </c>
      <c r="B790" t="str">
        <f>LEFT(Table1[[#This Row],[EPI_DGN_ANTIC]],1)</f>
        <v>N</v>
      </c>
      <c r="C790" t="str">
        <f>LEFT(Table1[[#This Row],[EPI_DGN_ANTIC]],3)</f>
        <v>NPc</v>
      </c>
      <c r="D790" t="s">
        <v>2725</v>
      </c>
      <c r="E790" s="10">
        <v>1</v>
      </c>
      <c r="F790" t="s">
        <v>2716</v>
      </c>
    </row>
    <row r="791" spans="1:6">
      <c r="A791" s="1">
        <v>789</v>
      </c>
      <c r="B791" t="str">
        <f>LEFT(Table1[[#This Row],[EPI_DGN_ANTIC]],1)</f>
        <v>T</v>
      </c>
      <c r="C791" t="str">
        <f>LEFT(Table1[[#This Row],[EPI_DGN_ANTIC]],2)</f>
        <v>Tl</v>
      </c>
      <c r="D791" t="s">
        <v>2726</v>
      </c>
      <c r="E791" s="10">
        <v>1</v>
      </c>
      <c r="F791" t="s">
        <v>2727</v>
      </c>
    </row>
    <row r="792" spans="1:6">
      <c r="A792" s="1">
        <v>790</v>
      </c>
      <c r="B792" t="str">
        <f>LEFT(Table1[[#This Row],[EPI_DGN_ANTIC]],1)</f>
        <v>T</v>
      </c>
      <c r="C792" t="str">
        <f>LEFT(Table1[[#This Row],[EPI_DGN_ANTIC]],2)</f>
        <v>Tk</v>
      </c>
      <c r="D792" t="s">
        <v>2728</v>
      </c>
      <c r="E792" s="10">
        <v>1</v>
      </c>
      <c r="F792" t="s">
        <v>1973</v>
      </c>
    </row>
    <row r="793" spans="1:6">
      <c r="A793" s="1">
        <v>791</v>
      </c>
      <c r="B793" t="str">
        <f>LEFT(Table1[[#This Row],[EPI_DGN_ANTIC]],1)</f>
        <v>T</v>
      </c>
      <c r="C793" t="str">
        <f>LEFT(Table1[[#This Row],[EPI_DGN_ANTIC]],2)</f>
        <v>Tk</v>
      </c>
      <c r="D793" t="s">
        <v>2729</v>
      </c>
      <c r="E793" s="10">
        <v>1</v>
      </c>
      <c r="F793" t="s">
        <v>2730</v>
      </c>
    </row>
    <row r="794" spans="1:6">
      <c r="A794" s="1">
        <v>792</v>
      </c>
      <c r="B794" t="str">
        <f>LEFT(Table1[[#This Row],[EPI_DGN_ANTIC]],1)</f>
        <v>T</v>
      </c>
      <c r="C794" t="str">
        <f>LEFT(Table1[[#This Row],[EPI_DGN_ANTIC]],2)</f>
        <v>Tk</v>
      </c>
      <c r="D794" t="s">
        <v>2731</v>
      </c>
      <c r="E794" s="10">
        <v>1</v>
      </c>
      <c r="F794" t="s">
        <v>2732</v>
      </c>
    </row>
    <row r="795" spans="1:6">
      <c r="A795" s="1">
        <v>793</v>
      </c>
      <c r="B795" t="str">
        <f>LEFT(Table1[[#This Row],[EPI_DGN_ANTIC]],1)</f>
        <v>T</v>
      </c>
      <c r="C795" t="str">
        <f>LEFT(Table1[[#This Row],[EPI_DGN_ANTIC]],2)</f>
        <v>Tk</v>
      </c>
      <c r="D795" t="s">
        <v>2733</v>
      </c>
      <c r="E795" s="10">
        <v>1</v>
      </c>
      <c r="F795" t="s">
        <v>2732</v>
      </c>
    </row>
    <row r="796" spans="1:6">
      <c r="A796" s="1">
        <v>794</v>
      </c>
      <c r="B796" t="str">
        <f>LEFT(Table1[[#This Row],[EPI_DGN_ANTIC]],1)</f>
        <v>T</v>
      </c>
      <c r="C796" t="str">
        <f>LEFT(Table1[[#This Row],[EPI_DGN_ANTIC]],2)</f>
        <v>Tk</v>
      </c>
      <c r="D796" t="s">
        <v>2734</v>
      </c>
      <c r="E796" s="10">
        <v>1</v>
      </c>
      <c r="F796" t="s">
        <v>835</v>
      </c>
    </row>
    <row r="797" spans="1:6">
      <c r="A797" s="1">
        <v>795</v>
      </c>
      <c r="B797" t="str">
        <f>LEFT(Table1[[#This Row],[EPI_DGN_ANTIC]],1)</f>
        <v>T</v>
      </c>
      <c r="C797" t="str">
        <f>LEFT(Table1[[#This Row],[EPI_DGN_ANTIC]],2)</f>
        <v>Tk</v>
      </c>
      <c r="D797" t="s">
        <v>2735</v>
      </c>
      <c r="E797" s="10">
        <v>1</v>
      </c>
      <c r="F797" t="s">
        <v>835</v>
      </c>
    </row>
    <row r="798" spans="1:6">
      <c r="A798" s="1">
        <v>796</v>
      </c>
      <c r="B798" t="str">
        <f>LEFT(Table1[[#This Row],[EPI_DGN_ANTIC]],1)</f>
        <v>N</v>
      </c>
      <c r="C798" t="str">
        <f>LEFT(Table1[[#This Row],[EPI_DGN_ANTIC]],3)</f>
        <v>NPc</v>
      </c>
      <c r="D798" t="s">
        <v>2711</v>
      </c>
      <c r="E798" s="10">
        <v>1</v>
      </c>
      <c r="F798" t="s">
        <v>2426</v>
      </c>
    </row>
    <row r="799" spans="1:6">
      <c r="A799" s="1">
        <v>797</v>
      </c>
      <c r="B799" t="str">
        <f>LEFT(Table1[[#This Row],[EPI_DGN_ANTIC]],1)</f>
        <v>N</v>
      </c>
      <c r="C799" t="str">
        <f>LEFT(Table1[[#This Row],[EPI_DGN_ANTIC]],3)</f>
        <v>NPl</v>
      </c>
      <c r="D799" t="s">
        <v>2736</v>
      </c>
      <c r="E799" s="10">
        <v>1</v>
      </c>
      <c r="F799" t="s">
        <v>2426</v>
      </c>
    </row>
    <row r="800" spans="1:6">
      <c r="A800" s="1">
        <v>798</v>
      </c>
      <c r="B800" t="str">
        <f>LEFT(Table1[[#This Row],[EPI_DGN_ANTIC]],1)</f>
        <v>N</v>
      </c>
      <c r="C800" t="str">
        <f>LEFT(Table1[[#This Row],[EPI_DGN_ANTIC]],3)</f>
        <v>NMS</v>
      </c>
      <c r="D800" t="s">
        <v>2737</v>
      </c>
      <c r="E800" s="10">
        <v>1</v>
      </c>
      <c r="F800" t="s">
        <v>2738</v>
      </c>
    </row>
    <row r="801" spans="1:6">
      <c r="A801" s="1">
        <v>799</v>
      </c>
      <c r="B801" t="str">
        <f>LEFT(Table1[[#This Row],[EPI_DGN_ANTIC]],1)</f>
        <v>N</v>
      </c>
      <c r="C801" t="str">
        <f>LEFT(Table1[[#This Row],[EPI_DGN_ANTIC]],3)</f>
        <v>NMS</v>
      </c>
      <c r="D801" t="s">
        <v>2739</v>
      </c>
      <c r="E801" s="10">
        <v>1</v>
      </c>
      <c r="F801" t="s">
        <v>2740</v>
      </c>
    </row>
    <row r="802" spans="1:6">
      <c r="A802" s="1">
        <v>800</v>
      </c>
      <c r="B802" t="str">
        <f>LEFT(Table1[[#This Row],[EPI_DGN_ANTIC]],1)</f>
        <v>N</v>
      </c>
      <c r="C802" t="str">
        <f>LEFT(Table1[[#This Row],[EPI_DGN_ANTIC]],3)</f>
        <v>NMS</v>
      </c>
      <c r="D802" t="s">
        <v>2741</v>
      </c>
      <c r="E802" s="10">
        <v>1</v>
      </c>
      <c r="F802" t="s">
        <v>2742</v>
      </c>
    </row>
    <row r="803" spans="1:6">
      <c r="A803" s="1">
        <v>801</v>
      </c>
      <c r="B803" t="str">
        <f>LEFT(Table1[[#This Row],[EPI_DGN_ANTIC]],1)</f>
        <v>Q</v>
      </c>
      <c r="C803" t="str">
        <f>LEFT(Table1[[#This Row],[EPI_DGN_ANTIC]],2)</f>
        <v>QH</v>
      </c>
      <c r="D803" t="s">
        <v>2743</v>
      </c>
      <c r="E803" s="10">
        <v>0</v>
      </c>
    </row>
    <row r="804" spans="1:6">
      <c r="A804" s="1">
        <v>802</v>
      </c>
      <c r="B804" t="str">
        <f>LEFT(Table1[[#This Row],[EPI_DGN_ANTIC]],1)</f>
        <v>Q</v>
      </c>
      <c r="C804" t="str">
        <f>LEFT(Table1[[#This Row],[EPI_DGN_ANTIC]],2)</f>
        <v>QH</v>
      </c>
      <c r="D804" t="s">
        <v>2744</v>
      </c>
      <c r="E804" s="10">
        <v>1</v>
      </c>
      <c r="F804" t="s">
        <v>2745</v>
      </c>
    </row>
    <row r="805" spans="1:6">
      <c r="A805" s="1">
        <v>803</v>
      </c>
      <c r="B805" t="str">
        <f>LEFT(Table1[[#This Row],[EPI_DGN_ANTIC]],1)</f>
        <v>Q</v>
      </c>
      <c r="C805" t="str">
        <f>LEFT(Table1[[#This Row],[EPI_DGN_ANTIC]],2)</f>
        <v>QH</v>
      </c>
      <c r="D805" t="s">
        <v>2746</v>
      </c>
      <c r="E805" s="10">
        <v>1</v>
      </c>
      <c r="F805" t="s">
        <v>2747</v>
      </c>
    </row>
    <row r="806" spans="1:6">
      <c r="A806" s="1">
        <v>804</v>
      </c>
      <c r="B806" t="str">
        <f>LEFT(Table1[[#This Row],[EPI_DGN_ANTIC]],1)</f>
        <v>Q</v>
      </c>
      <c r="C806" t="str">
        <f>LEFT(Table1[[#This Row],[EPI_DGN_ANTIC]],2)</f>
        <v>QH</v>
      </c>
      <c r="D806" t="s">
        <v>2380</v>
      </c>
      <c r="E806" s="10">
        <v>1</v>
      </c>
      <c r="F806" t="s">
        <v>2748</v>
      </c>
    </row>
    <row r="807" spans="1:6">
      <c r="A807" s="1">
        <v>805</v>
      </c>
      <c r="B807" t="str">
        <f>LEFT(Table1[[#This Row],[EPI_DGN_ANTIC]],1)</f>
        <v>Q</v>
      </c>
      <c r="C807" t="str">
        <f>LEFT(Table1[[#This Row],[EPI_DGN_ANTIC]],2)</f>
        <v>QH</v>
      </c>
      <c r="D807" t="s">
        <v>2749</v>
      </c>
      <c r="E807" s="10">
        <v>1</v>
      </c>
      <c r="F807" t="s">
        <v>2750</v>
      </c>
    </row>
    <row r="808" spans="1:6">
      <c r="A808" s="1">
        <v>806</v>
      </c>
      <c r="B808" t="str">
        <f>LEFT(Table1[[#This Row],[EPI_DGN_ANTIC]],1)</f>
        <v>Q</v>
      </c>
      <c r="C808" t="str">
        <f>LEFT(Table1[[#This Row],[EPI_DGN_ANTIC]],3)</f>
        <v>QPc</v>
      </c>
      <c r="D808" t="s">
        <v>2751</v>
      </c>
      <c r="E808" s="10">
        <v>1</v>
      </c>
      <c r="F808" t="s">
        <v>2752</v>
      </c>
    </row>
    <row r="809" spans="1:6">
      <c r="A809" s="1">
        <v>807</v>
      </c>
      <c r="B809" t="str">
        <f>LEFT(Table1[[#This Row],[EPI_DGN_ANTIC]],1)</f>
        <v>P</v>
      </c>
      <c r="C809" t="str">
        <f>LEFT(Table1[[#This Row],[EPI_DGN_ANTIC]],3)</f>
        <v>PEB</v>
      </c>
      <c r="D809" t="s">
        <v>2753</v>
      </c>
      <c r="E809" s="10">
        <v>1</v>
      </c>
      <c r="F809" t="s">
        <v>44</v>
      </c>
    </row>
    <row r="810" spans="1:6">
      <c r="A810" s="1">
        <v>808</v>
      </c>
      <c r="B810" t="str">
        <f>LEFT(Table1[[#This Row],[EPI_DGN_ANTIC]],1)</f>
        <v>P</v>
      </c>
      <c r="C810" t="str">
        <f>LEFT(Table1[[#This Row],[EPI_DGN_ANTIC]],3)</f>
        <v>PEB</v>
      </c>
      <c r="D810" t="s">
        <v>2754</v>
      </c>
      <c r="E810" s="10">
        <v>1</v>
      </c>
      <c r="F810" t="s">
        <v>1312</v>
      </c>
    </row>
    <row r="811" spans="1:6">
      <c r="A811" s="1">
        <v>809</v>
      </c>
      <c r="B811" t="str">
        <f>LEFT(Table1[[#This Row],[EPI_DGN_ANTIC]],1)</f>
        <v>P</v>
      </c>
      <c r="C811" t="str">
        <f>LEFT(Table1[[#This Row],[EPI_DGN_ANTIC]],3)</f>
        <v>PEB</v>
      </c>
      <c r="D811" t="s">
        <v>2755</v>
      </c>
      <c r="E811" s="10">
        <v>1</v>
      </c>
      <c r="F811" t="s">
        <v>1314</v>
      </c>
    </row>
    <row r="812" spans="1:6">
      <c r="A812" s="1">
        <v>810</v>
      </c>
      <c r="B812" t="str">
        <f>LEFT(Table1[[#This Row],[EPI_DGN_ANTIC]],1)</f>
        <v>P</v>
      </c>
      <c r="C812" t="str">
        <f>LEFT(Table1[[#This Row],[EPI_DGN_ANTIC]],3)</f>
        <v>PEP</v>
      </c>
      <c r="D812" t="s">
        <v>2756</v>
      </c>
      <c r="E812" s="10">
        <v>1</v>
      </c>
      <c r="F812" t="s">
        <v>1319</v>
      </c>
    </row>
    <row r="813" spans="1:6">
      <c r="A813" s="1">
        <v>811</v>
      </c>
      <c r="B813" t="str">
        <f>LEFT(Table1[[#This Row],[EPI_DGN_ANTIC]],1)</f>
        <v>P</v>
      </c>
      <c r="C813" t="str">
        <f>LEFT(Table1[[#This Row],[EPI_DGN_ANTIC]],3)</f>
        <v>PEP</v>
      </c>
      <c r="D813" t="s">
        <v>2757</v>
      </c>
      <c r="E813" s="10">
        <v>1</v>
      </c>
      <c r="F813" t="s">
        <v>1320</v>
      </c>
    </row>
    <row r="814" spans="1:6">
      <c r="A814" s="1">
        <v>812</v>
      </c>
      <c r="B814" t="str">
        <f>LEFT(Table1[[#This Row],[EPI_DGN_ANTIC]],1)</f>
        <v>P</v>
      </c>
      <c r="C814" t="str">
        <f>LEFT(Table1[[#This Row],[EPI_DGN_ANTIC]],2)</f>
        <v>PE</v>
      </c>
      <c r="D814" t="s">
        <v>2758</v>
      </c>
      <c r="E814" s="10">
        <v>1</v>
      </c>
      <c r="F814" t="s">
        <v>1321</v>
      </c>
    </row>
    <row r="815" spans="1:6">
      <c r="A815" s="1">
        <v>813</v>
      </c>
      <c r="B815" t="str">
        <f>LEFT(Table1[[#This Row],[EPI_DGN_ANTIC]],1)</f>
        <v>P</v>
      </c>
      <c r="C815" t="str">
        <f>LEFT(Table1[[#This Row],[EPI_DGN_ANTIC]],3)</f>
        <v>PEB</v>
      </c>
      <c r="D815" t="s">
        <v>2759</v>
      </c>
      <c r="E815" s="10">
        <v>1</v>
      </c>
      <c r="F815" t="s">
        <v>1315</v>
      </c>
    </row>
    <row r="816" spans="1:6">
      <c r="A816" s="1">
        <v>814</v>
      </c>
      <c r="B816" t="str">
        <f>LEFT(Table1[[#This Row],[EPI_DGN_ANTIC]],1)</f>
        <v>P</v>
      </c>
      <c r="C816" t="str">
        <f>LEFT(Table1[[#This Row],[EPI_DGN_ANTIC]],3)</f>
        <v>PEP</v>
      </c>
      <c r="D816" t="s">
        <v>2760</v>
      </c>
      <c r="E816" s="10">
        <v>1</v>
      </c>
      <c r="F816" t="s">
        <v>2677</v>
      </c>
    </row>
    <row r="817" spans="1:6">
      <c r="A817" s="1">
        <v>815</v>
      </c>
      <c r="B817" t="str">
        <f>LEFT(Table1[[#This Row],[EPI_DGN_ANTIC]],1)</f>
        <v>P</v>
      </c>
      <c r="C817" t="str">
        <f>LEFT(Table1[[#This Row],[EPI_DGN_ANTIC]],3)</f>
        <v>PEI</v>
      </c>
      <c r="D817" t="s">
        <v>2761</v>
      </c>
      <c r="E817" s="10">
        <v>1</v>
      </c>
      <c r="F817" t="s">
        <v>50</v>
      </c>
    </row>
    <row r="818" spans="1:6">
      <c r="A818" s="1">
        <v>816</v>
      </c>
      <c r="B818" t="str">
        <f>LEFT(Table1[[#This Row],[EPI_DGN_ANTIC]],1)</f>
        <v>Q</v>
      </c>
      <c r="C818" t="str">
        <f>LEFT(Table1[[#This Row],[EPI_DGN_ANTIC]],3)</f>
        <v>Qv2</v>
      </c>
      <c r="D818" t="s">
        <v>1873</v>
      </c>
      <c r="E818" s="10">
        <v>1</v>
      </c>
      <c r="F818" t="s">
        <v>1393</v>
      </c>
    </row>
    <row r="819" spans="1:6">
      <c r="A819" s="1">
        <v>817</v>
      </c>
      <c r="B819" t="str">
        <f>LEFT(Table1[[#This Row],[EPI_DGN_ANTIC]],1)</f>
        <v>Q</v>
      </c>
      <c r="C819" t="str">
        <f>LEFT(Table1[[#This Row],[EPI_DGN_ANTIC]],3)</f>
        <v>QPt</v>
      </c>
      <c r="D819" t="s">
        <v>2762</v>
      </c>
      <c r="E819" s="10">
        <v>1</v>
      </c>
      <c r="F819" t="s">
        <v>1501</v>
      </c>
    </row>
    <row r="820" spans="1:6">
      <c r="A820" s="1">
        <v>818</v>
      </c>
      <c r="B820" t="str">
        <f>LEFT(Table1[[#This Row],[EPI_DGN_ANTIC]],1)</f>
        <v>T</v>
      </c>
      <c r="C820" t="str">
        <f>LEFT(Table1[[#This Row],[EPI_DGN_ANTIC]],2)</f>
        <v>TS</v>
      </c>
      <c r="D820" t="s">
        <v>2763</v>
      </c>
      <c r="E820" s="10">
        <v>1</v>
      </c>
      <c r="F820" t="s">
        <v>2764</v>
      </c>
    </row>
    <row r="821" spans="1:6">
      <c r="A821" s="1">
        <v>819</v>
      </c>
      <c r="B821" t="str">
        <f>LEFT(Table1[[#This Row],[EPI_DGN_ANTIC]],1)</f>
        <v>T</v>
      </c>
      <c r="C821" t="str">
        <f>LEFT(Table1[[#This Row],[EPI_DGN_ANTIC]],2)</f>
        <v>TS</v>
      </c>
      <c r="D821" t="s">
        <v>2765</v>
      </c>
      <c r="E821" s="10">
        <v>0</v>
      </c>
    </row>
    <row r="822" spans="1:6">
      <c r="A822" s="1">
        <v>820</v>
      </c>
      <c r="B822" t="str">
        <f>LEFT(Table1[[#This Row],[EPI_DGN_ANTIC]],1)</f>
        <v>P</v>
      </c>
      <c r="C822" t="str">
        <f>LEFT(Table1[[#This Row],[EPI_DGN_ANTIC]],3)</f>
        <v>PEI</v>
      </c>
      <c r="D822" t="s">
        <v>2766</v>
      </c>
      <c r="E822" s="10">
        <v>1</v>
      </c>
      <c r="F822" t="s">
        <v>589</v>
      </c>
    </row>
    <row r="823" spans="1:6">
      <c r="A823" s="1">
        <v>821</v>
      </c>
      <c r="B823" t="str">
        <f>LEFT(Table1[[#This Row],[EPI_DGN_ANTIC]],1)</f>
        <v>P</v>
      </c>
      <c r="C823" t="str">
        <f>LEFT(Table1[[#This Row],[EPI_DGN_ANTIC]],3)</f>
        <v>PEP</v>
      </c>
      <c r="D823" t="s">
        <v>2675</v>
      </c>
      <c r="E823" s="10">
        <v>1</v>
      </c>
      <c r="F823" t="s">
        <v>2767</v>
      </c>
    </row>
    <row r="824" spans="1:6">
      <c r="A824" s="1">
        <v>822</v>
      </c>
      <c r="B824" t="str">
        <f>LEFT(Table1[[#This Row],[EPI_DGN_ANTIC]],1)</f>
        <v>P</v>
      </c>
      <c r="C824" t="str">
        <f>LEFT(Table1[[#This Row],[EPI_DGN_ANTIC]],3)</f>
        <v>PEP</v>
      </c>
      <c r="D824" t="s">
        <v>2768</v>
      </c>
      <c r="E824" s="10">
        <v>1</v>
      </c>
      <c r="F824" t="s">
        <v>2769</v>
      </c>
    </row>
    <row r="825" spans="1:6">
      <c r="A825" s="1">
        <v>823</v>
      </c>
      <c r="B825" t="str">
        <f>LEFT(Table1[[#This Row],[EPI_DGN_ANTIC]],1)</f>
        <v>P</v>
      </c>
      <c r="C825" t="str">
        <f>LEFT(Table1[[#This Row],[EPI_DGN_ANTIC]],2)</f>
        <v>PE</v>
      </c>
      <c r="D825" t="s">
        <v>2770</v>
      </c>
      <c r="E825" s="10">
        <v>1</v>
      </c>
      <c r="F825" t="s">
        <v>2771</v>
      </c>
    </row>
    <row r="826" spans="1:6">
      <c r="A826" s="1">
        <v>824</v>
      </c>
      <c r="B826" t="str">
        <f>LEFT(Table1[[#This Row],[EPI_DGN_ANTIC]],1)</f>
        <v>P</v>
      </c>
      <c r="C826" t="str">
        <f>LEFT(Table1[[#This Row],[EPI_DGN_ANTIC]],2)</f>
        <v>PE</v>
      </c>
      <c r="D826" t="s">
        <v>2772</v>
      </c>
      <c r="E826" s="10">
        <v>1</v>
      </c>
      <c r="F826" t="s">
        <v>1738</v>
      </c>
    </row>
    <row r="827" spans="1:6">
      <c r="A827" s="1">
        <v>825</v>
      </c>
      <c r="B827" t="str">
        <f>LEFT(Table1[[#This Row],[EPI_DGN_ANTIC]],1)</f>
        <v>P</v>
      </c>
      <c r="C827" t="str">
        <f>LEFT(Table1[[#This Row],[EPI_DGN_ANTIC]],3)</f>
        <v>POC</v>
      </c>
      <c r="D827" t="s">
        <v>2773</v>
      </c>
      <c r="E827" s="10">
        <v>0</v>
      </c>
    </row>
    <row r="828" spans="1:6">
      <c r="A828" s="1">
        <v>826</v>
      </c>
      <c r="B828" t="str">
        <f>LEFT(Table1[[#This Row],[EPI_DGN_ANTIC]],1)</f>
        <v>P</v>
      </c>
      <c r="C828" t="str">
        <f>LEFT(Table1[[#This Row],[EPI_DGN_ANTIC]],3)</f>
        <v>POC</v>
      </c>
      <c r="D828" t="s">
        <v>2774</v>
      </c>
      <c r="E828" s="10">
        <v>1</v>
      </c>
      <c r="F828" t="s">
        <v>2775</v>
      </c>
    </row>
    <row r="829" spans="1:6">
      <c r="A829" s="1">
        <v>827</v>
      </c>
      <c r="B829" t="str">
        <f>LEFT(Table1[[#This Row],[EPI_DGN_ANTIC]],1)</f>
        <v>P</v>
      </c>
      <c r="C829" t="str">
        <f>LEFT(Table1[[#This Row],[EPI_DGN_ANTIC]],3)</f>
        <v>POC</v>
      </c>
      <c r="D829" t="s">
        <v>2776</v>
      </c>
      <c r="E829" s="10">
        <v>1</v>
      </c>
      <c r="F829" t="s">
        <v>2775</v>
      </c>
    </row>
    <row r="830" spans="1:6">
      <c r="A830" s="1">
        <v>828</v>
      </c>
      <c r="B830" t="str">
        <f>LEFT(Table1[[#This Row],[EPI_DGN_ANTIC]],1)</f>
        <v>P</v>
      </c>
      <c r="C830" t="str">
        <f>LEFT(Table1[[#This Row],[EPI_DGN_ANTIC]],3)</f>
        <v>POC</v>
      </c>
      <c r="D830" t="s">
        <v>2777</v>
      </c>
      <c r="E830" s="10">
        <v>1</v>
      </c>
      <c r="F830" t="s">
        <v>957</v>
      </c>
    </row>
    <row r="831" spans="1:6">
      <c r="A831" s="1">
        <v>829</v>
      </c>
      <c r="B831" t="str">
        <f>LEFT(Table1[[#This Row],[EPI_DGN_ANTIC]],1)</f>
        <v>P</v>
      </c>
      <c r="C831" t="str">
        <f>LEFT(Table1[[#This Row],[EPI_DGN_ANTIC]],3)</f>
        <v>POC</v>
      </c>
      <c r="D831" t="s">
        <v>2778</v>
      </c>
      <c r="E831" s="10">
        <v>1</v>
      </c>
      <c r="F831" t="s">
        <v>2775</v>
      </c>
    </row>
    <row r="832" spans="1:6">
      <c r="A832" s="1">
        <v>830</v>
      </c>
      <c r="B832" t="str">
        <f>LEFT(Table1[[#This Row],[EPI_DGN_ANTIC]],1)</f>
        <v>P</v>
      </c>
      <c r="C832" t="str">
        <f>LEFT(Table1[[#This Row],[EPI_DGN_ANTIC]],3)</f>
        <v>POC</v>
      </c>
      <c r="D832" t="s">
        <v>2779</v>
      </c>
      <c r="E832" s="10">
        <v>1</v>
      </c>
      <c r="F832" t="s">
        <v>2775</v>
      </c>
    </row>
    <row r="833" spans="1:6">
      <c r="A833" s="1">
        <v>831</v>
      </c>
      <c r="B833" t="str">
        <f>LEFT(Table1[[#This Row],[EPI_DGN_ANTIC]],1)</f>
        <v>P</v>
      </c>
      <c r="C833" t="str">
        <f>LEFT(Table1[[#This Row],[EPI_DGN_ANTIC]],3)</f>
        <v>POR</v>
      </c>
      <c r="D833" t="s">
        <v>2780</v>
      </c>
      <c r="E833" s="10">
        <v>1</v>
      </c>
      <c r="F833" t="s">
        <v>1996</v>
      </c>
    </row>
    <row r="834" spans="1:6">
      <c r="A834" s="1">
        <v>832</v>
      </c>
      <c r="B834" t="str">
        <f>LEFT(Table1[[#This Row],[EPI_DGN_ANTIC]],1)</f>
        <v>P</v>
      </c>
      <c r="C834" t="str">
        <f>LEFT(Table1[[#This Row],[EPI_DGN_ANTIC]],3)</f>
        <v>POC</v>
      </c>
      <c r="D834" t="s">
        <v>2781</v>
      </c>
      <c r="E834" s="10">
        <v>1</v>
      </c>
      <c r="F834" t="s">
        <v>2775</v>
      </c>
    </row>
    <row r="835" spans="1:6">
      <c r="A835" s="1">
        <v>833</v>
      </c>
      <c r="B835" t="str">
        <f>LEFT(Table1[[#This Row],[EPI_DGN_ANTIC]],1)</f>
        <v>P</v>
      </c>
      <c r="C835" t="str">
        <f>LEFT(Table1[[#This Row],[EPI_DGN_ANTIC]],3)</f>
        <v>POR</v>
      </c>
      <c r="D835" t="s">
        <v>2782</v>
      </c>
      <c r="E835" s="10">
        <v>1</v>
      </c>
      <c r="F835" t="s">
        <v>2783</v>
      </c>
    </row>
    <row r="836" spans="1:6">
      <c r="A836" s="1">
        <v>834</v>
      </c>
      <c r="B836" t="str">
        <f>LEFT(Table1[[#This Row],[EPI_DGN_ANTIC]],1)</f>
        <v>P</v>
      </c>
      <c r="C836" t="str">
        <f>LEFT(Table1[[#This Row],[EPI_DGN_ANTIC]],3)</f>
        <v>POR</v>
      </c>
      <c r="D836" t="s">
        <v>2784</v>
      </c>
      <c r="E836" s="10">
        <v>1</v>
      </c>
      <c r="F836" t="s">
        <v>2069</v>
      </c>
    </row>
    <row r="837" spans="1:6">
      <c r="A837" s="1">
        <v>835</v>
      </c>
      <c r="B837" t="str">
        <f>LEFT(Table1[[#This Row],[EPI_DGN_ANTIC]],1)</f>
        <v>P</v>
      </c>
      <c r="C837" t="str">
        <f>LEFT(Table1[[#This Row],[EPI_DGN_ANTIC]],3)</f>
        <v>POR</v>
      </c>
      <c r="D837" t="s">
        <v>2785</v>
      </c>
      <c r="E837" s="10">
        <v>1</v>
      </c>
      <c r="F837" t="s">
        <v>2006</v>
      </c>
    </row>
    <row r="838" spans="1:6">
      <c r="A838" s="1">
        <v>836</v>
      </c>
      <c r="B838" t="str">
        <f>LEFT(Table1[[#This Row],[EPI_DGN_ANTIC]],1)</f>
        <v>P</v>
      </c>
      <c r="C838" t="str">
        <f>LEFT(Table1[[#This Row],[EPI_DGN_ANTIC]],3)</f>
        <v>POR</v>
      </c>
      <c r="D838" t="s">
        <v>2786</v>
      </c>
      <c r="E838" s="10">
        <v>1</v>
      </c>
      <c r="F838" t="s">
        <v>2787</v>
      </c>
    </row>
    <row r="839" spans="1:6">
      <c r="A839" s="1">
        <v>837</v>
      </c>
      <c r="B839" t="str">
        <f>LEFT(Table1[[#This Row],[EPI_DGN_ANTIC]],1)</f>
        <v>P</v>
      </c>
      <c r="C839" t="str">
        <f>LEFT(Table1[[#This Row],[EPI_DGN_ANTIC]],3)</f>
        <v>POR</v>
      </c>
      <c r="D839" t="s">
        <v>2788</v>
      </c>
      <c r="E839" s="10">
        <v>1</v>
      </c>
      <c r="F839" t="s">
        <v>1738</v>
      </c>
    </row>
    <row r="840" spans="1:6">
      <c r="A840" s="1">
        <v>838</v>
      </c>
      <c r="B840" t="str">
        <f>LEFT(Table1[[#This Row],[EPI_DGN_ANTIC]],1)</f>
        <v>P</v>
      </c>
      <c r="C840" t="str">
        <f>LEFT(Table1[[#This Row],[EPI_DGN_ANTIC]],3)</f>
        <v>POR</v>
      </c>
      <c r="D840" t="s">
        <v>2789</v>
      </c>
      <c r="E840" s="10">
        <v>1</v>
      </c>
      <c r="F840" t="s">
        <v>2790</v>
      </c>
    </row>
    <row r="841" spans="1:6">
      <c r="A841" s="1">
        <v>839</v>
      </c>
      <c r="B841" t="str">
        <f>LEFT(Table1[[#This Row],[EPI_DGN_ANTIC]],1)</f>
        <v>P</v>
      </c>
      <c r="C841" t="str">
        <f>LEFT(Table1[[#This Row],[EPI_DGN_ANTIC]],3)</f>
        <v>POR</v>
      </c>
      <c r="D841" t="s">
        <v>2791</v>
      </c>
      <c r="E841" s="10">
        <v>1</v>
      </c>
      <c r="F841" t="s">
        <v>2792</v>
      </c>
    </row>
    <row r="842" spans="1:6">
      <c r="A842" s="1">
        <v>840</v>
      </c>
      <c r="B842" t="str">
        <f>LEFT(Table1[[#This Row],[EPI_DGN_ANTIC]],1)</f>
        <v>P</v>
      </c>
      <c r="C842" t="str">
        <f>LEFT(Table1[[#This Row],[EPI_DGN_ANTIC]],3)</f>
        <v>POR</v>
      </c>
      <c r="D842" t="s">
        <v>2793</v>
      </c>
      <c r="E842" s="10">
        <v>1</v>
      </c>
      <c r="F842" t="s">
        <v>2794</v>
      </c>
    </row>
    <row r="843" spans="1:6">
      <c r="A843" s="1">
        <v>841</v>
      </c>
      <c r="B843" t="str">
        <f>LEFT(Table1[[#This Row],[EPI_DGN_ANTIC]],1)</f>
        <v>P</v>
      </c>
      <c r="C843" t="str">
        <f>LEFT(Table1[[#This Row],[EPI_DGN_ANTIC]],3)</f>
        <v>POR</v>
      </c>
      <c r="D843" t="s">
        <v>2795</v>
      </c>
      <c r="E843" s="10">
        <v>1</v>
      </c>
      <c r="F843" t="s">
        <v>2724</v>
      </c>
    </row>
    <row r="844" spans="1:6">
      <c r="A844" s="1">
        <v>842</v>
      </c>
      <c r="B844" t="str">
        <f>LEFT(Table1[[#This Row],[EPI_DGN_ANTIC]],1)</f>
        <v>P</v>
      </c>
      <c r="C844" t="str">
        <f>LEFT(Table1[[#This Row],[EPI_DGN_ANTIC]],3)</f>
        <v>POR</v>
      </c>
      <c r="D844" t="s">
        <v>2796</v>
      </c>
      <c r="E844" s="10">
        <v>1</v>
      </c>
      <c r="F844" t="s">
        <v>2797</v>
      </c>
    </row>
    <row r="845" spans="1:6">
      <c r="A845" s="1">
        <v>843</v>
      </c>
      <c r="B845" t="str">
        <f>LEFT(Table1[[#This Row],[EPI_DGN_ANTIC]],1)</f>
        <v>P</v>
      </c>
      <c r="C845" t="str">
        <f>LEFT(Table1[[#This Row],[EPI_DGN_ANTIC]],3)</f>
        <v>PEI</v>
      </c>
      <c r="D845" t="s">
        <v>2798</v>
      </c>
      <c r="E845" s="10">
        <v>1</v>
      </c>
      <c r="F845" t="s">
        <v>1142</v>
      </c>
    </row>
    <row r="846" spans="1:6">
      <c r="A846" s="1">
        <v>844</v>
      </c>
      <c r="B846" t="str">
        <f>LEFT(Table1[[#This Row],[EPI_DGN_ANTIC]],1)</f>
        <v>P</v>
      </c>
      <c r="C846" t="str">
        <f>LEFT(Table1[[#This Row],[EPI_DGN_ANTIC]],3)</f>
        <v>POR</v>
      </c>
      <c r="D846" t="s">
        <v>2799</v>
      </c>
      <c r="E846" s="10">
        <v>1</v>
      </c>
      <c r="F846" t="s">
        <v>2800</v>
      </c>
    </row>
    <row r="847" spans="1:6">
      <c r="A847" s="1">
        <v>845</v>
      </c>
      <c r="B847" t="str">
        <f>LEFT(Table1[[#This Row],[EPI_DGN_ANTIC]],1)</f>
        <v>P</v>
      </c>
      <c r="C847" t="str">
        <f>LEFT(Table1[[#This Row],[EPI_DGN_ANTIC]],3)</f>
        <v>POR</v>
      </c>
      <c r="D847" t="s">
        <v>2801</v>
      </c>
      <c r="E847" s="10">
        <v>1</v>
      </c>
      <c r="F847" t="s">
        <v>2724</v>
      </c>
    </row>
    <row r="848" spans="1:6">
      <c r="A848" s="1">
        <v>846</v>
      </c>
      <c r="B848" t="str">
        <f>LEFT(Table1[[#This Row],[EPI_DGN_ANTIC]],1)</f>
        <v>P</v>
      </c>
      <c r="C848" t="str">
        <f>LEFT(Table1[[#This Row],[EPI_DGN_ANTIC]],3)</f>
        <v>POR</v>
      </c>
      <c r="D848" t="s">
        <v>2802</v>
      </c>
      <c r="E848" s="10">
        <v>1</v>
      </c>
      <c r="F848" t="s">
        <v>474</v>
      </c>
    </row>
    <row r="849" spans="1:6">
      <c r="A849" s="1">
        <v>847</v>
      </c>
      <c r="B849" t="str">
        <f>LEFT(Table1[[#This Row],[EPI_DGN_ANTIC]],1)</f>
        <v>P</v>
      </c>
      <c r="C849" t="str">
        <f>LEFT(Table1[[#This Row],[EPI_DGN_ANTIC]],3)</f>
        <v>POR</v>
      </c>
      <c r="D849" t="s">
        <v>2803</v>
      </c>
      <c r="E849" s="10">
        <v>1</v>
      </c>
      <c r="F849" t="s">
        <v>2804</v>
      </c>
    </row>
    <row r="850" spans="1:6">
      <c r="A850" s="1">
        <v>848</v>
      </c>
      <c r="B850" t="str">
        <f>LEFT(Table1[[#This Row],[EPI_DGN_ANTIC]],1)</f>
        <v>P</v>
      </c>
      <c r="C850" t="str">
        <f>LEFT(Table1[[#This Row],[EPI_DGN_ANTIC]],3)</f>
        <v>POC</v>
      </c>
      <c r="D850" t="s">
        <v>2805</v>
      </c>
      <c r="E850" s="10">
        <v>1</v>
      </c>
      <c r="F850" t="s">
        <v>2806</v>
      </c>
    </row>
    <row r="851" spans="1:6">
      <c r="A851" s="1">
        <v>849</v>
      </c>
      <c r="B851" t="str">
        <f>LEFT(Table1[[#This Row],[EPI_DGN_ANTIC]],1)</f>
        <v>P</v>
      </c>
      <c r="C851" t="str">
        <f>LEFT(Table1[[#This Row],[EPI_DGN_ANTIC]],3)</f>
        <v>POC</v>
      </c>
      <c r="D851" t="s">
        <v>2807</v>
      </c>
      <c r="E851" s="10">
        <v>1</v>
      </c>
      <c r="F851" t="s">
        <v>2775</v>
      </c>
    </row>
    <row r="852" spans="1:6">
      <c r="A852" s="1">
        <v>850</v>
      </c>
      <c r="B852" t="str">
        <f>LEFT(Table1[[#This Row],[EPI_DGN_ANTIC]],1)</f>
        <v>P</v>
      </c>
      <c r="C852" t="str">
        <f>LEFT(Table1[[#This Row],[EPI_DGN_ANTIC]],3)</f>
        <v>PEP</v>
      </c>
      <c r="D852" t="s">
        <v>2808</v>
      </c>
      <c r="E852" s="10">
        <v>1</v>
      </c>
      <c r="F852" t="s">
        <v>2809</v>
      </c>
    </row>
    <row r="853" spans="1:6">
      <c r="A853" s="1">
        <v>851</v>
      </c>
      <c r="B853" t="str">
        <f>LEFT(Table1[[#This Row],[EPI_DGN_ANTIC]],1)</f>
        <v>P</v>
      </c>
      <c r="C853" t="str">
        <f>LEFT(Table1[[#This Row],[EPI_DGN_ANTIC]],3)</f>
        <v>PEP</v>
      </c>
      <c r="D853" t="s">
        <v>2810</v>
      </c>
      <c r="E853" s="10">
        <v>1</v>
      </c>
      <c r="F853" t="s">
        <v>2811</v>
      </c>
    </row>
    <row r="854" spans="1:6">
      <c r="A854" s="1">
        <v>852</v>
      </c>
      <c r="B854" t="str">
        <f>LEFT(Table1[[#This Row],[EPI_DGN_ANTIC]],1)</f>
        <v>Q</v>
      </c>
      <c r="C854" t="str">
        <f>LEFT(Table1[[#This Row],[EPI_DGN_ANTIC]],2)</f>
        <v>QH</v>
      </c>
      <c r="D854" t="s">
        <v>2812</v>
      </c>
      <c r="E854" s="10">
        <v>1</v>
      </c>
      <c r="F854" t="s">
        <v>2813</v>
      </c>
    </row>
    <row r="855" spans="1:6">
      <c r="A855" s="1">
        <v>853</v>
      </c>
      <c r="B855" t="str">
        <f>LEFT(Table1[[#This Row],[EPI_DGN_ANTIC]],1)</f>
        <v>N</v>
      </c>
      <c r="C855" t="str">
        <f>LEFT(Table1[[#This Row],[EPI_DGN_ANTIC]],3)</f>
        <v>NMS</v>
      </c>
      <c r="D855" t="s">
        <v>2814</v>
      </c>
      <c r="E855" s="10">
        <v>1</v>
      </c>
      <c r="F855" t="s">
        <v>2815</v>
      </c>
    </row>
    <row r="856" spans="1:6">
      <c r="A856" s="1">
        <v>854</v>
      </c>
      <c r="B856" t="s">
        <v>1355</v>
      </c>
      <c r="C856" t="str">
        <f>LEFT(Table1[[#This Row],[EPI_DGN_ANTIC]],1)</f>
        <v>2</v>
      </c>
      <c r="D856" t="s">
        <v>2816</v>
      </c>
      <c r="E856" s="10">
        <v>0</v>
      </c>
    </row>
    <row r="857" spans="1:6">
      <c r="A857" s="1">
        <v>855</v>
      </c>
      <c r="B857" t="s">
        <v>1355</v>
      </c>
      <c r="C857" t="str">
        <f>LEFT(Table1[[#This Row],[EPI_DGN_ANTIC]],1)</f>
        <v>1</v>
      </c>
      <c r="D857" t="s">
        <v>2817</v>
      </c>
      <c r="E857" s="10">
        <v>0</v>
      </c>
    </row>
    <row r="858" spans="1:6">
      <c r="A858" s="1">
        <v>856</v>
      </c>
      <c r="B858" t="s">
        <v>1355</v>
      </c>
      <c r="C858" t="str">
        <f>LEFT(Table1[[#This Row],[EPI_DGN_ANTIC]],1)</f>
        <v>6</v>
      </c>
      <c r="D858" t="s">
        <v>2818</v>
      </c>
      <c r="E858" s="10">
        <v>0</v>
      </c>
    </row>
    <row r="859" spans="1:6">
      <c r="A859" s="1">
        <v>857</v>
      </c>
      <c r="B859" t="s">
        <v>1355</v>
      </c>
      <c r="C859" t="str">
        <f>LEFT(Table1[[#This Row],[EPI_DGN_ANTIC]],1)</f>
        <v>1</v>
      </c>
      <c r="D859" t="s">
        <v>2819</v>
      </c>
      <c r="E859" s="10">
        <v>0</v>
      </c>
    </row>
    <row r="860" spans="1:6">
      <c r="A860" s="1">
        <v>858</v>
      </c>
      <c r="B860" t="s">
        <v>1355</v>
      </c>
      <c r="C860" t="str">
        <f>LEFT(Table1[[#This Row],[EPI_DGN_ANTIC]],1)</f>
        <v>1</v>
      </c>
      <c r="D860" t="s">
        <v>2820</v>
      </c>
      <c r="E860" s="10">
        <v>0</v>
      </c>
    </row>
    <row r="861" spans="1:6">
      <c r="A861" s="1">
        <v>859</v>
      </c>
      <c r="B861" t="s">
        <v>1355</v>
      </c>
      <c r="C861" t="str">
        <f>LEFT(Table1[[#This Row],[EPI_DGN_ANTIC]],1)</f>
        <v>2</v>
      </c>
      <c r="D861" t="s">
        <v>2821</v>
      </c>
      <c r="E861" s="10">
        <v>0</v>
      </c>
    </row>
    <row r="862" spans="1:6">
      <c r="A862" s="1">
        <v>860</v>
      </c>
      <c r="B862" t="s">
        <v>1355</v>
      </c>
      <c r="C862" t="str">
        <f>LEFT(Table1[[#This Row],[EPI_DGN_ANTIC]],1)</f>
        <v>2</v>
      </c>
      <c r="D862" t="s">
        <v>2822</v>
      </c>
      <c r="E862" s="10">
        <v>0</v>
      </c>
    </row>
    <row r="863" spans="1:6">
      <c r="A863" s="1">
        <v>861</v>
      </c>
      <c r="B863" t="s">
        <v>1355</v>
      </c>
      <c r="C863" t="str">
        <f>LEFT(Table1[[#This Row],[EPI_DGN_ANTIC]],1)</f>
        <v>3</v>
      </c>
      <c r="D863" t="s">
        <v>2823</v>
      </c>
      <c r="E863" s="10">
        <v>0</v>
      </c>
    </row>
    <row r="864" spans="1:6">
      <c r="A864" s="1">
        <v>862</v>
      </c>
      <c r="B864" t="s">
        <v>1355</v>
      </c>
      <c r="C864" t="str">
        <f>LEFT(Table1[[#This Row],[EPI_DGN_ANTIC]],1)</f>
        <v>2</v>
      </c>
      <c r="D864" t="s">
        <v>2824</v>
      </c>
      <c r="E864" s="10">
        <v>0</v>
      </c>
    </row>
    <row r="865" spans="1:5">
      <c r="A865" s="1">
        <v>863</v>
      </c>
      <c r="B865" t="s">
        <v>1355</v>
      </c>
      <c r="C865" t="str">
        <f>LEFT(Table1[[#This Row],[EPI_DGN_ANTIC]],1)</f>
        <v>7</v>
      </c>
      <c r="D865" t="s">
        <v>2825</v>
      </c>
      <c r="E865" s="10">
        <v>0</v>
      </c>
    </row>
    <row r="866" spans="1:5">
      <c r="A866" s="1">
        <v>864</v>
      </c>
      <c r="B866" t="s">
        <v>1355</v>
      </c>
      <c r="C866" t="str">
        <f>LEFT(Table1[[#This Row],[EPI_DGN_ANTIC]],1)</f>
        <v>2</v>
      </c>
      <c r="D866" t="s">
        <v>2826</v>
      </c>
      <c r="E866" s="10">
        <v>0</v>
      </c>
    </row>
    <row r="867" spans="1:5">
      <c r="A867" s="1">
        <v>865</v>
      </c>
      <c r="B867" t="s">
        <v>1355</v>
      </c>
      <c r="C867" t="str">
        <f>LEFT(Table1[[#This Row],[EPI_DGN_ANTIC]],1)</f>
        <v>2</v>
      </c>
      <c r="D867" t="s">
        <v>2827</v>
      </c>
      <c r="E867" s="10">
        <v>0</v>
      </c>
    </row>
    <row r="868" spans="1:5">
      <c r="A868" s="1">
        <v>866</v>
      </c>
      <c r="B868" t="s">
        <v>1355</v>
      </c>
      <c r="C868" t="str">
        <f>LEFT(Table1[[#This Row],[EPI_DGN_ANTIC]],1)</f>
        <v>8</v>
      </c>
      <c r="D868" t="s">
        <v>2828</v>
      </c>
      <c r="E868" s="10">
        <v>0</v>
      </c>
    </row>
    <row r="869" spans="1:5">
      <c r="A869" s="1">
        <v>867</v>
      </c>
      <c r="B869" t="s">
        <v>1355</v>
      </c>
      <c r="C869" t="str">
        <f>LEFT(Table1[[#This Row],[EPI_DGN_ANTIC]],1)</f>
        <v>1</v>
      </c>
      <c r="D869" t="s">
        <v>2829</v>
      </c>
      <c r="E869" s="10">
        <v>0</v>
      </c>
    </row>
    <row r="870" spans="1:5">
      <c r="A870" s="1">
        <v>868</v>
      </c>
      <c r="B870" t="s">
        <v>1355</v>
      </c>
      <c r="C870" t="str">
        <f>LEFT(Table1[[#This Row],[EPI_DGN_ANTIC]],1)</f>
        <v>2</v>
      </c>
      <c r="D870" t="s">
        <v>2830</v>
      </c>
      <c r="E870" s="10">
        <v>0</v>
      </c>
    </row>
    <row r="871" spans="1:5">
      <c r="A871" s="1">
        <v>869</v>
      </c>
      <c r="B871" t="s">
        <v>1355</v>
      </c>
      <c r="C871" t="str">
        <f>LEFT(Table1[[#This Row],[EPI_DGN_ANTIC]],1)</f>
        <v>2</v>
      </c>
      <c r="D871" t="s">
        <v>2831</v>
      </c>
      <c r="E871" s="10">
        <v>0</v>
      </c>
    </row>
    <row r="872" spans="1:5">
      <c r="A872" s="1">
        <v>870</v>
      </c>
      <c r="B872" t="s">
        <v>1355</v>
      </c>
      <c r="C872" t="str">
        <f>LEFT(Table1[[#This Row],[EPI_DGN_ANTIC]],1)</f>
        <v>2</v>
      </c>
      <c r="D872" t="s">
        <v>2832</v>
      </c>
      <c r="E872" s="10">
        <v>0</v>
      </c>
    </row>
    <row r="873" spans="1:5">
      <c r="A873" s="1">
        <v>871</v>
      </c>
      <c r="B873" t="s">
        <v>1355</v>
      </c>
      <c r="C873" t="str">
        <f>LEFT(Table1[[#This Row],[EPI_DGN_ANTIC]],1)</f>
        <v>9</v>
      </c>
      <c r="D873" t="s">
        <v>2833</v>
      </c>
      <c r="E873" s="10">
        <v>0</v>
      </c>
    </row>
    <row r="874" spans="1:5">
      <c r="A874" s="1">
        <v>872</v>
      </c>
      <c r="B874" t="s">
        <v>1355</v>
      </c>
      <c r="C874" t="str">
        <f>LEFT(Table1[[#This Row],[EPI_DGN_ANTIC]],1)</f>
        <v>2</v>
      </c>
      <c r="D874" t="s">
        <v>2834</v>
      </c>
      <c r="E874" s="10">
        <v>0</v>
      </c>
    </row>
    <row r="875" spans="1:5">
      <c r="A875" s="1">
        <v>873</v>
      </c>
      <c r="B875" t="s">
        <v>1355</v>
      </c>
      <c r="C875" t="str">
        <f>LEFT(Table1[[#This Row],[EPI_DGN_ANTIC]],1)</f>
        <v>2</v>
      </c>
      <c r="D875" t="s">
        <v>2835</v>
      </c>
      <c r="E875" s="10">
        <v>0</v>
      </c>
    </row>
    <row r="876" spans="1:5">
      <c r="A876" s="1">
        <v>874</v>
      </c>
      <c r="B876" t="s">
        <v>1355</v>
      </c>
      <c r="C876" t="str">
        <f>LEFT(Table1[[#This Row],[EPI_DGN_ANTIC]],1)</f>
        <v>1</v>
      </c>
      <c r="D876" t="s">
        <v>2836</v>
      </c>
      <c r="E876" s="10">
        <v>0</v>
      </c>
    </row>
    <row r="877" spans="1:5">
      <c r="A877" s="1">
        <v>875</v>
      </c>
      <c r="B877" t="s">
        <v>1355</v>
      </c>
      <c r="C877" t="str">
        <f>LEFT(Table1[[#This Row],[EPI_DGN_ANTIC]],1)</f>
        <v>1</v>
      </c>
      <c r="D877" t="s">
        <v>2837</v>
      </c>
      <c r="E877" s="10">
        <v>0</v>
      </c>
    </row>
    <row r="878" spans="1:5">
      <c r="A878" s="1">
        <v>876</v>
      </c>
      <c r="B878" t="s">
        <v>1355</v>
      </c>
      <c r="C878" t="str">
        <f>LEFT(Table1[[#This Row],[EPI_DGN_ANTIC]],1)</f>
        <v>1</v>
      </c>
      <c r="D878" t="s">
        <v>2838</v>
      </c>
      <c r="E878" s="10">
        <v>0</v>
      </c>
    </row>
    <row r="879" spans="1:5">
      <c r="A879" s="1">
        <v>877</v>
      </c>
      <c r="B879" t="s">
        <v>1355</v>
      </c>
      <c r="C879" t="str">
        <f>LEFT(Table1[[#This Row],[EPI_DGN_ANTIC]],1)</f>
        <v>1</v>
      </c>
      <c r="D879" t="s">
        <v>2839</v>
      </c>
      <c r="E879" s="10">
        <v>0</v>
      </c>
    </row>
    <row r="880" spans="1:5">
      <c r="A880" s="1">
        <v>878</v>
      </c>
      <c r="B880" t="s">
        <v>1355</v>
      </c>
      <c r="C880" t="str">
        <f>LEFT(Table1[[#This Row],[EPI_DGN_ANTIC]],1)</f>
        <v>1</v>
      </c>
      <c r="D880" t="s">
        <v>2840</v>
      </c>
      <c r="E880" s="10">
        <v>0</v>
      </c>
    </row>
    <row r="881" spans="1:5">
      <c r="A881" s="1">
        <v>879</v>
      </c>
      <c r="B881" t="s">
        <v>1355</v>
      </c>
      <c r="C881" t="str">
        <f>LEFT(Table1[[#This Row],[EPI_DGN_ANTIC]],1)</f>
        <v>3</v>
      </c>
      <c r="D881" t="s">
        <v>2841</v>
      </c>
      <c r="E881" s="10">
        <v>0</v>
      </c>
    </row>
    <row r="882" spans="1:5">
      <c r="A882" s="1">
        <v>880</v>
      </c>
      <c r="B882" t="s">
        <v>1355</v>
      </c>
      <c r="C882" t="str">
        <f>LEFT(Table1[[#This Row],[EPI_DGN_ANTIC]],1)</f>
        <v>3</v>
      </c>
      <c r="D882" t="s">
        <v>2842</v>
      </c>
      <c r="E882" s="10">
        <v>0</v>
      </c>
    </row>
    <row r="883" spans="1:5">
      <c r="A883" s="1">
        <v>881</v>
      </c>
      <c r="B883" t="s">
        <v>1355</v>
      </c>
      <c r="C883" t="str">
        <f>LEFT(Table1[[#This Row],[EPI_DGN_ANTIC]],1)</f>
        <v>4</v>
      </c>
      <c r="D883" t="s">
        <v>2843</v>
      </c>
      <c r="E883" s="10">
        <v>0</v>
      </c>
    </row>
    <row r="884" spans="1:5">
      <c r="A884" s="1">
        <v>882</v>
      </c>
      <c r="B884" t="s">
        <v>1355</v>
      </c>
      <c r="C884" t="str">
        <f>LEFT(Table1[[#This Row],[EPI_DGN_ANTIC]],1)</f>
        <v>5</v>
      </c>
      <c r="D884" t="s">
        <v>2844</v>
      </c>
      <c r="E884" s="10">
        <v>0</v>
      </c>
    </row>
    <row r="885" spans="1:5">
      <c r="A885" s="1">
        <v>883</v>
      </c>
      <c r="B885" t="s">
        <v>1355</v>
      </c>
      <c r="C885" t="str">
        <f>LEFT(Table1[[#This Row],[EPI_DGN_ANTIC]],1)</f>
        <v>1</v>
      </c>
      <c r="D885" t="s">
        <v>2845</v>
      </c>
      <c r="E885" s="10">
        <v>0</v>
      </c>
    </row>
    <row r="886" spans="1:5">
      <c r="A886" s="1">
        <v>884</v>
      </c>
      <c r="B886" t="s">
        <v>1355</v>
      </c>
      <c r="C886" t="str">
        <f>LEFT(Table1[[#This Row],[EPI_DGN_ANTIC]],1)</f>
        <v>1</v>
      </c>
      <c r="D886" t="s">
        <v>2846</v>
      </c>
      <c r="E886" s="10">
        <v>0</v>
      </c>
    </row>
    <row r="887" spans="1:5">
      <c r="E887" s="10"/>
    </row>
    <row r="888" spans="1:5" ht="15.75">
      <c r="A888" s="26">
        <f>MAX(Table1[id1])</f>
        <v>884</v>
      </c>
      <c r="D888" t="s">
        <v>2847</v>
      </c>
      <c r="E888" s="26">
        <f>COUNT(Table1[check])</f>
        <v>885</v>
      </c>
    </row>
    <row r="889" spans="1:5" ht="15.75">
      <c r="D889" t="s">
        <v>2848</v>
      </c>
      <c r="E889" s="26">
        <f>COUNTBLANK(Table1[check])</f>
        <v>0</v>
      </c>
    </row>
  </sheetData>
  <conditionalFormatting sqref="B1:C1 E1:E887">
    <cfRule type="containsText" dxfId="19" priority="6" operator="containsText" text="0">
      <formula>NOT(ISERROR(SEARCH("0",B1)))</formula>
    </cfRule>
  </conditionalFormatting>
  <conditionalFormatting sqref="B1:C1 E1:E887">
    <cfRule type="cellIs" dxfId="18" priority="5" operator="equal">
      <formula>1</formula>
    </cfRule>
  </conditionalFormatting>
  <conditionalFormatting sqref="B1:C1 E1:E887">
    <cfRule type="containsText" dxfId="17" priority="4" operator="containsText" text="2">
      <formula>NOT(ISERROR(SEARCH("2",B1)))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F647-F8F0-4739-9645-3D780B64D468}">
  <sheetPr filterMode="1"/>
  <dimension ref="A1:J1577"/>
  <sheetViews>
    <sheetView tabSelected="1" workbookViewId="0">
      <selection activeCell="F418" sqref="F418"/>
    </sheetView>
  </sheetViews>
  <sheetFormatPr defaultRowHeight="15"/>
  <cols>
    <col min="4" max="4" width="13.42578125" customWidth="1"/>
    <col min="6" max="6" width="19.42578125" customWidth="1"/>
    <col min="7" max="7" width="15.7109375" customWidth="1"/>
    <col min="8" max="8" width="15.140625" customWidth="1"/>
    <col min="9" max="9" width="24.85546875" customWidth="1"/>
  </cols>
  <sheetData>
    <row r="1" spans="1:10">
      <c r="A1" s="2" t="s">
        <v>0</v>
      </c>
      <c r="B1" s="15" t="s">
        <v>1</v>
      </c>
      <c r="C1" s="17" t="s">
        <v>2</v>
      </c>
      <c r="D1" s="3" t="s">
        <v>3</v>
      </c>
      <c r="E1" s="4" t="s">
        <v>4</v>
      </c>
      <c r="F1" s="21" t="s">
        <v>5</v>
      </c>
      <c r="G1" s="21" t="s">
        <v>6</v>
      </c>
      <c r="H1" s="15" t="s">
        <v>7</v>
      </c>
      <c r="I1" s="3" t="s">
        <v>8</v>
      </c>
      <c r="J1" s="4" t="s">
        <v>4</v>
      </c>
    </row>
    <row r="2" spans="1:10" hidden="1">
      <c r="A2" s="5">
        <v>0</v>
      </c>
      <c r="B2" s="6" t="str">
        <f>LEFT(Table3[[#This Row],[EPI_DGN_ANTIC]],1)</f>
        <v>E</v>
      </c>
      <c r="D2" s="6" t="s">
        <v>10</v>
      </c>
      <c r="E2" s="10">
        <v>0</v>
      </c>
      <c r="F2" s="22"/>
      <c r="G2" s="22"/>
      <c r="H2" s="16">
        <v>0</v>
      </c>
      <c r="I2" s="6" t="s">
        <v>11</v>
      </c>
      <c r="J2" s="10"/>
    </row>
    <row r="3" spans="1:10" hidden="1">
      <c r="A3" s="5">
        <v>1</v>
      </c>
      <c r="B3" s="6" t="str">
        <f>LEFT(Table3[[#This Row],[EPI_DGN_ANTIC]],1)</f>
        <v>E</v>
      </c>
      <c r="D3" s="8" t="s">
        <v>10</v>
      </c>
      <c r="E3" s="10">
        <v>0</v>
      </c>
      <c r="F3" s="22"/>
      <c r="G3" s="22"/>
      <c r="H3" s="16">
        <v>1</v>
      </c>
      <c r="I3" s="8" t="s">
        <v>13</v>
      </c>
      <c r="J3" s="10"/>
    </row>
    <row r="4" spans="1:10" hidden="1">
      <c r="A4" s="5">
        <v>2</v>
      </c>
      <c r="B4" t="str">
        <f>LEFT(Table3[[#This Row],[EPI_DGN_ANTIC]],1)</f>
        <v>E</v>
      </c>
      <c r="C4" t="str">
        <f>LEFT(Table3[[#This Row],[EPI_DGN_ANTIC]],3)</f>
        <v>EBg</v>
      </c>
      <c r="D4" s="8" t="s">
        <v>15</v>
      </c>
      <c r="E4" s="10">
        <v>0</v>
      </c>
      <c r="F4" s="22"/>
      <c r="G4" s="22"/>
      <c r="H4" s="16">
        <v>2</v>
      </c>
      <c r="I4" s="8" t="s">
        <v>16</v>
      </c>
      <c r="J4" s="10"/>
    </row>
    <row r="5" spans="1:10" hidden="1">
      <c r="A5" s="5">
        <v>3</v>
      </c>
      <c r="B5" t="str">
        <f>LEFT(Table3[[#This Row],[EPI_DGN_ANTIC]],1)</f>
        <v>E</v>
      </c>
      <c r="C5" t="str">
        <f>LEFT(Table3[[#This Row],[EPI_DGN_ANTIC]],2)</f>
        <v>Eb</v>
      </c>
      <c r="D5" s="8" t="s">
        <v>18</v>
      </c>
      <c r="E5" s="10">
        <v>1</v>
      </c>
      <c r="F5" s="22" t="s">
        <v>19</v>
      </c>
      <c r="G5" s="22"/>
      <c r="H5" s="16">
        <v>3</v>
      </c>
      <c r="I5" s="8" t="s">
        <v>20</v>
      </c>
      <c r="J5" s="10"/>
    </row>
    <row r="6" spans="1:10" hidden="1">
      <c r="A6" s="5">
        <v>4</v>
      </c>
      <c r="B6" t="str">
        <f>LEFT(Table3[[#This Row],[EPI_DGN_ANTIC]],1)</f>
        <v>E</v>
      </c>
      <c r="C6" t="str">
        <f>LEFT(Table3[[#This Row],[EPI_DGN_ANTIC]],3)</f>
        <v>EBb</v>
      </c>
      <c r="D6" s="8" t="s">
        <v>21</v>
      </c>
      <c r="E6" s="10">
        <v>0</v>
      </c>
      <c r="F6" s="22"/>
      <c r="G6" s="22"/>
      <c r="H6" s="16">
        <v>4</v>
      </c>
      <c r="I6" s="8" t="s">
        <v>22</v>
      </c>
      <c r="J6" s="10"/>
    </row>
    <row r="7" spans="1:10" hidden="1">
      <c r="A7" s="5">
        <v>5</v>
      </c>
      <c r="B7" t="str">
        <f>LEFT(Table3[[#This Row],[EPI_DGN_ANTIC]],1)</f>
        <v>E</v>
      </c>
      <c r="C7" t="str">
        <f>LEFT(Table3[[#This Row],[EPI_DGN_ANTIC]],3)</f>
        <v>EBb</v>
      </c>
      <c r="D7" s="8" t="s">
        <v>23</v>
      </c>
      <c r="E7" s="10">
        <v>1</v>
      </c>
      <c r="F7" s="22" t="s">
        <v>24</v>
      </c>
      <c r="G7" s="22"/>
      <c r="H7" s="16">
        <v>5</v>
      </c>
      <c r="I7" s="8" t="s">
        <v>25</v>
      </c>
      <c r="J7" s="10"/>
    </row>
    <row r="8" spans="1:10" hidden="1">
      <c r="A8" s="5">
        <v>6</v>
      </c>
      <c r="B8" t="str">
        <f>LEFT(Table3[[#This Row],[EPI_DGN_ANTIC]],1)</f>
        <v>E</v>
      </c>
      <c r="C8" t="str">
        <f>LEFT(Table3[[#This Row],[EPI_DGN_ANTIC]],3)</f>
        <v>EBb</v>
      </c>
      <c r="D8" s="8" t="s">
        <v>26</v>
      </c>
      <c r="E8" s="10">
        <v>1</v>
      </c>
      <c r="F8" s="22" t="s">
        <v>27</v>
      </c>
      <c r="G8" s="22"/>
      <c r="H8" s="16">
        <v>6</v>
      </c>
      <c r="I8" s="8" t="s">
        <v>28</v>
      </c>
      <c r="J8" s="10"/>
    </row>
    <row r="9" spans="1:10" hidden="1">
      <c r="A9" s="5">
        <v>7</v>
      </c>
      <c r="B9" t="str">
        <f>LEFT(Table3[[#This Row],[EPI_DGN_ANTIC]],1)</f>
        <v>E</v>
      </c>
      <c r="C9" t="str">
        <f>LEFT(Table3[[#This Row],[EPI_DGN_ANTIC]],3)</f>
        <v>EBb</v>
      </c>
      <c r="D9" s="8" t="s">
        <v>29</v>
      </c>
      <c r="E9" s="10">
        <v>1</v>
      </c>
      <c r="F9" s="22" t="s">
        <v>30</v>
      </c>
      <c r="G9" s="22"/>
      <c r="H9" s="16">
        <v>7</v>
      </c>
      <c r="I9" s="8" t="s">
        <v>25</v>
      </c>
      <c r="J9" s="10"/>
    </row>
    <row r="10" spans="1:10" hidden="1">
      <c r="A10" s="5">
        <v>8</v>
      </c>
      <c r="B10" t="str">
        <f>LEFT(Table3[[#This Row],[EPI_DGN_ANTIC]],1)</f>
        <v>E</v>
      </c>
      <c r="C10" t="str">
        <f>LEFT(Table3[[#This Row],[EPI_DGN_ANTIC]],3)</f>
        <v>EBc</v>
      </c>
      <c r="D10" s="8" t="s">
        <v>31</v>
      </c>
      <c r="E10" s="10">
        <v>1</v>
      </c>
      <c r="F10" s="22" t="s">
        <v>32</v>
      </c>
      <c r="G10" s="22"/>
      <c r="H10" s="16">
        <v>8</v>
      </c>
      <c r="I10" s="8" t="s">
        <v>33</v>
      </c>
      <c r="J10" s="10"/>
    </row>
    <row r="11" spans="1:10" hidden="1">
      <c r="A11" s="5">
        <v>9</v>
      </c>
      <c r="B11" t="str">
        <f>LEFT(Table3[[#This Row],[EPI_DGN_ANTIC]],1)</f>
        <v>E</v>
      </c>
      <c r="C11" t="str">
        <f>LEFT(Table3[[#This Row],[EPI_DGN_ANTIC]],3)</f>
        <v>EBc</v>
      </c>
      <c r="D11" s="8" t="s">
        <v>34</v>
      </c>
      <c r="E11" s="10">
        <v>1</v>
      </c>
      <c r="F11" s="22" t="s">
        <v>35</v>
      </c>
      <c r="G11" s="22"/>
      <c r="H11" s="16">
        <v>9</v>
      </c>
      <c r="I11" s="8" t="s">
        <v>36</v>
      </c>
      <c r="J11" s="10"/>
    </row>
    <row r="12" spans="1:10" hidden="1">
      <c r="A12" s="5">
        <v>10</v>
      </c>
      <c r="B12" t="str">
        <f>LEFT(Table3[[#This Row],[EPI_DGN_ANTIC]],1)</f>
        <v>E</v>
      </c>
      <c r="C12" t="str">
        <f>LEFT(Table3[[#This Row],[EPI_DGN_ANTIC]],3)</f>
        <v>EBc</v>
      </c>
      <c r="D12" s="8" t="s">
        <v>37</v>
      </c>
      <c r="E12" s="10">
        <v>1</v>
      </c>
      <c r="F12" s="22" t="s">
        <v>38</v>
      </c>
      <c r="G12" s="22"/>
      <c r="H12" s="16">
        <v>10</v>
      </c>
      <c r="I12" s="8" t="s">
        <v>39</v>
      </c>
      <c r="J12" s="10"/>
    </row>
    <row r="13" spans="1:10" hidden="1">
      <c r="A13" s="5">
        <v>11</v>
      </c>
      <c r="B13" t="str">
        <f>LEFT(Table3[[#This Row],[EPI_DGN_ANTIC]],1)</f>
        <v>E</v>
      </c>
      <c r="C13" t="str">
        <f>LEFT(Table3[[#This Row],[EPI_DGN_ANTIC]],3)</f>
        <v>EBg</v>
      </c>
      <c r="D13" s="8" t="s">
        <v>40</v>
      </c>
      <c r="E13" s="10">
        <v>1</v>
      </c>
      <c r="F13" s="22" t="s">
        <v>41</v>
      </c>
      <c r="G13" s="22"/>
      <c r="H13" s="16">
        <v>11</v>
      </c>
      <c r="I13" s="8" t="s">
        <v>42</v>
      </c>
      <c r="J13" s="10"/>
    </row>
    <row r="14" spans="1:10" hidden="1">
      <c r="A14" s="5">
        <v>12</v>
      </c>
      <c r="B14" t="str">
        <f>LEFT(Table3[[#This Row],[EPI_DGN_ANTIC]],1)</f>
        <v>E</v>
      </c>
      <c r="C14" t="str">
        <f>LEFT(Table3[[#This Row],[EPI_DGN_ANTIC]],3)</f>
        <v>EBg</v>
      </c>
      <c r="D14" s="8" t="s">
        <v>43</v>
      </c>
      <c r="E14" s="10">
        <v>1</v>
      </c>
      <c r="F14" s="22" t="s">
        <v>44</v>
      </c>
      <c r="G14" s="22"/>
      <c r="H14" s="16">
        <v>12</v>
      </c>
      <c r="I14" s="8" t="s">
        <v>45</v>
      </c>
      <c r="J14" s="10"/>
    </row>
    <row r="15" spans="1:10" hidden="1">
      <c r="A15" s="5">
        <v>13</v>
      </c>
      <c r="B15" t="str">
        <f>LEFT(Table3[[#This Row],[EPI_DGN_ANTIC]],1)</f>
        <v>E</v>
      </c>
      <c r="C15" t="str">
        <f>LEFT(Table3[[#This Row],[EPI_DGN_ANTIC]],3)</f>
        <v>EBl</v>
      </c>
      <c r="D15" s="8" t="s">
        <v>46</v>
      </c>
      <c r="E15" s="10">
        <v>1</v>
      </c>
      <c r="F15" s="22" t="s">
        <v>47</v>
      </c>
      <c r="G15" s="22"/>
      <c r="H15" s="16">
        <v>13</v>
      </c>
      <c r="I15" s="8" t="s">
        <v>48</v>
      </c>
      <c r="J15" s="10"/>
    </row>
    <row r="16" spans="1:10" hidden="1">
      <c r="A16" s="5">
        <v>14</v>
      </c>
      <c r="B16" t="str">
        <f>LEFT(Table3[[#This Row],[EPI_DGN_ANTIC]],1)</f>
        <v>E</v>
      </c>
      <c r="C16" t="str">
        <f>LEFT(Table3[[#This Row],[EPI_DGN_ANTIC]],3)</f>
        <v>EBm</v>
      </c>
      <c r="D16" s="8" t="s">
        <v>49</v>
      </c>
      <c r="E16" s="10">
        <v>1</v>
      </c>
      <c r="F16" s="22" t="s">
        <v>50</v>
      </c>
      <c r="G16" s="22"/>
      <c r="H16" s="16">
        <v>14</v>
      </c>
      <c r="I16" s="8" t="s">
        <v>51</v>
      </c>
      <c r="J16" s="10"/>
    </row>
    <row r="17" spans="1:10" hidden="1">
      <c r="A17" s="5">
        <v>15</v>
      </c>
      <c r="B17" t="str">
        <f>LEFT(Table3[[#This Row],[EPI_DGN_ANTIC]],1)</f>
        <v>E</v>
      </c>
      <c r="C17" t="str">
        <f>LEFT(Table3[[#This Row],[EPI_DGN_ANTIC]],3)</f>
        <v>EBp</v>
      </c>
      <c r="D17" s="8" t="s">
        <v>52</v>
      </c>
      <c r="E17" s="10">
        <v>1</v>
      </c>
      <c r="F17" s="22" t="s">
        <v>53</v>
      </c>
      <c r="G17" s="22"/>
      <c r="H17" s="16">
        <v>15</v>
      </c>
      <c r="I17" s="8" t="s">
        <v>54</v>
      </c>
      <c r="J17" s="10"/>
    </row>
    <row r="18" spans="1:10" hidden="1">
      <c r="A18" s="5">
        <v>16</v>
      </c>
      <c r="B18" t="str">
        <f>LEFT(Table3[[#This Row],[EPI_DGN_ANTIC]],1)</f>
        <v>E</v>
      </c>
      <c r="C18" t="str">
        <f>LEFT(Table3[[#This Row],[EPI_DGN_ANTIC]],3)</f>
        <v>EBp</v>
      </c>
      <c r="D18" s="8" t="s">
        <v>55</v>
      </c>
      <c r="E18" s="10">
        <v>1</v>
      </c>
      <c r="F18" s="22" t="s">
        <v>56</v>
      </c>
      <c r="G18" s="22"/>
      <c r="H18" s="16">
        <v>16</v>
      </c>
      <c r="I18" s="8" t="s">
        <v>57</v>
      </c>
      <c r="J18" s="10"/>
    </row>
    <row r="19" spans="1:10" hidden="1">
      <c r="A19" s="5">
        <v>17</v>
      </c>
      <c r="B19" t="str">
        <f>LEFT(Table3[[#This Row],[EPI_DGN_ANTIC]],1)</f>
        <v>E</v>
      </c>
      <c r="C19" t="str">
        <f>LEFT(Table3[[#This Row],[EPI_DGN_ANTIC]],3)</f>
        <v>EBp</v>
      </c>
      <c r="D19" s="8" t="s">
        <v>58</v>
      </c>
      <c r="E19" s="10">
        <v>0</v>
      </c>
      <c r="F19" s="22"/>
      <c r="G19" s="22"/>
      <c r="H19" s="16">
        <v>17</v>
      </c>
      <c r="I19" s="8" t="s">
        <v>59</v>
      </c>
      <c r="J19" s="10"/>
    </row>
    <row r="20" spans="1:10" hidden="1">
      <c r="A20" s="5">
        <v>18</v>
      </c>
      <c r="B20" t="str">
        <f>LEFT(Table3[[#This Row],[EPI_DGN_ANTIC]],1)</f>
        <v>E</v>
      </c>
      <c r="C20" t="str">
        <f>LEFT(Table3[[#This Row],[EPI_DGN_ANTIC]],3)</f>
        <v>EBv</v>
      </c>
      <c r="D20" s="8" t="s">
        <v>60</v>
      </c>
      <c r="E20" s="10">
        <v>1</v>
      </c>
      <c r="F20" s="22" t="s">
        <v>61</v>
      </c>
      <c r="G20" s="22"/>
      <c r="H20" s="16">
        <v>18</v>
      </c>
      <c r="I20" s="8" t="s">
        <v>62</v>
      </c>
      <c r="J20" s="10"/>
    </row>
    <row r="21" spans="1:10" hidden="1">
      <c r="A21" s="5">
        <v>19</v>
      </c>
      <c r="B21" t="str">
        <f>LEFT(Table3[[#This Row],[EPI_DGN_ANTIC]],1)</f>
        <v>E</v>
      </c>
      <c r="C21" t="str">
        <f>LEFT(Table3[[#This Row],[EPI_DGN_ANTIC]],3)</f>
        <v>EBv</v>
      </c>
      <c r="D21" s="8" t="s">
        <v>63</v>
      </c>
      <c r="E21" s="10">
        <v>1</v>
      </c>
      <c r="F21" s="22" t="s">
        <v>64</v>
      </c>
      <c r="G21" s="22"/>
      <c r="H21" s="16">
        <v>19</v>
      </c>
      <c r="I21" s="8" t="s">
        <v>65</v>
      </c>
      <c r="J21" s="10"/>
    </row>
    <row r="22" spans="1:10" hidden="1">
      <c r="A22" s="5">
        <v>20</v>
      </c>
      <c r="B22" t="str">
        <f>LEFT(Table3[[#This Row],[EPI_DGN_ANTIC]],1)</f>
        <v>E</v>
      </c>
      <c r="C22" t="str">
        <f>LEFT(Table3[[#This Row],[EPI_DGN_ANTIC]],3)</f>
        <v>EBv</v>
      </c>
      <c r="D22" s="8" t="s">
        <v>66</v>
      </c>
      <c r="E22" s="10">
        <v>1</v>
      </c>
      <c r="F22" s="22" t="s">
        <v>67</v>
      </c>
      <c r="G22" s="22"/>
      <c r="H22" s="16">
        <v>20</v>
      </c>
      <c r="I22" s="8" t="s">
        <v>68</v>
      </c>
      <c r="J22" s="10"/>
    </row>
    <row r="23" spans="1:10" hidden="1">
      <c r="A23" s="5">
        <v>21</v>
      </c>
      <c r="B23" t="str">
        <f>LEFT(Table3[[#This Row],[EPI_DGN_ANTIC]],1)</f>
        <v>E</v>
      </c>
      <c r="C23" t="str">
        <f>LEFT(Table3[[#This Row],[EPI_DGN_ANTIC]],3)</f>
        <v>EBv</v>
      </c>
      <c r="D23" s="8" t="s">
        <v>69</v>
      </c>
      <c r="E23" s="10">
        <v>1</v>
      </c>
      <c r="F23" s="22" t="s">
        <v>70</v>
      </c>
      <c r="G23" s="22"/>
      <c r="H23" s="16">
        <v>21</v>
      </c>
      <c r="I23" s="8" t="s">
        <v>71</v>
      </c>
      <c r="J23" s="10"/>
    </row>
    <row r="24" spans="1:10" hidden="1">
      <c r="A24" s="5">
        <v>22</v>
      </c>
      <c r="B24" t="str">
        <f>LEFT(Table3[[#This Row],[EPI_DGN_ANTIC]],1)</f>
        <v>E</v>
      </c>
      <c r="C24" t="str">
        <f>LEFT(Table3[[#This Row],[EPI_DGN_ANTIC]],3)</f>
        <v>ECb</v>
      </c>
      <c r="D24" s="8" t="s">
        <v>72</v>
      </c>
      <c r="E24" s="10">
        <v>0</v>
      </c>
      <c r="F24" s="22"/>
      <c r="G24" s="22"/>
      <c r="H24" s="16">
        <v>22</v>
      </c>
      <c r="I24" s="8" t="s">
        <v>73</v>
      </c>
      <c r="J24" s="10"/>
    </row>
    <row r="25" spans="1:10" hidden="1">
      <c r="A25" s="5">
        <v>23</v>
      </c>
      <c r="B25" t="str">
        <f>LEFT(Table3[[#This Row],[EPI_DGN_ANTIC]],1)</f>
        <v>E</v>
      </c>
      <c r="C25" t="str">
        <f>LEFT(Table3[[#This Row],[EPI_DGN_ANTIC]],3)</f>
        <v>ECb</v>
      </c>
      <c r="D25" s="8" t="s">
        <v>74</v>
      </c>
      <c r="E25" s="10">
        <v>1</v>
      </c>
      <c r="F25" s="22" t="s">
        <v>75</v>
      </c>
      <c r="G25" s="22"/>
      <c r="H25" s="16">
        <v>23</v>
      </c>
      <c r="I25" s="8" t="s">
        <v>76</v>
      </c>
      <c r="J25" s="10"/>
    </row>
    <row r="26" spans="1:10" hidden="1">
      <c r="A26" s="5">
        <v>24</v>
      </c>
      <c r="B26" t="str">
        <f>LEFT(Table3[[#This Row],[EPI_DGN_ANTIC]],1)</f>
        <v>E</v>
      </c>
      <c r="C26" t="str">
        <f>LEFT(Table3[[#This Row],[EPI_DGN_ANTIC]],3)</f>
        <v>ECc</v>
      </c>
      <c r="D26" s="8" t="s">
        <v>77</v>
      </c>
      <c r="E26" s="10">
        <v>1</v>
      </c>
      <c r="F26" s="22" t="s">
        <v>78</v>
      </c>
      <c r="G26" s="22"/>
      <c r="H26" s="16">
        <v>24</v>
      </c>
      <c r="I26" s="8" t="s">
        <v>79</v>
      </c>
      <c r="J26" s="10"/>
    </row>
    <row r="27" spans="1:10" hidden="1">
      <c r="A27" s="5">
        <v>25</v>
      </c>
      <c r="B27" t="str">
        <f>LEFT(Table3[[#This Row],[EPI_DGN_ANTIC]],1)</f>
        <v>E</v>
      </c>
      <c r="C27" t="str">
        <f>LEFT(Table3[[#This Row],[EPI_DGN_ANTIC]],3)</f>
        <v>ECc</v>
      </c>
      <c r="D27" s="8" t="s">
        <v>80</v>
      </c>
      <c r="E27" s="10">
        <v>1</v>
      </c>
      <c r="F27" s="22" t="s">
        <v>81</v>
      </c>
      <c r="G27" s="22"/>
      <c r="H27" s="16">
        <v>25</v>
      </c>
      <c r="I27" s="8" t="s">
        <v>82</v>
      </c>
      <c r="J27" s="10"/>
    </row>
    <row r="28" spans="1:10" hidden="1">
      <c r="A28" s="5">
        <v>26</v>
      </c>
      <c r="B28" t="str">
        <f>LEFT(Table3[[#This Row],[EPI_DGN_ANTIC]],1)</f>
        <v>E</v>
      </c>
      <c r="C28" t="str">
        <f>LEFT(Table3[[#This Row],[EPI_DGN_ANTIC]],3)</f>
        <v>ECd</v>
      </c>
      <c r="D28" s="8" t="s">
        <v>83</v>
      </c>
      <c r="E28" s="10">
        <v>1</v>
      </c>
      <c r="F28" s="22" t="s">
        <v>84</v>
      </c>
      <c r="G28" s="22"/>
      <c r="H28" s="16">
        <v>26</v>
      </c>
      <c r="I28" s="8" t="s">
        <v>85</v>
      </c>
      <c r="J28" s="10"/>
    </row>
    <row r="29" spans="1:10" hidden="1">
      <c r="A29" s="5">
        <v>27</v>
      </c>
      <c r="B29" t="str">
        <f>LEFT(Table3[[#This Row],[EPI_DGN_ANTIC]],1)</f>
        <v>E</v>
      </c>
      <c r="C29" t="str">
        <f>LEFT(Table3[[#This Row],[EPI_DGN_ANTIC]],3)</f>
        <v>ECg</v>
      </c>
      <c r="D29" s="8" t="s">
        <v>86</v>
      </c>
      <c r="E29" s="10">
        <v>1</v>
      </c>
      <c r="F29" s="22" t="s">
        <v>87</v>
      </c>
      <c r="G29" s="22"/>
      <c r="H29" s="16">
        <v>27</v>
      </c>
      <c r="I29" s="8" t="s">
        <v>88</v>
      </c>
      <c r="J29" s="10"/>
    </row>
    <row r="30" spans="1:10" hidden="1">
      <c r="A30" s="5">
        <v>28</v>
      </c>
      <c r="B30" t="str">
        <f>LEFT(Table3[[#This Row],[EPI_DGN_ANTIC]],1)</f>
        <v>E</v>
      </c>
      <c r="C30" t="str">
        <f>LEFT(Table3[[#This Row],[EPI_DGN_ANTIC]],3)</f>
        <v>ECg</v>
      </c>
      <c r="D30" s="8" t="s">
        <v>92</v>
      </c>
      <c r="E30" s="10">
        <v>1</v>
      </c>
      <c r="F30" s="22" t="s">
        <v>93</v>
      </c>
      <c r="G30" s="22"/>
      <c r="H30" s="16">
        <v>28</v>
      </c>
      <c r="I30" s="8" t="s">
        <v>94</v>
      </c>
      <c r="J30" s="10"/>
    </row>
    <row r="31" spans="1:10" hidden="1">
      <c r="A31" s="5">
        <v>29</v>
      </c>
      <c r="B31" t="str">
        <f>LEFT(Table3[[#This Row],[EPI_DGN_ANTIC]],1)</f>
        <v>E</v>
      </c>
      <c r="C31" t="str">
        <f>LEFT(Table3[[#This Row],[EPI_DGN_ANTIC]],3)</f>
        <v>ECg</v>
      </c>
      <c r="D31" s="8" t="s">
        <v>95</v>
      </c>
      <c r="E31" s="10">
        <v>1</v>
      </c>
      <c r="F31" s="22" t="s">
        <v>87</v>
      </c>
      <c r="G31" s="22"/>
      <c r="H31" s="16">
        <v>29</v>
      </c>
      <c r="I31" s="8" t="s">
        <v>96</v>
      </c>
      <c r="J31" s="10"/>
    </row>
    <row r="32" spans="1:10" hidden="1">
      <c r="A32" s="5">
        <v>30</v>
      </c>
      <c r="B32" t="str">
        <f>LEFT(Table3[[#This Row],[EPI_DGN_ANTIC]],1)</f>
        <v>E</v>
      </c>
      <c r="C32" t="str">
        <f>LEFT(Table3[[#This Row],[EPI_DGN_ANTIC]],3)</f>
        <v>ECl</v>
      </c>
      <c r="D32" s="8" t="s">
        <v>97</v>
      </c>
      <c r="E32" s="10">
        <v>1</v>
      </c>
      <c r="F32" s="22" t="s">
        <v>98</v>
      </c>
      <c r="G32" s="22"/>
      <c r="H32" s="16">
        <v>30</v>
      </c>
      <c r="I32" s="8" t="s">
        <v>88</v>
      </c>
      <c r="J32" s="10"/>
    </row>
    <row r="33" spans="1:10" hidden="1">
      <c r="A33" s="5">
        <v>31</v>
      </c>
      <c r="B33" t="str">
        <f>LEFT(Table3[[#This Row],[EPI_DGN_ANTIC]],1)</f>
        <v>E</v>
      </c>
      <c r="C33" t="str">
        <f>LEFT(Table3[[#This Row],[EPI_DGN_ANTIC]],3)</f>
        <v>ECm</v>
      </c>
      <c r="D33" s="8" t="s">
        <v>99</v>
      </c>
      <c r="E33" s="10">
        <v>1</v>
      </c>
      <c r="F33" s="22" t="s">
        <v>100</v>
      </c>
      <c r="G33" s="22"/>
      <c r="H33" s="16">
        <v>31</v>
      </c>
      <c r="I33" s="8" t="s">
        <v>101</v>
      </c>
      <c r="J33" s="10"/>
    </row>
    <row r="34" spans="1:10" hidden="1">
      <c r="A34" s="5">
        <v>32</v>
      </c>
      <c r="B34" t="str">
        <f>LEFT(Table3[[#This Row],[EPI_DGN_ANTIC]],1)</f>
        <v>E</v>
      </c>
      <c r="C34" t="str">
        <f>LEFT(Table3[[#This Row],[EPI_DGN_ANTIC]],3)</f>
        <v>ECm</v>
      </c>
      <c r="D34" s="8" t="s">
        <v>102</v>
      </c>
      <c r="E34" s="10">
        <v>1</v>
      </c>
      <c r="F34" s="22" t="s">
        <v>84</v>
      </c>
      <c r="G34" s="22"/>
      <c r="H34" s="16">
        <v>32</v>
      </c>
      <c r="I34" s="8" t="s">
        <v>103</v>
      </c>
      <c r="J34" s="10"/>
    </row>
    <row r="35" spans="1:10" hidden="1">
      <c r="A35" s="5">
        <v>33</v>
      </c>
      <c r="B35" t="str">
        <f>LEFT(Table3[[#This Row],[EPI_DGN_ANTIC]],1)</f>
        <v>E</v>
      </c>
      <c r="C35" t="str">
        <f>LEFT(Table3[[#This Row],[EPI_DGN_ANTIC]],3)</f>
        <v>ECt</v>
      </c>
      <c r="D35" s="8" t="s">
        <v>104</v>
      </c>
      <c r="E35" s="10">
        <v>0</v>
      </c>
      <c r="F35" s="22"/>
      <c r="G35" s="22"/>
      <c r="H35" s="16">
        <v>33</v>
      </c>
      <c r="I35" s="8" t="s">
        <v>105</v>
      </c>
      <c r="J35" s="10"/>
    </row>
    <row r="36" spans="1:10" hidden="1">
      <c r="A36" s="5">
        <v>34</v>
      </c>
      <c r="B36" t="str">
        <f>LEFT(Table3[[#This Row],[EPI_DGN_ANTIC]],1)</f>
        <v>E</v>
      </c>
      <c r="C36" t="str">
        <f>LEFT(Table3[[#This Row],[EPI_DGN_ANTIC]],3)</f>
        <v>ECL</v>
      </c>
      <c r="D36" s="8" t="s">
        <v>106</v>
      </c>
      <c r="E36" s="10">
        <v>1</v>
      </c>
      <c r="F36" s="22" t="s">
        <v>93</v>
      </c>
      <c r="G36" s="22"/>
      <c r="H36" s="16">
        <v>34</v>
      </c>
      <c r="I36" s="8" t="s">
        <v>107</v>
      </c>
      <c r="J36" s="10"/>
    </row>
    <row r="37" spans="1:10" hidden="1">
      <c r="A37" s="5">
        <v>35</v>
      </c>
      <c r="B37" t="str">
        <f>LEFT(Table3[[#This Row],[EPI_DGN_ANTIC]],1)</f>
        <v>E</v>
      </c>
      <c r="C37" t="str">
        <f>LEFT(Table3[[#This Row],[EPI_DGN_ANTIC]],2)</f>
        <v>EI</v>
      </c>
      <c r="D37" s="8" t="s">
        <v>108</v>
      </c>
      <c r="E37" s="10">
        <v>0</v>
      </c>
      <c r="F37" s="22"/>
      <c r="G37" s="22"/>
      <c r="H37" s="16">
        <v>35</v>
      </c>
      <c r="I37" s="8" t="s">
        <v>109</v>
      </c>
      <c r="J37" s="10"/>
    </row>
    <row r="38" spans="1:10" hidden="1">
      <c r="A38" s="5">
        <v>36</v>
      </c>
      <c r="B38" t="str">
        <f>LEFT(Table3[[#This Row],[EPI_DGN_ANTIC]],1)</f>
        <v>E</v>
      </c>
      <c r="C38" t="str">
        <f>LEFT(Table3[[#This Row],[EPI_DGN_ANTIC]],2)</f>
        <v>EI</v>
      </c>
      <c r="D38" s="8" t="s">
        <v>110</v>
      </c>
      <c r="E38" s="10">
        <v>1</v>
      </c>
      <c r="F38" s="22" t="s">
        <v>111</v>
      </c>
      <c r="G38" s="22"/>
      <c r="H38" s="16">
        <v>36</v>
      </c>
      <c r="I38" s="8" t="s">
        <v>112</v>
      </c>
      <c r="J38" s="10"/>
    </row>
    <row r="39" spans="1:10" hidden="1">
      <c r="A39" s="5">
        <v>37</v>
      </c>
      <c r="B39" t="str">
        <f>LEFT(Table3[[#This Row],[EPI_DGN_ANTIC]],1)</f>
        <v>E</v>
      </c>
      <c r="C39" t="str">
        <f>LEFT(Table3[[#This Row],[EPI_DGN_ANTIC]],2)</f>
        <v>EI</v>
      </c>
      <c r="D39" s="8" t="s">
        <v>113</v>
      </c>
      <c r="E39" s="10">
        <v>1</v>
      </c>
      <c r="F39" s="22" t="s">
        <v>111</v>
      </c>
      <c r="G39" s="22"/>
      <c r="H39" s="16">
        <v>37</v>
      </c>
      <c r="I39" s="8" t="s">
        <v>114</v>
      </c>
      <c r="J39" s="10"/>
    </row>
    <row r="40" spans="1:10" hidden="1">
      <c r="A40" s="5">
        <v>38</v>
      </c>
      <c r="B40" t="str">
        <f>LEFT(Table3[[#This Row],[EPI_DGN_ANTIC]],1)</f>
        <v>E</v>
      </c>
      <c r="C40" t="str">
        <f>LEFT(Table3[[#This Row],[EPI_DGN_ANTIC]],2)</f>
        <v>EI</v>
      </c>
      <c r="D40" s="8" t="s">
        <v>115</v>
      </c>
      <c r="E40" s="10">
        <v>1</v>
      </c>
      <c r="F40" s="22" t="s">
        <v>116</v>
      </c>
      <c r="G40" s="22"/>
      <c r="H40" s="16">
        <v>38</v>
      </c>
      <c r="I40" s="8" t="s">
        <v>117</v>
      </c>
      <c r="J40" s="10"/>
    </row>
    <row r="41" spans="1:10" hidden="1">
      <c r="A41" s="5">
        <v>39</v>
      </c>
      <c r="B41" t="str">
        <f>LEFT(Table3[[#This Row],[EPI_DGN_ANTIC]],1)</f>
        <v>E</v>
      </c>
      <c r="C41" t="str">
        <f>LEFT(Table3[[#This Row],[EPI_DGN_ANTIC]],2)</f>
        <v>EI</v>
      </c>
      <c r="D41" s="8" t="s">
        <v>118</v>
      </c>
      <c r="E41" s="10">
        <v>1</v>
      </c>
      <c r="F41" s="22" t="s">
        <v>119</v>
      </c>
      <c r="G41" s="22"/>
      <c r="H41" s="16">
        <v>39</v>
      </c>
      <c r="I41" s="8" t="s">
        <v>120</v>
      </c>
      <c r="J41" s="10"/>
    </row>
    <row r="42" spans="1:10" hidden="1">
      <c r="A42" s="5">
        <v>40</v>
      </c>
      <c r="B42" t="str">
        <f>LEFT(Table3[[#This Row],[EPI_DGN_ANTIC]],1)</f>
        <v>E</v>
      </c>
      <c r="C42" t="str">
        <f>LEFT(Table3[[#This Row],[EPI_DGN_ANTIC]],2)</f>
        <v>EI</v>
      </c>
      <c r="D42" s="8" t="s">
        <v>121</v>
      </c>
      <c r="E42" s="10">
        <v>1</v>
      </c>
      <c r="F42" s="22" t="s">
        <v>111</v>
      </c>
      <c r="G42" s="22"/>
      <c r="H42" s="16">
        <v>40</v>
      </c>
      <c r="I42" s="8" t="s">
        <v>122</v>
      </c>
      <c r="J42" s="10"/>
    </row>
    <row r="43" spans="1:10" hidden="1">
      <c r="A43" s="5">
        <v>41</v>
      </c>
      <c r="B43" t="str">
        <f>LEFT(Table3[[#This Row],[EPI_DGN_ANTIC]],1)</f>
        <v>E</v>
      </c>
      <c r="C43" t="str">
        <f>LEFT(Table3[[#This Row],[EPI_DGN_ANTIC]],3)</f>
        <v>EIC</v>
      </c>
      <c r="D43" s="8" t="s">
        <v>123</v>
      </c>
      <c r="E43" s="10">
        <v>1</v>
      </c>
      <c r="F43" s="22" t="s">
        <v>124</v>
      </c>
      <c r="G43" s="22"/>
      <c r="H43" s="16">
        <v>41</v>
      </c>
      <c r="I43" s="8" t="s">
        <v>125</v>
      </c>
      <c r="J43" s="10"/>
    </row>
    <row r="44" spans="1:10" hidden="1">
      <c r="A44" s="5">
        <v>42</v>
      </c>
      <c r="B44" t="str">
        <f>LEFT(Table3[[#This Row],[EPI_DGN_ANTIC]],1)</f>
        <v>E</v>
      </c>
      <c r="C44" t="str">
        <f>LEFT(Table3[[#This Row],[EPI_DGN_ANTIC]],3)</f>
        <v>EIC</v>
      </c>
      <c r="D44" s="8" t="s">
        <v>126</v>
      </c>
      <c r="E44" s="10">
        <v>1</v>
      </c>
      <c r="F44" s="22" t="s">
        <v>124</v>
      </c>
      <c r="G44" s="22"/>
      <c r="H44" s="16">
        <v>42</v>
      </c>
      <c r="I44" s="8" t="s">
        <v>127</v>
      </c>
      <c r="J44" s="10"/>
    </row>
    <row r="45" spans="1:10" hidden="1">
      <c r="A45" s="5">
        <v>43</v>
      </c>
      <c r="B45" t="str">
        <f>LEFT(Table3[[#This Row],[EPI_DGN_ANTIC]],1)</f>
        <v>K</v>
      </c>
      <c r="C45" t="str">
        <f>LEFT(Table3[[#This Row],[EPI_DGN_ANTIC]],2)</f>
        <v>K</v>
      </c>
      <c r="D45" s="8" t="s">
        <v>128</v>
      </c>
      <c r="E45" s="10">
        <v>0</v>
      </c>
      <c r="F45" s="22"/>
      <c r="G45" s="22"/>
      <c r="H45" s="16">
        <v>43</v>
      </c>
      <c r="I45" s="8" t="s">
        <v>129</v>
      </c>
      <c r="J45" s="10"/>
    </row>
    <row r="46" spans="1:10" hidden="1">
      <c r="A46" s="5">
        <v>44</v>
      </c>
      <c r="B46" t="str">
        <f>LEFT(Table3[[#This Row],[EPI_DGN_ANTIC]],1)</f>
        <v>K</v>
      </c>
      <c r="C46" t="str">
        <f>LEFT(Table3[[#This Row],[EPI_DGN_ANTIC]],2)</f>
        <v>K</v>
      </c>
      <c r="D46" s="8" t="s">
        <v>128</v>
      </c>
      <c r="E46" s="10">
        <v>0</v>
      </c>
      <c r="F46" s="22"/>
      <c r="G46" s="22"/>
      <c r="H46" s="16">
        <v>44</v>
      </c>
      <c r="I46" s="8" t="s">
        <v>130</v>
      </c>
      <c r="J46" s="10"/>
    </row>
    <row r="47" spans="1:10" hidden="1">
      <c r="A47" s="5">
        <v>45</v>
      </c>
      <c r="B47" t="str">
        <f>LEFT(Table3[[#This Row],[EPI_DGN_ANTIC]],1)</f>
        <v>K</v>
      </c>
      <c r="C47" t="str">
        <f>LEFT(Table3[[#This Row],[EPI_DGN_ANTIC]],2)</f>
        <v>KC</v>
      </c>
      <c r="D47" s="8" t="s">
        <v>131</v>
      </c>
      <c r="E47" s="10">
        <v>1</v>
      </c>
      <c r="F47" s="22" t="s">
        <v>132</v>
      </c>
      <c r="G47" s="22"/>
      <c r="H47" s="16">
        <v>45</v>
      </c>
      <c r="I47" s="8" t="s">
        <v>133</v>
      </c>
      <c r="J47" s="10"/>
    </row>
    <row r="48" spans="1:10" hidden="1">
      <c r="A48" s="5">
        <v>46</v>
      </c>
      <c r="B48" t="str">
        <f>LEFT(Table3[[#This Row],[EPI_DGN_ANTIC]],1)</f>
        <v>K</v>
      </c>
      <c r="C48" t="str">
        <f>LEFT(Table3[[#This Row],[EPI_DGN_ANTIC]],2)</f>
        <v>KC</v>
      </c>
      <c r="D48" s="8" t="s">
        <v>134</v>
      </c>
      <c r="E48" s="10">
        <v>1</v>
      </c>
      <c r="F48" s="22" t="s">
        <v>135</v>
      </c>
      <c r="G48" t="s">
        <v>90</v>
      </c>
      <c r="H48" s="16">
        <v>46</v>
      </c>
      <c r="I48" s="8" t="s">
        <v>136</v>
      </c>
      <c r="J48" s="10"/>
    </row>
    <row r="49" spans="1:10" hidden="1">
      <c r="A49" s="5">
        <v>47</v>
      </c>
      <c r="B49" t="str">
        <f>LEFT(Table3[[#This Row],[EPI_DGN_ANTIC]],1)</f>
        <v>K</v>
      </c>
      <c r="C49" t="str">
        <f>LEFT(Table3[[#This Row],[EPI_DGN_ANTIC]],3)</f>
        <v>KCM</v>
      </c>
      <c r="D49" s="8" t="s">
        <v>137</v>
      </c>
      <c r="E49" s="10">
        <v>0</v>
      </c>
      <c r="F49" s="22"/>
      <c r="G49" s="22"/>
      <c r="H49" s="16">
        <v>47</v>
      </c>
      <c r="I49" s="8" t="s">
        <v>138</v>
      </c>
      <c r="J49" s="10"/>
    </row>
    <row r="50" spans="1:10" hidden="1">
      <c r="A50" s="5">
        <v>48</v>
      </c>
      <c r="B50" t="str">
        <f>LEFT(Table3[[#This Row],[EPI_DGN_ANTIC]],1)</f>
        <v>K</v>
      </c>
      <c r="C50" t="str">
        <f>LEFT(Table3[[#This Row],[EPI_DGN_ANTIC]],3)</f>
        <v>KCM</v>
      </c>
      <c r="D50" s="8" t="s">
        <v>137</v>
      </c>
      <c r="E50" s="10">
        <v>1</v>
      </c>
      <c r="F50" s="22" t="s">
        <v>139</v>
      </c>
      <c r="G50" s="22"/>
      <c r="H50" s="16">
        <v>48</v>
      </c>
      <c r="I50" s="8" t="s">
        <v>140</v>
      </c>
      <c r="J50" s="10"/>
    </row>
    <row r="51" spans="1:10" hidden="1">
      <c r="A51" s="5">
        <v>49</v>
      </c>
      <c r="B51" t="str">
        <f>LEFT(Table3[[#This Row],[EPI_DGN_ANTIC]],1)</f>
        <v>K</v>
      </c>
      <c r="C51" t="str">
        <f>LEFT(Table3[[#This Row],[EPI_DGN_ANTIC]],3)</f>
        <v>KCM</v>
      </c>
      <c r="D51" s="8" t="s">
        <v>141</v>
      </c>
      <c r="E51" s="10">
        <v>1</v>
      </c>
      <c r="F51" s="22" t="s">
        <v>491</v>
      </c>
      <c r="G51" s="22"/>
      <c r="H51" s="16">
        <v>49</v>
      </c>
      <c r="I51" s="8" t="s">
        <v>143</v>
      </c>
      <c r="J51" s="10"/>
    </row>
    <row r="52" spans="1:10" hidden="1">
      <c r="A52" s="5">
        <v>50</v>
      </c>
      <c r="B52" t="str">
        <f>LEFT(Table3[[#This Row],[EPI_DGN_ANTIC]],1)</f>
        <v>K</v>
      </c>
      <c r="C52" t="str">
        <f>LEFT(Table3[[#This Row],[EPI_DGN_ANTIC]],3)</f>
        <v>KCS</v>
      </c>
      <c r="D52" s="8" t="s">
        <v>144</v>
      </c>
      <c r="E52" s="10">
        <v>1</v>
      </c>
      <c r="F52" s="22" t="s">
        <v>145</v>
      </c>
      <c r="G52" s="22"/>
      <c r="H52" s="16">
        <v>50</v>
      </c>
      <c r="I52" s="8" t="s">
        <v>146</v>
      </c>
      <c r="J52" s="10"/>
    </row>
    <row r="53" spans="1:10" hidden="1">
      <c r="A53" s="5">
        <v>51</v>
      </c>
      <c r="B53" t="str">
        <f>LEFT(Table3[[#This Row],[EPI_DGN_ANTIC]],1)</f>
        <v>K</v>
      </c>
      <c r="C53" t="str">
        <f>LEFT(Table3[[#This Row],[EPI_DGN_ANTIC]],2)</f>
        <v>KC</v>
      </c>
      <c r="D53" s="8" t="s">
        <v>147</v>
      </c>
      <c r="E53" s="10">
        <v>0</v>
      </c>
      <c r="F53" s="22"/>
      <c r="G53" s="22"/>
      <c r="H53" s="16">
        <v>51</v>
      </c>
      <c r="I53" s="8" t="s">
        <v>148</v>
      </c>
      <c r="J53" s="10"/>
    </row>
    <row r="54" spans="1:10" hidden="1">
      <c r="A54" s="5">
        <v>52</v>
      </c>
      <c r="B54" t="str">
        <f>LEFT(Table3[[#This Row],[EPI_DGN_ANTIC]],1)</f>
        <v>K</v>
      </c>
      <c r="C54" t="str">
        <f>LEFT(Table3[[#This Row],[EPI_DGN_ANTIC]],3)</f>
        <v>KCS</v>
      </c>
      <c r="D54" s="8" t="s">
        <v>149</v>
      </c>
      <c r="E54" s="10">
        <v>1</v>
      </c>
      <c r="F54" s="22" t="s">
        <v>150</v>
      </c>
      <c r="G54" s="22"/>
      <c r="H54" s="16">
        <v>52</v>
      </c>
      <c r="I54" s="8" t="s">
        <v>151</v>
      </c>
      <c r="J54" s="10"/>
    </row>
    <row r="55" spans="1:10" hidden="1">
      <c r="A55" s="5">
        <v>53</v>
      </c>
      <c r="B55" t="str">
        <f>LEFT(Table3[[#This Row],[EPI_DGN_ANTIC]],1)</f>
        <v>K</v>
      </c>
      <c r="C55" t="str">
        <f>LEFT(Table3[[#This Row],[EPI_DGN_ANTIC]],3)</f>
        <v>KCS</v>
      </c>
      <c r="D55" s="8" t="s">
        <v>152</v>
      </c>
      <c r="E55" s="10">
        <v>1</v>
      </c>
      <c r="F55" s="22" t="s">
        <v>153</v>
      </c>
      <c r="G55" s="22"/>
      <c r="H55" s="16">
        <v>53</v>
      </c>
      <c r="I55" s="8" t="s">
        <v>154</v>
      </c>
      <c r="J55" s="10"/>
    </row>
    <row r="56" spans="1:10" hidden="1">
      <c r="A56" s="5">
        <v>54</v>
      </c>
      <c r="B56" t="str">
        <f>LEFT(Table3[[#This Row],[EPI_DGN_ANTIC]],1)</f>
        <v>K</v>
      </c>
      <c r="C56" t="str">
        <f>LEFT(Table3[[#This Row],[EPI_DGN_ANTIC]],3)</f>
        <v>KCS</v>
      </c>
      <c r="D56" s="8" t="s">
        <v>155</v>
      </c>
      <c r="E56" s="10">
        <v>1</v>
      </c>
      <c r="F56" s="22" t="s">
        <v>156</v>
      </c>
      <c r="G56" s="22"/>
      <c r="H56" s="16">
        <v>54</v>
      </c>
      <c r="I56" s="8" t="s">
        <v>157</v>
      </c>
      <c r="J56" s="10"/>
    </row>
    <row r="57" spans="1:10" hidden="1">
      <c r="A57" s="5">
        <v>55</v>
      </c>
      <c r="B57" t="str">
        <f>LEFT(Table3[[#This Row],[EPI_DGN_ANTIC]],1)</f>
        <v>K</v>
      </c>
      <c r="C57" t="str">
        <f>LEFT(Table3[[#This Row],[EPI_DGN_ANTIC]],3)</f>
        <v>KCT</v>
      </c>
      <c r="D57" s="8" t="s">
        <v>158</v>
      </c>
      <c r="E57" s="10">
        <v>1</v>
      </c>
      <c r="F57" s="22" t="s">
        <v>159</v>
      </c>
      <c r="G57" s="22"/>
      <c r="H57" s="16">
        <v>55</v>
      </c>
      <c r="I57" s="8" t="s">
        <v>160</v>
      </c>
      <c r="J57" s="10"/>
    </row>
    <row r="58" spans="1:10" hidden="1">
      <c r="A58" s="5">
        <v>56</v>
      </c>
      <c r="B58" t="str">
        <f>LEFT(Table3[[#This Row],[EPI_DGN_ANTIC]],1)</f>
        <v>K</v>
      </c>
      <c r="C58" t="str">
        <f>LEFT(Table3[[#This Row],[EPI_DGN_ANTIC]],3)</f>
        <v>KCS</v>
      </c>
      <c r="D58" s="8" t="s">
        <v>161</v>
      </c>
      <c r="E58" s="10">
        <v>1</v>
      </c>
      <c r="F58" s="22" t="s">
        <v>156</v>
      </c>
      <c r="G58" t="s">
        <v>90</v>
      </c>
      <c r="H58" s="16">
        <v>56</v>
      </c>
      <c r="I58" s="8" t="s">
        <v>162</v>
      </c>
      <c r="J58" s="10"/>
    </row>
    <row r="59" spans="1:10" hidden="1">
      <c r="A59" s="5">
        <v>57</v>
      </c>
      <c r="B59" t="str">
        <f>LEFT(Table3[[#This Row],[EPI_DGN_ANTIC]],1)</f>
        <v>K</v>
      </c>
      <c r="C59" t="str">
        <f>LEFT(Table3[[#This Row],[EPI_DGN_ANTIC]],3)</f>
        <v>KCS</v>
      </c>
      <c r="D59" s="8" t="s">
        <v>163</v>
      </c>
      <c r="E59" s="10">
        <v>0</v>
      </c>
      <c r="F59" s="22"/>
      <c r="G59" s="22"/>
      <c r="H59" s="16">
        <v>57</v>
      </c>
      <c r="I59" s="8" t="s">
        <v>164</v>
      </c>
      <c r="J59" s="10"/>
    </row>
    <row r="60" spans="1:10" hidden="1">
      <c r="A60" s="5">
        <v>58</v>
      </c>
      <c r="B60" t="str">
        <f>LEFT(Table3[[#This Row],[EPI_DGN_ANTIC]],1)</f>
        <v>K</v>
      </c>
      <c r="C60" t="str">
        <f>LEFT(Table3[[#This Row],[EPI_DGN_ANTIC]],2)</f>
        <v>KM</v>
      </c>
      <c r="D60" s="8" t="s">
        <v>165</v>
      </c>
      <c r="E60" s="10">
        <v>0</v>
      </c>
      <c r="F60" s="22"/>
      <c r="G60" s="22"/>
      <c r="H60" s="16">
        <v>58</v>
      </c>
      <c r="I60" s="8" t="s">
        <v>166</v>
      </c>
      <c r="J60" s="10"/>
    </row>
    <row r="61" spans="1:10" hidden="1">
      <c r="A61" s="5">
        <v>59</v>
      </c>
      <c r="B61" t="str">
        <f>LEFT(Table3[[#This Row],[EPI_DGN_ANTIC]],1)</f>
        <v>K</v>
      </c>
      <c r="C61" t="str">
        <f>LEFT(Table3[[#This Row],[EPI_DGN_ANTIC]],2)</f>
        <v>KM</v>
      </c>
      <c r="D61" s="8" t="s">
        <v>167</v>
      </c>
      <c r="E61" s="10">
        <v>1</v>
      </c>
      <c r="F61" s="22" t="s">
        <v>168</v>
      </c>
      <c r="G61" t="s">
        <v>90</v>
      </c>
      <c r="H61" s="16">
        <v>59</v>
      </c>
      <c r="I61" s="8" t="s">
        <v>169</v>
      </c>
      <c r="J61" s="10"/>
    </row>
    <row r="62" spans="1:10" hidden="1">
      <c r="A62" s="5">
        <v>60</v>
      </c>
      <c r="B62" t="str">
        <f>LEFT(Table3[[#This Row],[EPI_DGN_ANTIC]],1)</f>
        <v>K</v>
      </c>
      <c r="C62" t="str">
        <f>LEFT(Table3[[#This Row],[EPI_DGN_ANTIC]],2)</f>
        <v>KM</v>
      </c>
      <c r="D62" s="8" t="s">
        <v>170</v>
      </c>
      <c r="E62" s="10">
        <v>1</v>
      </c>
      <c r="F62" s="22" t="s">
        <v>171</v>
      </c>
      <c r="G62" t="s">
        <v>90</v>
      </c>
      <c r="H62" s="16">
        <v>60</v>
      </c>
      <c r="I62" s="8" t="s">
        <v>172</v>
      </c>
      <c r="J62" s="10"/>
    </row>
    <row r="63" spans="1:10" hidden="1">
      <c r="A63" s="5">
        <v>61</v>
      </c>
      <c r="B63" t="str">
        <f>LEFT(Table3[[#This Row],[EPI_DGN_ANTIC]],1)</f>
        <v>K</v>
      </c>
      <c r="C63" t="str">
        <f>LEFT(Table3[[#This Row],[EPI_DGN_ANTIC]],2)</f>
        <v>KM</v>
      </c>
      <c r="D63" s="8" t="s">
        <v>173</v>
      </c>
      <c r="E63" s="10">
        <v>1</v>
      </c>
      <c r="F63" s="22" t="s">
        <v>168</v>
      </c>
      <c r="G63" s="22"/>
      <c r="H63" s="16">
        <v>61</v>
      </c>
      <c r="I63" s="8" t="s">
        <v>174</v>
      </c>
      <c r="J63" s="10"/>
    </row>
    <row r="64" spans="1:10" hidden="1">
      <c r="A64" s="5">
        <v>62</v>
      </c>
      <c r="B64" t="str">
        <f>LEFT(Table3[[#This Row],[EPI_DGN_ANTIC]],1)</f>
        <v>K</v>
      </c>
      <c r="C64" t="str">
        <f>LEFT(Table3[[#This Row],[EPI_DGN_ANTIC]],2)</f>
        <v>KM</v>
      </c>
      <c r="D64" s="8" t="s">
        <v>175</v>
      </c>
      <c r="E64" s="10">
        <v>1</v>
      </c>
      <c r="F64" s="22" t="s">
        <v>176</v>
      </c>
      <c r="G64" s="22"/>
      <c r="H64" s="16">
        <v>62</v>
      </c>
      <c r="I64" s="8" t="s">
        <v>177</v>
      </c>
      <c r="J64" s="10"/>
    </row>
    <row r="65" spans="1:10" hidden="1">
      <c r="A65" s="5">
        <v>63</v>
      </c>
      <c r="B65" t="str">
        <f>LEFT(Table3[[#This Row],[EPI_DGN_ANTIC]],1)</f>
        <v>K</v>
      </c>
      <c r="C65" t="str">
        <f>LEFT(Table3[[#This Row],[EPI_DGN_ANTIC]],2)</f>
        <v>KM</v>
      </c>
      <c r="D65" s="8" t="s">
        <v>178</v>
      </c>
      <c r="E65" s="10">
        <v>1</v>
      </c>
      <c r="F65" t="s">
        <v>179</v>
      </c>
      <c r="G65" t="s">
        <v>90</v>
      </c>
      <c r="H65" s="16">
        <v>63</v>
      </c>
      <c r="I65" s="8" t="s">
        <v>180</v>
      </c>
      <c r="J65" s="10"/>
    </row>
    <row r="66" spans="1:10" hidden="1">
      <c r="A66" s="5">
        <v>64</v>
      </c>
      <c r="B66" t="str">
        <f>LEFT(Table3[[#This Row],[EPI_DGN_ANTIC]],1)</f>
        <v>K</v>
      </c>
      <c r="C66" t="str">
        <f>LEFT(Table3[[#This Row],[EPI_DGN_ANTIC]],2)</f>
        <v>KM</v>
      </c>
      <c r="D66" s="8" t="s">
        <v>181</v>
      </c>
      <c r="E66" s="10">
        <v>1</v>
      </c>
      <c r="F66" t="s">
        <v>182</v>
      </c>
      <c r="H66" s="16">
        <v>64</v>
      </c>
      <c r="I66" s="8" t="s">
        <v>183</v>
      </c>
      <c r="J66" s="10"/>
    </row>
    <row r="67" spans="1:10" hidden="1">
      <c r="A67" s="5">
        <v>65</v>
      </c>
      <c r="B67" t="str">
        <f>LEFT(Table3[[#This Row],[EPI_DGN_ANTIC]],1)</f>
        <v>K</v>
      </c>
      <c r="C67" t="str">
        <f>LEFT(Table3[[#This Row],[EPI_DGN_ANTIC]],2)</f>
        <v>KM</v>
      </c>
      <c r="D67" s="8" t="s">
        <v>184</v>
      </c>
      <c r="E67" s="10">
        <v>1</v>
      </c>
      <c r="F67" s="22" t="s">
        <v>185</v>
      </c>
      <c r="G67" s="22"/>
      <c r="H67" s="16">
        <v>65</v>
      </c>
      <c r="I67" s="8" t="s">
        <v>180</v>
      </c>
      <c r="J67" s="10"/>
    </row>
    <row r="68" spans="1:10" hidden="1">
      <c r="A68" s="5">
        <v>66</v>
      </c>
      <c r="B68" t="str">
        <f>LEFT(Table3[[#This Row],[EPI_DGN_ANTIC]],1)</f>
        <v>K</v>
      </c>
      <c r="C68" t="str">
        <f>LEFT(Table3[[#This Row],[EPI_DGN_ANTIC]],2)</f>
        <v>KM</v>
      </c>
      <c r="D68" s="8" t="s">
        <v>186</v>
      </c>
      <c r="E68" s="10">
        <v>1</v>
      </c>
      <c r="F68" s="22" t="s">
        <v>187</v>
      </c>
      <c r="G68" t="s">
        <v>90</v>
      </c>
      <c r="H68" s="16">
        <v>66</v>
      </c>
      <c r="I68" s="8" t="s">
        <v>188</v>
      </c>
      <c r="J68" s="10"/>
    </row>
    <row r="69" spans="1:10" hidden="1">
      <c r="A69" s="5">
        <v>67</v>
      </c>
      <c r="B69" t="str">
        <f>LEFT(Table3[[#This Row],[EPI_DGN_ANTIC]],1)</f>
        <v>K</v>
      </c>
      <c r="C69" t="str">
        <f>LEFT(Table3[[#This Row],[EPI_DGN_ANTIC]],2)</f>
        <v>KM</v>
      </c>
      <c r="D69" s="8" t="s">
        <v>189</v>
      </c>
      <c r="E69" s="10">
        <v>1</v>
      </c>
      <c r="F69" s="22" t="s">
        <v>190</v>
      </c>
      <c r="G69" t="s">
        <v>90</v>
      </c>
      <c r="H69" s="16">
        <v>67</v>
      </c>
      <c r="I69" s="8" t="s">
        <v>191</v>
      </c>
      <c r="J69" s="10"/>
    </row>
    <row r="70" spans="1:10" hidden="1">
      <c r="A70" s="5">
        <v>68</v>
      </c>
      <c r="B70" t="str">
        <f>LEFT(Table3[[#This Row],[EPI_DGN_ANTIC]],1)</f>
        <v>K</v>
      </c>
      <c r="C70" t="str">
        <f>LEFT(Table3[[#This Row],[EPI_DGN_ANTIC]],2)</f>
        <v>KM</v>
      </c>
      <c r="D70" s="8" t="s">
        <v>192</v>
      </c>
      <c r="E70" s="10">
        <v>1</v>
      </c>
      <c r="F70" s="22" t="s">
        <v>193</v>
      </c>
      <c r="G70" s="22"/>
      <c r="H70" s="16">
        <v>68</v>
      </c>
      <c r="I70" s="8" t="s">
        <v>194</v>
      </c>
      <c r="J70" s="10"/>
    </row>
    <row r="71" spans="1:10" hidden="1">
      <c r="A71" s="5">
        <v>69</v>
      </c>
      <c r="B71" t="str">
        <f>LEFT(Table3[[#This Row],[EPI_DGN_ANTIC]],1)</f>
        <v>K</v>
      </c>
      <c r="C71" t="str">
        <f>LEFT(Table3[[#This Row],[EPI_DGN_ANTIC]],2)</f>
        <v>KM</v>
      </c>
      <c r="D71" s="8" t="s">
        <v>195</v>
      </c>
      <c r="E71" s="10">
        <v>1</v>
      </c>
      <c r="F71" s="22" t="s">
        <v>187</v>
      </c>
      <c r="G71" t="s">
        <v>90</v>
      </c>
      <c r="H71" s="16">
        <v>69</v>
      </c>
      <c r="I71" s="8" t="s">
        <v>196</v>
      </c>
      <c r="J71" s="10"/>
    </row>
    <row r="72" spans="1:10" hidden="1">
      <c r="A72" s="5">
        <v>70</v>
      </c>
      <c r="B72" t="str">
        <f>LEFT(Table3[[#This Row],[EPI_DGN_ANTIC]],1)</f>
        <v>K</v>
      </c>
      <c r="C72" t="str">
        <f>LEFT(Table3[[#This Row],[EPI_DGN_ANTIC]],2)</f>
        <v>KM</v>
      </c>
      <c r="D72" s="8" t="s">
        <v>197</v>
      </c>
      <c r="E72" s="10">
        <v>1</v>
      </c>
      <c r="F72" s="22" t="s">
        <v>198</v>
      </c>
      <c r="G72" t="s">
        <v>90</v>
      </c>
      <c r="H72" s="16">
        <v>70</v>
      </c>
      <c r="I72" s="8" t="s">
        <v>199</v>
      </c>
      <c r="J72" s="10"/>
    </row>
    <row r="73" spans="1:10" hidden="1">
      <c r="A73" s="5">
        <v>71</v>
      </c>
      <c r="B73" t="str">
        <f>LEFT(Table3[[#This Row],[EPI_DGN_ANTIC]],1)</f>
        <v>K</v>
      </c>
      <c r="C73" t="str">
        <f>LEFT(Table3[[#This Row],[EPI_DGN_ANTIC]],2)</f>
        <v>KM</v>
      </c>
      <c r="D73" s="8" t="s">
        <v>200</v>
      </c>
      <c r="E73" s="10">
        <v>1</v>
      </c>
      <c r="F73" s="22" t="s">
        <v>201</v>
      </c>
      <c r="G73" s="22"/>
      <c r="H73" s="16">
        <v>71</v>
      </c>
      <c r="I73" s="8" t="s">
        <v>202</v>
      </c>
      <c r="J73" s="10"/>
    </row>
    <row r="74" spans="1:10" hidden="1">
      <c r="A74" s="5">
        <v>72</v>
      </c>
      <c r="B74" t="str">
        <f>LEFT(Table3[[#This Row],[EPI_DGN_ANTIC]],1)</f>
        <v>K</v>
      </c>
      <c r="C74" t="str">
        <f>LEFT(Table3[[#This Row],[EPI_DGN_ANTIC]],2)</f>
        <v>KP</v>
      </c>
      <c r="D74" s="8" t="s">
        <v>203</v>
      </c>
      <c r="E74" s="10">
        <v>0</v>
      </c>
      <c r="F74" s="22"/>
      <c r="G74" s="22"/>
      <c r="H74" s="16">
        <v>72</v>
      </c>
      <c r="I74" s="8" t="s">
        <v>204</v>
      </c>
      <c r="J74" s="10"/>
    </row>
    <row r="75" spans="1:10" hidden="1">
      <c r="A75" s="5">
        <v>73</v>
      </c>
      <c r="B75" t="str">
        <f>LEFT(Table3[[#This Row],[EPI_DGN_ANTIC]],1)</f>
        <v>K</v>
      </c>
      <c r="C75" t="str">
        <f>LEFT(Table3[[#This Row],[EPI_DGN_ANTIC]],2)</f>
        <v>KS</v>
      </c>
      <c r="D75" s="8" t="s">
        <v>205</v>
      </c>
      <c r="E75" s="10">
        <v>0</v>
      </c>
      <c r="F75" s="22"/>
      <c r="G75" s="22"/>
      <c r="H75" s="16">
        <v>73</v>
      </c>
      <c r="I75" s="8" t="s">
        <v>183</v>
      </c>
      <c r="J75" s="10"/>
    </row>
    <row r="76" spans="1:10" hidden="1">
      <c r="A76" s="5">
        <v>74</v>
      </c>
      <c r="B76" t="str">
        <f>LEFT(Table3[[#This Row],[EPI_DGN_ANTIC]],1)</f>
        <v>K</v>
      </c>
      <c r="C76" t="str">
        <f>LEFT(Table3[[#This Row],[EPI_DGN_ANTIC]],2)</f>
        <v>KT</v>
      </c>
      <c r="D76" s="8" t="s">
        <v>206</v>
      </c>
      <c r="E76" s="10">
        <v>0</v>
      </c>
      <c r="F76" s="22"/>
      <c r="G76" s="22"/>
      <c r="H76" s="16">
        <v>74</v>
      </c>
      <c r="I76" s="8" t="s">
        <v>207</v>
      </c>
      <c r="J76" s="10"/>
    </row>
    <row r="77" spans="1:10" hidden="1">
      <c r="A77" s="5">
        <v>75</v>
      </c>
      <c r="B77" t="str">
        <f>LEFT(Table3[[#This Row],[EPI_DGN_ANTIC]],1)</f>
        <v>K</v>
      </c>
      <c r="C77" t="str">
        <f>LEFT(Table3[[#This Row],[EPI_DGN_ANTIC]],2)</f>
        <v>KS</v>
      </c>
      <c r="D77" s="8" t="s">
        <v>205</v>
      </c>
      <c r="E77" s="10">
        <v>1</v>
      </c>
      <c r="F77" s="22" t="s">
        <v>208</v>
      </c>
      <c r="G77" s="22"/>
      <c r="H77" s="16">
        <v>75</v>
      </c>
      <c r="I77" s="8" t="s">
        <v>174</v>
      </c>
      <c r="J77" s="10"/>
    </row>
    <row r="78" spans="1:10" hidden="1">
      <c r="A78" s="5">
        <v>76</v>
      </c>
      <c r="B78" t="str">
        <f>LEFT(Table3[[#This Row],[EPI_DGN_ANTIC]],1)</f>
        <v>K</v>
      </c>
      <c r="C78" t="str">
        <f>LEFT(Table3[[#This Row],[EPI_DGN_ANTIC]],2)</f>
        <v>KS</v>
      </c>
      <c r="D78" s="8" t="s">
        <v>209</v>
      </c>
      <c r="E78" s="10">
        <v>1</v>
      </c>
      <c r="F78" s="22" t="s">
        <v>210</v>
      </c>
      <c r="G78" t="s">
        <v>90</v>
      </c>
      <c r="H78" s="16">
        <v>76</v>
      </c>
      <c r="I78" s="8" t="s">
        <v>211</v>
      </c>
      <c r="J78" s="10"/>
    </row>
    <row r="79" spans="1:10" hidden="1">
      <c r="A79" s="5">
        <v>77</v>
      </c>
      <c r="B79" t="str">
        <f>LEFT(Table3[[#This Row],[EPI_DGN_ANTIC]],1)</f>
        <v>K</v>
      </c>
      <c r="C79" t="str">
        <f>LEFT(Table3[[#This Row],[EPI_DGN_ANTIC]],2)</f>
        <v>KS</v>
      </c>
      <c r="D79" s="8" t="s">
        <v>212</v>
      </c>
      <c r="E79" s="10">
        <v>1</v>
      </c>
      <c r="F79" t="s">
        <v>213</v>
      </c>
      <c r="G79" t="s">
        <v>90</v>
      </c>
      <c r="H79" s="16">
        <v>77</v>
      </c>
      <c r="I79" s="8" t="s">
        <v>214</v>
      </c>
      <c r="J79" s="10"/>
    </row>
    <row r="80" spans="1:10" hidden="1">
      <c r="A80" s="5">
        <v>78</v>
      </c>
      <c r="B80" t="str">
        <f>LEFT(Table3[[#This Row],[EPI_DGN_ANTIC]],1)</f>
        <v>K</v>
      </c>
      <c r="C80" t="str">
        <f>LEFT(Table3[[#This Row],[EPI_DGN_ANTIC]],2)</f>
        <v>KS</v>
      </c>
      <c r="D80" s="8" t="s">
        <v>215</v>
      </c>
      <c r="E80" s="10">
        <v>1</v>
      </c>
      <c r="F80" s="22" t="s">
        <v>216</v>
      </c>
      <c r="G80" s="22"/>
      <c r="H80" s="16">
        <v>78</v>
      </c>
      <c r="I80" s="8" t="s">
        <v>214</v>
      </c>
      <c r="J80" s="10"/>
    </row>
    <row r="81" spans="1:10" hidden="1">
      <c r="A81" s="5">
        <v>79</v>
      </c>
      <c r="B81" t="str">
        <f>LEFT(Table3[[#This Row],[EPI_DGN_ANTIC]],1)</f>
        <v>K</v>
      </c>
      <c r="C81" t="str">
        <f>LEFT(Table3[[#This Row],[EPI_DGN_ANTIC]],2)</f>
        <v>KT</v>
      </c>
      <c r="D81" s="8" t="s">
        <v>206</v>
      </c>
      <c r="E81" s="10">
        <v>1</v>
      </c>
      <c r="F81" s="22" t="s">
        <v>217</v>
      </c>
      <c r="G81" s="22"/>
      <c r="H81" s="16">
        <v>79</v>
      </c>
      <c r="I81" s="8" t="s">
        <v>218</v>
      </c>
      <c r="J81" s="10"/>
    </row>
    <row r="82" spans="1:10" hidden="1">
      <c r="A82" s="5">
        <v>80</v>
      </c>
      <c r="B82" t="str">
        <f>LEFT(Table3[[#This Row],[EPI_DGN_ANTIC]],1)</f>
        <v>K</v>
      </c>
      <c r="C82" t="str">
        <f>LEFT(Table3[[#This Row],[EPI_DGN_ANTIC]],2)</f>
        <v>KT</v>
      </c>
      <c r="D82" s="8" t="s">
        <v>219</v>
      </c>
      <c r="E82" s="10">
        <v>1</v>
      </c>
      <c r="F82" s="22" t="s">
        <v>220</v>
      </c>
      <c r="G82" s="22"/>
      <c r="H82" s="16">
        <v>80</v>
      </c>
      <c r="I82" s="8" t="s">
        <v>218</v>
      </c>
      <c r="J82" s="10"/>
    </row>
    <row r="83" spans="1:10" hidden="1">
      <c r="A83" s="5">
        <v>81</v>
      </c>
      <c r="B83" t="str">
        <f>LEFT(Table3[[#This Row],[EPI_DGN_ANTIC]],1)</f>
        <v>K</v>
      </c>
      <c r="C83" t="str">
        <f>LEFT(Table3[[#This Row],[EPI_DGN_ANTIC]],2)</f>
        <v>KT</v>
      </c>
      <c r="D83" s="8" t="s">
        <v>221</v>
      </c>
      <c r="E83" s="10">
        <v>1</v>
      </c>
      <c r="F83" s="22" t="s">
        <v>222</v>
      </c>
      <c r="G83" s="22"/>
      <c r="H83" s="16">
        <v>81</v>
      </c>
      <c r="I83" s="8" t="s">
        <v>223</v>
      </c>
      <c r="J83" s="10"/>
    </row>
    <row r="84" spans="1:10" hidden="1">
      <c r="A84" s="5">
        <v>82</v>
      </c>
      <c r="B84" t="str">
        <f>LEFT(Table3[[#This Row],[EPI_DGN_ANTIC]],1)</f>
        <v>K</v>
      </c>
      <c r="C84" t="str">
        <f>LEFT(Table3[[#This Row],[EPI_DGN_ANTIC]],2)</f>
        <v>KT</v>
      </c>
      <c r="D84" s="8" t="s">
        <v>224</v>
      </c>
      <c r="E84" s="10">
        <v>1</v>
      </c>
      <c r="F84" s="22" t="s">
        <v>225</v>
      </c>
      <c r="G84" s="22"/>
      <c r="H84" s="16">
        <v>82</v>
      </c>
      <c r="I84" s="8" t="s">
        <v>226</v>
      </c>
      <c r="J84" s="10"/>
    </row>
    <row r="85" spans="1:10" hidden="1">
      <c r="A85" s="5">
        <v>83</v>
      </c>
      <c r="B85" t="str">
        <f>LEFT(Table3[[#This Row],[EPI_DGN_ANTIC]],1)</f>
        <v>K</v>
      </c>
      <c r="C85" t="str">
        <f>LEFT(Table3[[#This Row],[EPI_DGN_ANTIC]],2)</f>
        <v>KT</v>
      </c>
      <c r="D85" s="8" t="s">
        <v>227</v>
      </c>
      <c r="E85" s="10">
        <v>1</v>
      </c>
      <c r="F85" s="22" t="s">
        <v>228</v>
      </c>
      <c r="G85" t="s">
        <v>90</v>
      </c>
      <c r="H85" s="16">
        <v>83</v>
      </c>
      <c r="I85" s="8" t="s">
        <v>218</v>
      </c>
      <c r="J85" s="10"/>
    </row>
    <row r="86" spans="1:10" hidden="1">
      <c r="A86" s="5">
        <v>84</v>
      </c>
      <c r="B86" t="str">
        <f>LEFT(Table3[[#This Row],[EPI_DGN_ANTIC]],1)</f>
        <v>C</v>
      </c>
      <c r="C86" t="str">
        <f>LEFT(Table3[[#This Row],[EPI_DGN_ANTIC]],2)</f>
        <v>C</v>
      </c>
      <c r="D86" s="8" t="s">
        <v>229</v>
      </c>
      <c r="E86" s="10">
        <v>0</v>
      </c>
      <c r="F86" s="22"/>
      <c r="G86" s="22"/>
      <c r="H86" s="16">
        <v>84</v>
      </c>
      <c r="I86" s="8" t="s">
        <v>230</v>
      </c>
      <c r="J86" s="10"/>
    </row>
    <row r="87" spans="1:10" hidden="1">
      <c r="A87" s="5">
        <v>85</v>
      </c>
      <c r="B87" t="str">
        <f>LEFT(Table3[[#This Row],[EPI_DGN_ANTIC]],1)</f>
        <v>C</v>
      </c>
      <c r="C87" t="str">
        <f>LEFT(Table3[[#This Row],[EPI_DGN_ANTIC]],2)</f>
        <v>C</v>
      </c>
      <c r="D87" s="8" t="s">
        <v>229</v>
      </c>
      <c r="E87" s="10">
        <v>0</v>
      </c>
      <c r="F87" s="22"/>
      <c r="G87" s="22"/>
      <c r="H87" s="16">
        <v>85</v>
      </c>
      <c r="I87" s="8" t="s">
        <v>231</v>
      </c>
      <c r="J87" s="10"/>
    </row>
    <row r="88" spans="1:10" hidden="1">
      <c r="A88" s="5">
        <v>86</v>
      </c>
      <c r="B88" t="str">
        <f>LEFT(Table3[[#This Row],[EPI_DGN_ANTIC]],1)</f>
        <v>C</v>
      </c>
      <c r="C88" t="str">
        <f>LEFT(Table3[[#This Row],[EPI_DGN_ANTIC]],3)</f>
        <v>CAb</v>
      </c>
      <c r="D88" s="8" t="s">
        <v>232</v>
      </c>
      <c r="E88" s="10">
        <v>1</v>
      </c>
      <c r="F88" s="22" t="s">
        <v>233</v>
      </c>
      <c r="G88" s="22"/>
      <c r="H88" s="16">
        <v>86</v>
      </c>
      <c r="I88" s="8" t="s">
        <v>234</v>
      </c>
      <c r="J88" s="10"/>
    </row>
    <row r="89" spans="1:10" hidden="1">
      <c r="A89" s="5">
        <v>87</v>
      </c>
      <c r="B89" t="str">
        <f>LEFT(Table3[[#This Row],[EPI_DGN_ANTIC]],1)</f>
        <v>D</v>
      </c>
      <c r="C89" t="str">
        <f>LEFT(Table3[[#This Row],[EPI_DGN_ANTIC]],2)</f>
        <v>D1</v>
      </c>
      <c r="D89" s="8" t="s">
        <v>235</v>
      </c>
      <c r="E89" s="10">
        <v>1</v>
      </c>
      <c r="F89" s="22" t="s">
        <v>236</v>
      </c>
      <c r="G89" s="22"/>
      <c r="H89" s="16">
        <v>87</v>
      </c>
      <c r="I89" s="8" t="s">
        <v>237</v>
      </c>
      <c r="J89" s="10"/>
    </row>
    <row r="90" spans="1:10" hidden="1">
      <c r="A90" s="5">
        <v>88</v>
      </c>
      <c r="B90" t="str">
        <f>LEFT(Table3[[#This Row],[EPI_DGN_ANTIC]],1)</f>
        <v>C</v>
      </c>
      <c r="C90" t="str">
        <f>LEFT(Table3[[#This Row],[EPI_DGN_ANTIC]],3)</f>
        <v>CAp</v>
      </c>
      <c r="D90" s="8" t="s">
        <v>238</v>
      </c>
      <c r="E90" s="10">
        <v>1</v>
      </c>
      <c r="F90" s="22" t="s">
        <v>239</v>
      </c>
      <c r="G90" s="22"/>
      <c r="H90" s="16">
        <v>88</v>
      </c>
      <c r="I90" s="8" t="s">
        <v>240</v>
      </c>
      <c r="J90" s="10"/>
    </row>
    <row r="91" spans="1:10" hidden="1">
      <c r="A91" s="5">
        <v>89</v>
      </c>
      <c r="B91" t="str">
        <f>LEFT(Table3[[#This Row],[EPI_DGN_ANTIC]],1)</f>
        <v>C</v>
      </c>
      <c r="C91" t="str">
        <f>LEFT(Table3[[#This Row],[EPI_DGN_ANTIC]],3)</f>
        <v>CAp</v>
      </c>
      <c r="D91" s="8" t="s">
        <v>241</v>
      </c>
      <c r="E91" s="10">
        <v>0</v>
      </c>
      <c r="F91" s="22"/>
      <c r="G91" s="22"/>
      <c r="H91" s="16">
        <v>89</v>
      </c>
      <c r="I91" s="8" t="s">
        <v>242</v>
      </c>
      <c r="J91" s="10"/>
    </row>
    <row r="92" spans="1:10" hidden="1">
      <c r="A92" s="5">
        <v>90</v>
      </c>
      <c r="B92" t="str">
        <f>LEFT(Table3[[#This Row],[EPI_DGN_ANTIC]],1)</f>
        <v>C</v>
      </c>
      <c r="C92" t="str">
        <f>LEFT(Table3[[#This Row],[EPI_DGN_ANTIC]],3)</f>
        <v>CAp</v>
      </c>
      <c r="D92" s="8" t="s">
        <v>243</v>
      </c>
      <c r="E92" s="10">
        <v>1</v>
      </c>
      <c r="F92" s="22" t="s">
        <v>244</v>
      </c>
      <c r="G92" s="22"/>
      <c r="H92" s="16">
        <v>90</v>
      </c>
      <c r="I92" s="8" t="s">
        <v>245</v>
      </c>
      <c r="J92" s="10"/>
    </row>
    <row r="93" spans="1:10" hidden="1">
      <c r="A93" s="5">
        <v>91</v>
      </c>
      <c r="B93" t="str">
        <f>LEFT(Table3[[#This Row],[EPI_DGN_ANTIC]],1)</f>
        <v>C</v>
      </c>
      <c r="C93" t="str">
        <f>LEFT(Table3[[#This Row],[EPI_DGN_ANTIC]],2)</f>
        <v>CA</v>
      </c>
      <c r="D93" s="8" t="s">
        <v>246</v>
      </c>
      <c r="E93" s="10">
        <v>1</v>
      </c>
      <c r="F93" s="22" t="s">
        <v>247</v>
      </c>
      <c r="G93" s="22"/>
      <c r="H93" s="16">
        <v>91</v>
      </c>
      <c r="I93" s="8" t="s">
        <v>240</v>
      </c>
      <c r="J93" s="10"/>
    </row>
    <row r="94" spans="1:10" hidden="1">
      <c r="A94" s="5">
        <v>92</v>
      </c>
      <c r="B94" t="str">
        <f>LEFT(Table3[[#This Row],[EPI_DGN_ANTIC]],1)</f>
        <v>C</v>
      </c>
      <c r="C94" t="str">
        <f>LEFT(Table3[[#This Row],[EPI_DGN_ANTIC]],2)</f>
        <v>CB</v>
      </c>
      <c r="D94" s="8" t="s">
        <v>248</v>
      </c>
      <c r="E94" s="10">
        <v>1</v>
      </c>
      <c r="F94" s="22" t="s">
        <v>249</v>
      </c>
      <c r="G94" s="22"/>
      <c r="H94" s="16">
        <v>92</v>
      </c>
      <c r="I94" s="8" t="s">
        <v>250</v>
      </c>
      <c r="J94" s="10"/>
    </row>
    <row r="95" spans="1:10" hidden="1">
      <c r="A95" s="5">
        <v>93</v>
      </c>
      <c r="B95" t="str">
        <f>LEFT(Table3[[#This Row],[EPI_DGN_ANTIC]],1)</f>
        <v>C</v>
      </c>
      <c r="C95" t="str">
        <f>LEFT(Table3[[#This Row],[EPI_DGN_ANTIC]],2)</f>
        <v>CH</v>
      </c>
      <c r="D95" s="8" t="s">
        <v>251</v>
      </c>
      <c r="E95" s="10">
        <v>1</v>
      </c>
      <c r="F95" s="22" t="s">
        <v>252</v>
      </c>
      <c r="G95" s="22"/>
      <c r="H95" s="16">
        <v>93</v>
      </c>
      <c r="I95" s="8" t="s">
        <v>253</v>
      </c>
      <c r="J95" s="10"/>
    </row>
    <row r="96" spans="1:10" hidden="1">
      <c r="A96" s="5">
        <v>94</v>
      </c>
      <c r="B96" t="str">
        <f>LEFT(Table3[[#This Row],[EPI_DGN_ANTIC]],1)</f>
        <v>C</v>
      </c>
      <c r="C96" t="str">
        <f>LEFT(Table3[[#This Row],[EPI_DGN_ANTIC]],2)</f>
        <v>CB</v>
      </c>
      <c r="D96" s="8" t="s">
        <v>254</v>
      </c>
      <c r="E96" s="10">
        <v>1</v>
      </c>
      <c r="F96" s="22" t="s">
        <v>255</v>
      </c>
      <c r="G96" s="22"/>
      <c r="H96" s="16">
        <v>94</v>
      </c>
      <c r="I96" s="8" t="s">
        <v>231</v>
      </c>
      <c r="J96" s="10"/>
    </row>
    <row r="97" spans="1:10" hidden="1">
      <c r="A97" s="5">
        <v>95</v>
      </c>
      <c r="B97" t="str">
        <f>LEFT(Table3[[#This Row],[EPI_DGN_ANTIC]],1)</f>
        <v>C</v>
      </c>
      <c r="C97" t="str">
        <f>LEFT(Table3[[#This Row],[EPI_DGN_ANTIC]],3)</f>
        <v>CAA</v>
      </c>
      <c r="D97" s="8" t="s">
        <v>256</v>
      </c>
      <c r="E97" s="10">
        <v>1</v>
      </c>
      <c r="F97" s="22" t="s">
        <v>257</v>
      </c>
      <c r="G97" s="22"/>
      <c r="H97" s="16">
        <v>95</v>
      </c>
      <c r="I97" s="8" t="s">
        <v>258</v>
      </c>
      <c r="J97" s="10"/>
    </row>
    <row r="98" spans="1:10" hidden="1">
      <c r="A98" s="5">
        <v>96</v>
      </c>
      <c r="B98" t="str">
        <f>LEFT(Table3[[#This Row],[EPI_DGN_ANTIC]],1)</f>
        <v>C</v>
      </c>
      <c r="C98" t="str">
        <f>LEFT(Table3[[#This Row],[EPI_DGN_ANTIC]],3)</f>
        <v>CAA</v>
      </c>
      <c r="D98" s="8" t="s">
        <v>259</v>
      </c>
      <c r="E98" s="10">
        <v>1</v>
      </c>
      <c r="F98" s="22" t="s">
        <v>260</v>
      </c>
      <c r="G98" s="22"/>
      <c r="H98" s="16">
        <v>96</v>
      </c>
      <c r="I98" s="8" t="s">
        <v>231</v>
      </c>
      <c r="J98" s="10"/>
    </row>
    <row r="99" spans="1:10" hidden="1">
      <c r="A99" s="5">
        <v>97</v>
      </c>
      <c r="B99" t="str">
        <f>LEFT(Table3[[#This Row],[EPI_DGN_ANTIC]],1)</f>
        <v>C</v>
      </c>
      <c r="C99" t="str">
        <f>LEFT(Table3[[#This Row],[EPI_DGN_ANTIC]],3)</f>
        <v>CAC</v>
      </c>
      <c r="D99" s="8" t="s">
        <v>261</v>
      </c>
      <c r="E99" s="10">
        <v>0</v>
      </c>
      <c r="F99" s="22"/>
      <c r="G99" s="22"/>
      <c r="H99" s="16">
        <v>97</v>
      </c>
      <c r="I99" s="8" t="s">
        <v>262</v>
      </c>
      <c r="J99" s="10"/>
    </row>
    <row r="100" spans="1:10" hidden="1">
      <c r="A100" s="5">
        <v>98</v>
      </c>
      <c r="B100" t="str">
        <f>LEFT(Table3[[#This Row],[EPI_DGN_ANTIC]],1)</f>
        <v>C</v>
      </c>
      <c r="C100" t="str">
        <f>LEFT(Table3[[#This Row],[EPI_DGN_ANTIC]],3)</f>
        <v>CAC</v>
      </c>
      <c r="D100" s="8" t="s">
        <v>263</v>
      </c>
      <c r="E100" s="10">
        <v>1</v>
      </c>
      <c r="F100" s="22" t="s">
        <v>264</v>
      </c>
      <c r="G100" s="22"/>
      <c r="H100" s="16">
        <v>98</v>
      </c>
      <c r="I100" s="8" t="s">
        <v>265</v>
      </c>
      <c r="J100" s="10"/>
    </row>
    <row r="101" spans="1:10" hidden="1">
      <c r="A101" s="5">
        <v>99</v>
      </c>
      <c r="B101" t="str">
        <f>LEFT(Table3[[#This Row],[EPI_DGN_ANTIC]],1)</f>
        <v>C</v>
      </c>
      <c r="C101" t="str">
        <f>LEFT(Table3[[#This Row],[EPI_DGN_ANTIC]],3)</f>
        <v>CAC</v>
      </c>
      <c r="D101" s="8" t="s">
        <v>266</v>
      </c>
      <c r="E101" s="10">
        <v>1</v>
      </c>
      <c r="F101" s="22" t="s">
        <v>1274</v>
      </c>
      <c r="G101" s="22"/>
      <c r="H101" s="16">
        <v>99</v>
      </c>
      <c r="I101" s="8" t="s">
        <v>231</v>
      </c>
      <c r="J101" s="10"/>
    </row>
    <row r="102" spans="1:10" hidden="1">
      <c r="A102" s="5">
        <v>100</v>
      </c>
      <c r="B102" t="str">
        <f>LEFT(Table3[[#This Row],[EPI_DGN_ANTIC]],1)</f>
        <v>C</v>
      </c>
      <c r="C102" t="str">
        <f>LEFT(Table3[[#This Row],[EPI_DGN_ANTIC]],2)</f>
        <v>Cb</v>
      </c>
      <c r="D102" s="8" t="s">
        <v>268</v>
      </c>
      <c r="E102" s="10">
        <v>0</v>
      </c>
      <c r="F102" s="22"/>
      <c r="G102" s="22"/>
      <c r="H102" s="16">
        <v>100</v>
      </c>
      <c r="I102" s="8" t="s">
        <v>269</v>
      </c>
      <c r="J102" s="10"/>
    </row>
    <row r="103" spans="1:10" hidden="1">
      <c r="A103" s="5">
        <v>101</v>
      </c>
      <c r="B103" t="str">
        <f>LEFT(Table3[[#This Row],[EPI_DGN_ANTIC]],1)</f>
        <v>J</v>
      </c>
      <c r="C103" t="str">
        <f>LEFT(Table3[[#This Row],[EPI_DGN_ANTIC]],2)</f>
        <v>J</v>
      </c>
      <c r="D103" s="8" t="s">
        <v>270</v>
      </c>
      <c r="E103" s="10">
        <v>0</v>
      </c>
      <c r="F103" s="22"/>
      <c r="G103" s="22"/>
      <c r="H103" s="16">
        <v>101</v>
      </c>
      <c r="I103" s="8" t="s">
        <v>250</v>
      </c>
      <c r="J103" s="10"/>
    </row>
    <row r="104" spans="1:10" hidden="1">
      <c r="A104" s="5">
        <v>102</v>
      </c>
      <c r="B104" t="str">
        <f>LEFT(Table3[[#This Row],[EPI_DGN_ANTIC]],1)</f>
        <v>J</v>
      </c>
      <c r="C104" t="str">
        <f>LEFT(Table3[[#This Row],[EPI_DGN_ANTIC]],2)</f>
        <v>JC</v>
      </c>
      <c r="D104" s="8" t="s">
        <v>271</v>
      </c>
      <c r="E104" s="10">
        <v>1</v>
      </c>
      <c r="F104" s="22" t="s">
        <v>272</v>
      </c>
      <c r="G104" s="22"/>
      <c r="H104" s="16">
        <v>102</v>
      </c>
      <c r="I104" s="8" t="s">
        <v>269</v>
      </c>
      <c r="J104" s="10"/>
    </row>
    <row r="105" spans="1:10" hidden="1">
      <c r="A105" s="5">
        <v>103</v>
      </c>
      <c r="B105" t="str">
        <f>LEFT(Table3[[#This Row],[EPI_DGN_ANTIC]],1)</f>
        <v>J</v>
      </c>
      <c r="C105" t="str">
        <f>LEFT(Table3[[#This Row],[EPI_DGN_ANTIC]],2)</f>
        <v>JM</v>
      </c>
      <c r="D105" s="8" t="s">
        <v>273</v>
      </c>
      <c r="E105" s="10">
        <v>0</v>
      </c>
      <c r="F105" s="22"/>
      <c r="G105" s="22"/>
      <c r="H105" s="16">
        <v>103</v>
      </c>
      <c r="I105" s="8" t="s">
        <v>274</v>
      </c>
      <c r="J105" s="10"/>
    </row>
    <row r="106" spans="1:10" hidden="1">
      <c r="A106" s="5">
        <v>104</v>
      </c>
      <c r="B106" t="str">
        <f>LEFT(Table3[[#This Row],[EPI_DGN_ANTIC]],1)</f>
        <v>J</v>
      </c>
      <c r="C106" t="s">
        <v>275</v>
      </c>
      <c r="D106" s="8" t="s">
        <v>2849</v>
      </c>
      <c r="E106" s="10">
        <v>1</v>
      </c>
      <c r="F106" s="22" t="s">
        <v>1252</v>
      </c>
      <c r="G106" s="22"/>
      <c r="H106" s="16">
        <v>104</v>
      </c>
      <c r="I106" s="8" t="s">
        <v>250</v>
      </c>
      <c r="J106" s="10"/>
    </row>
    <row r="107" spans="1:10" hidden="1">
      <c r="A107" s="5">
        <v>105</v>
      </c>
      <c r="B107" t="str">
        <f>LEFT(Table3[[#This Row],[EPI_DGN_ANTIC]],1)</f>
        <v>J</v>
      </c>
      <c r="C107" t="s">
        <v>275</v>
      </c>
      <c r="D107" s="8" t="s">
        <v>278</v>
      </c>
      <c r="E107" s="10">
        <v>1</v>
      </c>
      <c r="F107" s="22" t="s">
        <v>279</v>
      </c>
      <c r="G107" s="22"/>
      <c r="H107" s="16">
        <v>105</v>
      </c>
      <c r="I107" s="8" t="s">
        <v>280</v>
      </c>
      <c r="J107" s="10"/>
    </row>
    <row r="108" spans="1:10" hidden="1">
      <c r="A108" s="5">
        <v>106</v>
      </c>
      <c r="B108" t="str">
        <f>LEFT(Table3[[#This Row],[EPI_DGN_ANTIC]],1)</f>
        <v>J</v>
      </c>
      <c r="C108" t="str">
        <f>LEFT(Table3[[#This Row],[EPI_DGN_ANTIC]],2)</f>
        <v>JL</v>
      </c>
      <c r="D108" s="8" t="s">
        <v>281</v>
      </c>
      <c r="E108" s="10">
        <v>1</v>
      </c>
      <c r="F108" s="22" t="s">
        <v>282</v>
      </c>
      <c r="G108" s="22"/>
      <c r="H108" s="16">
        <v>106</v>
      </c>
      <c r="I108" s="8" t="s">
        <v>280</v>
      </c>
      <c r="J108" s="10"/>
    </row>
    <row r="109" spans="1:10" hidden="1">
      <c r="A109" s="5">
        <v>107</v>
      </c>
      <c r="B109" t="str">
        <f>LEFT(Table3[[#This Row],[EPI_DGN_ANTIC]],1)</f>
        <v>J</v>
      </c>
      <c r="C109" t="str">
        <f>LEFT(Table3[[#This Row],[EPI_DGN_ANTIC]],2)</f>
        <v>JL</v>
      </c>
      <c r="D109" s="8" t="s">
        <v>283</v>
      </c>
      <c r="E109" s="10">
        <v>1</v>
      </c>
      <c r="F109" s="22" t="s">
        <v>284</v>
      </c>
      <c r="G109" s="22"/>
      <c r="H109" s="16">
        <v>107</v>
      </c>
      <c r="I109" s="8" t="s">
        <v>285</v>
      </c>
      <c r="J109" s="10"/>
    </row>
    <row r="110" spans="1:10" hidden="1">
      <c r="A110" s="5">
        <v>108</v>
      </c>
      <c r="B110" t="str">
        <f>LEFT(Table3[[#This Row],[EPI_DGN_ANTIC]],1)</f>
        <v>J</v>
      </c>
      <c r="C110" t="str">
        <f>LEFT(Table3[[#This Row],[EPI_DGN_ANTIC]],2)</f>
        <v>JL</v>
      </c>
      <c r="D110" s="8" t="s">
        <v>286</v>
      </c>
      <c r="E110" s="10">
        <v>1</v>
      </c>
      <c r="F110" s="22" t="s">
        <v>287</v>
      </c>
      <c r="G110" s="22"/>
      <c r="H110" s="16">
        <v>108</v>
      </c>
      <c r="I110" s="8" t="s">
        <v>288</v>
      </c>
      <c r="J110" s="10"/>
    </row>
    <row r="111" spans="1:10" hidden="1">
      <c r="A111" s="5">
        <v>109</v>
      </c>
      <c r="B111" t="str">
        <f>LEFT(Table3[[#This Row],[EPI_DGN_ANTIC]],1)</f>
        <v>J</v>
      </c>
      <c r="C111" t="str">
        <f>LEFT(Table3[[#This Row],[EPI_DGN_ANTIC]],2)</f>
        <v>JM</v>
      </c>
      <c r="D111" s="8" t="s">
        <v>289</v>
      </c>
      <c r="E111" s="10">
        <v>1</v>
      </c>
      <c r="F111" s="22" t="s">
        <v>290</v>
      </c>
      <c r="G111" s="22"/>
      <c r="H111" s="16">
        <v>109</v>
      </c>
      <c r="I111" s="8" t="s">
        <v>291</v>
      </c>
      <c r="J111" s="10"/>
    </row>
    <row r="112" spans="1:10" hidden="1">
      <c r="A112" s="5">
        <v>110</v>
      </c>
      <c r="B112" t="str">
        <f>LEFT(Table3[[#This Row],[EPI_DGN_ANTIC]],1)</f>
        <v>G</v>
      </c>
      <c r="C112" t="str">
        <f>LEFT(Table3[[#This Row],[EPI_DGN_ANTIC]],2)</f>
        <v>G</v>
      </c>
      <c r="D112" s="8" t="s">
        <v>292</v>
      </c>
      <c r="E112" s="10">
        <v>0</v>
      </c>
      <c r="F112" s="22"/>
      <c r="G112" s="22"/>
      <c r="H112" s="16">
        <v>110</v>
      </c>
      <c r="I112" s="8" t="s">
        <v>293</v>
      </c>
      <c r="J112" s="10"/>
    </row>
    <row r="113" spans="1:10" hidden="1">
      <c r="A113" s="5">
        <v>111</v>
      </c>
      <c r="B113" t="str">
        <f>LEFT(Table3[[#This Row],[EPI_DGN_ANTIC]],1)</f>
        <v>G</v>
      </c>
      <c r="C113" t="str">
        <f>LEFT(Table3[[#This Row],[EPI_DGN_ANTIC]],2)</f>
        <v>Ga</v>
      </c>
      <c r="D113" s="8" t="s">
        <v>294</v>
      </c>
      <c r="E113" s="10">
        <v>0</v>
      </c>
      <c r="F113" s="22"/>
      <c r="G113" s="22"/>
      <c r="H113" s="16">
        <v>111</v>
      </c>
      <c r="I113" s="8" t="s">
        <v>295</v>
      </c>
      <c r="J113" s="10"/>
    </row>
    <row r="114" spans="1:10" hidden="1">
      <c r="A114" s="5">
        <v>112</v>
      </c>
      <c r="B114" t="str">
        <f>LEFT(Table3[[#This Row],[EPI_DGN_ANTIC]],1)</f>
        <v>G</v>
      </c>
      <c r="C114" t="str">
        <f>LEFT(Table3[[#This Row],[EPI_DGN_ANTIC]],2)</f>
        <v>Gg</v>
      </c>
      <c r="D114" s="8" t="s">
        <v>296</v>
      </c>
      <c r="E114" s="10">
        <v>1</v>
      </c>
      <c r="F114" s="22" t="s">
        <v>297</v>
      </c>
      <c r="G114" s="22"/>
      <c r="H114" s="16">
        <v>112</v>
      </c>
      <c r="I114" s="8" t="s">
        <v>298</v>
      </c>
      <c r="J114" s="10"/>
    </row>
    <row r="115" spans="1:10" hidden="1">
      <c r="A115" s="5">
        <v>113</v>
      </c>
      <c r="B115" t="str">
        <f>LEFT(Table3[[#This Row],[EPI_DGN_ANTIC]],1)</f>
        <v>G</v>
      </c>
      <c r="C115" t="str">
        <f>LEFT(Table3[[#This Row],[EPI_DGN_ANTIC]],2)</f>
        <v>Gg</v>
      </c>
      <c r="D115" s="8" t="s">
        <v>299</v>
      </c>
      <c r="E115" s="10">
        <v>1</v>
      </c>
      <c r="F115" s="22" t="s">
        <v>300</v>
      </c>
      <c r="G115" s="22"/>
      <c r="H115" s="16">
        <v>113</v>
      </c>
      <c r="I115" s="8" t="s">
        <v>245</v>
      </c>
      <c r="J115" s="10"/>
    </row>
    <row r="116" spans="1:10" hidden="1">
      <c r="A116" s="5">
        <v>114</v>
      </c>
      <c r="B116" t="str">
        <f>LEFT(Table3[[#This Row],[EPI_DGN_ANTIC]],1)</f>
        <v>G</v>
      </c>
      <c r="C116" t="str">
        <f>LEFT(Table3[[#This Row],[EPI_DGN_ANTIC]],2)</f>
        <v>Gg</v>
      </c>
      <c r="D116" s="8" t="s">
        <v>301</v>
      </c>
      <c r="E116" s="10">
        <v>1</v>
      </c>
      <c r="F116" s="22" t="s">
        <v>302</v>
      </c>
      <c r="G116" s="22"/>
      <c r="H116" s="16">
        <v>114</v>
      </c>
      <c r="I116" s="8" t="s">
        <v>303</v>
      </c>
      <c r="J116" s="10"/>
    </row>
    <row r="117" spans="1:10" hidden="1">
      <c r="A117" s="5">
        <v>115</v>
      </c>
      <c r="B117" t="str">
        <f>LEFT(Table3[[#This Row],[EPI_DGN_ANTIC]],1)</f>
        <v>G</v>
      </c>
      <c r="C117" t="str">
        <f>LEFT(Table3[[#This Row],[EPI_DGN_ANTIC]],2)</f>
        <v>Gg</v>
      </c>
      <c r="D117" s="8" t="s">
        <v>304</v>
      </c>
      <c r="E117" s="10">
        <v>1</v>
      </c>
      <c r="F117" s="22" t="s">
        <v>300</v>
      </c>
      <c r="G117" s="22"/>
      <c r="H117" s="16">
        <v>115</v>
      </c>
      <c r="I117" s="8" t="s">
        <v>305</v>
      </c>
      <c r="J117" s="10"/>
    </row>
    <row r="118" spans="1:10" hidden="1">
      <c r="A118" s="5">
        <v>116</v>
      </c>
      <c r="B118" t="str">
        <f>LEFT(Table3[[#This Row],[EPI_DGN_ANTIC]],1)</f>
        <v>G</v>
      </c>
      <c r="C118" t="str">
        <f>LEFT(Table3[[#This Row],[EPI_DGN_ANTIC]],2)</f>
        <v>Gg</v>
      </c>
      <c r="D118" s="8" t="s">
        <v>306</v>
      </c>
      <c r="E118" s="10">
        <v>1</v>
      </c>
      <c r="F118" s="22" t="s">
        <v>307</v>
      </c>
      <c r="G118" s="22"/>
      <c r="H118" s="16">
        <v>116</v>
      </c>
      <c r="I118" s="8" t="s">
        <v>308</v>
      </c>
      <c r="J118" s="10"/>
    </row>
    <row r="119" spans="1:10" hidden="1">
      <c r="A119" s="5">
        <v>117</v>
      </c>
      <c r="B119" t="str">
        <f>LEFT(Table3[[#This Row],[EPI_DGN_ANTIC]],1)</f>
        <v>G</v>
      </c>
      <c r="C119" t="str">
        <f>LEFT(Table3[[#This Row],[EPI_DGN_ANTIC]],2)</f>
        <v>Gg</v>
      </c>
      <c r="D119" s="8" t="s">
        <v>309</v>
      </c>
      <c r="E119" s="10">
        <v>1</v>
      </c>
      <c r="F119" s="22" t="s">
        <v>310</v>
      </c>
      <c r="G119" s="22"/>
      <c r="H119" s="16">
        <v>117</v>
      </c>
      <c r="I119" s="8" t="s">
        <v>311</v>
      </c>
      <c r="J119" s="10"/>
    </row>
    <row r="120" spans="1:10" hidden="1">
      <c r="A120" s="5">
        <v>118</v>
      </c>
      <c r="B120" t="str">
        <f>LEFT(Table3[[#This Row],[EPI_DGN_ANTIC]],1)</f>
        <v>G</v>
      </c>
      <c r="C120" t="str">
        <f>LEFT(Table3[[#This Row],[EPI_DGN_ANTIC]],2)</f>
        <v>Gg</v>
      </c>
      <c r="D120" s="8" t="s">
        <v>312</v>
      </c>
      <c r="E120" s="10">
        <v>1</v>
      </c>
      <c r="F120" s="22" t="s">
        <v>297</v>
      </c>
      <c r="G120" s="22"/>
      <c r="H120" s="16">
        <v>118</v>
      </c>
      <c r="I120" s="8" t="s">
        <v>313</v>
      </c>
      <c r="J120" s="10"/>
    </row>
    <row r="121" spans="1:10" hidden="1">
      <c r="A121" s="5">
        <v>119</v>
      </c>
      <c r="B121" t="str">
        <f>LEFT(Table3[[#This Row],[EPI_DGN_ANTIC]],1)</f>
        <v>G</v>
      </c>
      <c r="C121" t="str">
        <f>LEFT(Table3[[#This Row],[EPI_DGN_ANTIC]],2)</f>
        <v>Gg</v>
      </c>
      <c r="D121" s="8" t="s">
        <v>314</v>
      </c>
      <c r="E121" s="10">
        <v>1</v>
      </c>
      <c r="F121" s="22" t="s">
        <v>315</v>
      </c>
      <c r="G121" s="22"/>
      <c r="H121" s="16">
        <v>119</v>
      </c>
      <c r="I121" s="8" t="s">
        <v>316</v>
      </c>
      <c r="J121" s="10"/>
    </row>
    <row r="122" spans="1:10" hidden="1">
      <c r="A122" s="5">
        <v>120</v>
      </c>
      <c r="B122" t="str">
        <f>LEFT(Table3[[#This Row],[EPI_DGN_ANTIC]],1)</f>
        <v>G</v>
      </c>
      <c r="C122" t="str">
        <f>LEFT(Table3[[#This Row],[EPI_DGN_ANTIC]],2)</f>
        <v>Gg</v>
      </c>
      <c r="D122" s="8" t="s">
        <v>317</v>
      </c>
      <c r="E122" s="10">
        <v>1</v>
      </c>
      <c r="F122" s="22" t="s">
        <v>297</v>
      </c>
      <c r="G122" s="22"/>
      <c r="H122" s="16">
        <v>120</v>
      </c>
      <c r="I122" s="8" t="s">
        <v>318</v>
      </c>
      <c r="J122" s="10"/>
    </row>
    <row r="123" spans="1:10" hidden="1">
      <c r="A123" s="5">
        <v>121</v>
      </c>
      <c r="B123" t="str">
        <f>LEFT(Table3[[#This Row],[EPI_DGN_ANTIC]],1)</f>
        <v>G</v>
      </c>
      <c r="C123" t="str">
        <f>LEFT(Table3[[#This Row],[EPI_DGN_ANTIC]],2)</f>
        <v>Gp</v>
      </c>
      <c r="D123" s="8" t="s">
        <v>319</v>
      </c>
      <c r="E123" s="10">
        <v>0</v>
      </c>
      <c r="F123" s="22"/>
      <c r="G123" s="22"/>
      <c r="H123" s="16">
        <v>121</v>
      </c>
      <c r="I123" s="8" t="s">
        <v>320</v>
      </c>
      <c r="J123" s="10"/>
    </row>
    <row r="124" spans="1:10" hidden="1">
      <c r="A124" s="5">
        <v>122</v>
      </c>
      <c r="B124" t="str">
        <f>LEFT(Table3[[#This Row],[EPI_DGN_ANTIC]],1)</f>
        <v>G</v>
      </c>
      <c r="C124" t="str">
        <f>LEFT(Table3[[#This Row],[EPI_DGN_ANTIC]],2)</f>
        <v>Gl</v>
      </c>
      <c r="D124" s="8" t="s">
        <v>321</v>
      </c>
      <c r="E124" s="10">
        <v>1</v>
      </c>
      <c r="F124" s="22" t="s">
        <v>322</v>
      </c>
      <c r="G124" t="s">
        <v>90</v>
      </c>
      <c r="H124" s="16">
        <v>122</v>
      </c>
      <c r="I124" s="8" t="s">
        <v>323</v>
      </c>
      <c r="J124" s="10"/>
    </row>
    <row r="125" spans="1:10" hidden="1">
      <c r="A125" s="5">
        <v>123</v>
      </c>
      <c r="B125" t="str">
        <f>LEFT(Table3[[#This Row],[EPI_DGN_ANTIC]],1)</f>
        <v>G</v>
      </c>
      <c r="C125" t="str">
        <f>LEFT(Table3[[#This Row],[EPI_DGN_ANTIC]],2)</f>
        <v>Gm</v>
      </c>
      <c r="D125" s="8" t="s">
        <v>324</v>
      </c>
      <c r="E125" s="10">
        <v>1</v>
      </c>
      <c r="F125" s="22" t="s">
        <v>307</v>
      </c>
      <c r="G125" t="s">
        <v>90</v>
      </c>
      <c r="H125" s="16">
        <v>123</v>
      </c>
      <c r="I125" s="8" t="s">
        <v>325</v>
      </c>
      <c r="J125" s="10"/>
    </row>
    <row r="126" spans="1:10" hidden="1">
      <c r="A126" s="5">
        <v>124</v>
      </c>
      <c r="B126" t="str">
        <f>LEFT(Table3[[#This Row],[EPI_DGN_ANTIC]],1)</f>
        <v>G</v>
      </c>
      <c r="C126" t="str">
        <f>LEFT(Table3[[#This Row],[EPI_DGN_ANTIC]],2)</f>
        <v>Gp</v>
      </c>
      <c r="D126" s="8" t="s">
        <v>326</v>
      </c>
      <c r="E126" s="10">
        <v>1</v>
      </c>
      <c r="F126" s="22" t="s">
        <v>327</v>
      </c>
      <c r="G126" t="s">
        <v>90</v>
      </c>
      <c r="H126" s="16">
        <v>124</v>
      </c>
      <c r="I126" s="8" t="s">
        <v>328</v>
      </c>
      <c r="J126" s="10"/>
    </row>
    <row r="127" spans="1:10" hidden="1">
      <c r="A127" s="5">
        <v>125</v>
      </c>
      <c r="B127" t="str">
        <f>LEFT(Table3[[#This Row],[EPI_DGN_ANTIC]],1)</f>
        <v>G</v>
      </c>
      <c r="C127" t="str">
        <f>LEFT(Table3[[#This Row],[EPI_DGN_ANTIC]],2)</f>
        <v>Gp</v>
      </c>
      <c r="D127" s="8" t="s">
        <v>329</v>
      </c>
      <c r="E127" s="10">
        <v>1</v>
      </c>
      <c r="F127" s="22" t="s">
        <v>330</v>
      </c>
      <c r="G127" t="s">
        <v>90</v>
      </c>
      <c r="H127" s="16">
        <v>125</v>
      </c>
      <c r="I127" s="8" t="s">
        <v>331</v>
      </c>
      <c r="J127" s="10"/>
    </row>
    <row r="128" spans="1:10" hidden="1">
      <c r="A128" s="5">
        <v>126</v>
      </c>
      <c r="B128" t="str">
        <f>LEFT(Table3[[#This Row],[EPI_DGN_ANTIC]],1)</f>
        <v>G</v>
      </c>
      <c r="C128" t="str">
        <f>LEFT(Table3[[#This Row],[EPI_DGN_ANTIC]],2)</f>
        <v>Gp</v>
      </c>
      <c r="D128" s="8" t="s">
        <v>332</v>
      </c>
      <c r="E128" s="10">
        <v>1</v>
      </c>
      <c r="F128" s="22" t="s">
        <v>333</v>
      </c>
      <c r="G128" t="s">
        <v>90</v>
      </c>
      <c r="H128" s="16">
        <v>126</v>
      </c>
      <c r="I128" s="8" t="s">
        <v>334</v>
      </c>
      <c r="J128" s="10"/>
    </row>
    <row r="129" spans="1:10" hidden="1">
      <c r="A129" s="5">
        <v>127</v>
      </c>
      <c r="B129" t="str">
        <f>LEFT(Table3[[#This Row],[EPI_DGN_ANTIC]],1)</f>
        <v>G</v>
      </c>
      <c r="C129" t="str">
        <f>LEFT(Table3[[#This Row],[EPI_DGN_ANTIC]],2)</f>
        <v>Gp</v>
      </c>
      <c r="D129" s="8" t="s">
        <v>335</v>
      </c>
      <c r="E129" s="10">
        <v>1</v>
      </c>
      <c r="F129" s="22" t="s">
        <v>336</v>
      </c>
      <c r="G129" t="s">
        <v>90</v>
      </c>
      <c r="H129" s="16">
        <v>127</v>
      </c>
      <c r="I129" s="8" t="s">
        <v>313</v>
      </c>
      <c r="J129" s="10"/>
    </row>
    <row r="130" spans="1:10" hidden="1">
      <c r="A130" s="5">
        <v>128</v>
      </c>
      <c r="B130" t="str">
        <f>LEFT(Table3[[#This Row],[EPI_DGN_ANTIC]],1)</f>
        <v>G</v>
      </c>
      <c r="C130" t="str">
        <f>LEFT(Table3[[#This Row],[EPI_DGN_ANTIC]],2)</f>
        <v>Gp</v>
      </c>
      <c r="D130" s="8" t="s">
        <v>337</v>
      </c>
      <c r="E130" s="10">
        <v>1</v>
      </c>
      <c r="F130" s="22" t="s">
        <v>338</v>
      </c>
      <c r="G130" t="s">
        <v>90</v>
      </c>
      <c r="H130" s="16">
        <v>128</v>
      </c>
      <c r="I130" s="8" t="s">
        <v>339</v>
      </c>
      <c r="J130" s="10"/>
    </row>
    <row r="131" spans="1:10" hidden="1">
      <c r="A131" s="5">
        <v>129</v>
      </c>
      <c r="B131" t="str">
        <f>LEFT(Table3[[#This Row],[EPI_DGN_ANTIC]],1)</f>
        <v>L</v>
      </c>
      <c r="C131" t="str">
        <f>LEFT(Table3[[#This Row],[EPI_DGN_ANTIC]],2)</f>
        <v>L</v>
      </c>
      <c r="D131" s="8" t="s">
        <v>340</v>
      </c>
      <c r="E131" s="10">
        <v>0</v>
      </c>
      <c r="F131" s="22"/>
      <c r="G131" s="22"/>
      <c r="H131" s="16">
        <v>129</v>
      </c>
      <c r="I131" s="8" t="s">
        <v>341</v>
      </c>
      <c r="J131" s="10"/>
    </row>
    <row r="132" spans="1:10" hidden="1">
      <c r="A132" s="5">
        <v>130</v>
      </c>
      <c r="B132" t="str">
        <f>LEFT(Table3[[#This Row],[EPI_DGN_ANTIC]],1)</f>
        <v>G</v>
      </c>
      <c r="C132" t="str">
        <f>LEFT(Table3[[#This Row],[EPI_DGN_ANTIC]],2)</f>
        <v>Gn</v>
      </c>
      <c r="D132" s="8" t="s">
        <v>342</v>
      </c>
      <c r="E132" s="10">
        <v>0</v>
      </c>
      <c r="F132" s="22"/>
      <c r="G132" s="22"/>
      <c r="H132" s="16">
        <v>130</v>
      </c>
      <c r="I132" s="8" t="s">
        <v>343</v>
      </c>
      <c r="J132" s="10"/>
    </row>
    <row r="133" spans="1:10" hidden="1">
      <c r="A133" s="5">
        <v>131</v>
      </c>
      <c r="B133" t="str">
        <f>LEFT(Table3[[#This Row],[EPI_DGN_ANTIC]],1)</f>
        <v>G</v>
      </c>
      <c r="C133" t="str">
        <f>LEFT(Table3[[#This Row],[EPI_DGN_ANTIC]],2)</f>
        <v>Gn</v>
      </c>
      <c r="D133" s="8" t="s">
        <v>344</v>
      </c>
      <c r="E133" s="10">
        <v>1</v>
      </c>
      <c r="F133" s="22" t="s">
        <v>345</v>
      </c>
      <c r="G133" s="22"/>
      <c r="H133" s="16">
        <v>131</v>
      </c>
      <c r="I133" s="8" t="s">
        <v>346</v>
      </c>
      <c r="J133" s="10"/>
    </row>
    <row r="134" spans="1:10" hidden="1">
      <c r="A134" s="5">
        <v>132</v>
      </c>
      <c r="B134" t="str">
        <f>LEFT(Table3[[#This Row],[EPI_DGN_ANTIC]],1)</f>
        <v>G</v>
      </c>
      <c r="C134" t="str">
        <f>LEFT(Table3[[#This Row],[EPI_DGN_ANTIC]],2)</f>
        <v>Gn</v>
      </c>
      <c r="D134" s="8" t="s">
        <v>347</v>
      </c>
      <c r="E134" s="10">
        <v>1</v>
      </c>
      <c r="F134" s="22" t="s">
        <v>348</v>
      </c>
      <c r="G134" s="22"/>
      <c r="H134" s="16">
        <v>132</v>
      </c>
      <c r="I134" s="8" t="s">
        <v>349</v>
      </c>
      <c r="J134" s="10"/>
    </row>
    <row r="135" spans="1:10" hidden="1">
      <c r="A135" s="5">
        <v>133</v>
      </c>
      <c r="B135" t="str">
        <f>LEFT(Table3[[#This Row],[EPI_DGN_ANTIC]],1)</f>
        <v>Z</v>
      </c>
      <c r="C135" t="str">
        <f>LEFT(Table3[[#This Row],[EPI_DGN_ANTIC]],3)</f>
        <v>Z</v>
      </c>
      <c r="D135" s="8" t="s">
        <v>350</v>
      </c>
      <c r="E135" s="10">
        <v>0</v>
      </c>
      <c r="F135" s="22"/>
      <c r="G135" s="22"/>
      <c r="H135" s="16">
        <v>133</v>
      </c>
      <c r="I135" s="8" t="s">
        <v>351</v>
      </c>
      <c r="J135" s="10"/>
    </row>
    <row r="136" spans="1:10" hidden="1">
      <c r="A136" s="5">
        <v>134</v>
      </c>
      <c r="B136" t="str">
        <f>LEFT(Table3[[#This Row],[EPI_DGN_ANTIC]],1)</f>
        <v>Z</v>
      </c>
      <c r="C136" t="str">
        <f>LEFT(Table3[[#This Row],[EPI_DGN_ANTIC]],3)</f>
        <v>ZO</v>
      </c>
      <c r="D136" s="8" t="s">
        <v>352</v>
      </c>
      <c r="E136" s="10">
        <v>0</v>
      </c>
      <c r="F136" s="22"/>
      <c r="G136" s="22"/>
      <c r="H136" s="16">
        <v>134</v>
      </c>
      <c r="I136" s="8" t="s">
        <v>353</v>
      </c>
      <c r="J136" s="10"/>
    </row>
    <row r="137" spans="1:10" hidden="1">
      <c r="A137" s="5">
        <v>135</v>
      </c>
      <c r="B137" t="str">
        <f>LEFT(Table3[[#This Row],[EPI_DGN_ANTIC]],1)</f>
        <v>Z</v>
      </c>
      <c r="C137" t="str">
        <f>LEFT(Table3[[#This Row],[EPI_DGN_ANTIC]],3)</f>
        <v>ZOc</v>
      </c>
      <c r="D137" s="8" t="s">
        <v>354</v>
      </c>
      <c r="E137" s="10">
        <v>0</v>
      </c>
      <c r="F137" s="22"/>
      <c r="G137" s="22"/>
      <c r="H137" s="16">
        <v>135</v>
      </c>
      <c r="I137" s="8" t="s">
        <v>355</v>
      </c>
      <c r="J137" s="10"/>
    </row>
    <row r="138" spans="1:10" hidden="1">
      <c r="A138" s="5">
        <v>136</v>
      </c>
      <c r="B138" t="str">
        <f>LEFT(Table3[[#This Row],[EPI_DGN_ANTIC]],1)</f>
        <v>Z</v>
      </c>
      <c r="C138" t="str">
        <f>LEFT(Table3[[#This Row],[EPI_DGN_ANTIC]],3)</f>
        <v>ZOc</v>
      </c>
      <c r="D138" s="8" t="s">
        <v>356</v>
      </c>
      <c r="E138" s="10">
        <v>1</v>
      </c>
      <c r="F138" s="22" t="s">
        <v>357</v>
      </c>
      <c r="G138" s="22"/>
      <c r="H138" s="16">
        <v>136</v>
      </c>
      <c r="I138" s="8" t="s">
        <v>358</v>
      </c>
      <c r="J138" s="10"/>
    </row>
    <row r="139" spans="1:10" hidden="1">
      <c r="A139" s="5">
        <v>137</v>
      </c>
      <c r="B139" t="str">
        <f>LEFT(Table3[[#This Row],[EPI_DGN_ANTIC]],1)</f>
        <v>Z</v>
      </c>
      <c r="C139" t="str">
        <f>LEFT(Table3[[#This Row],[EPI_DGN_ANTIC]],3)</f>
        <v>ZOd</v>
      </c>
      <c r="D139" s="8" t="s">
        <v>359</v>
      </c>
      <c r="E139" s="10">
        <v>1</v>
      </c>
      <c r="F139" s="22" t="s">
        <v>360</v>
      </c>
      <c r="G139" s="22"/>
      <c r="H139" s="16">
        <v>137</v>
      </c>
      <c r="I139" s="8" t="s">
        <v>361</v>
      </c>
      <c r="J139" s="10"/>
    </row>
    <row r="140" spans="1:10" hidden="1">
      <c r="A140" s="5">
        <v>138</v>
      </c>
      <c r="B140" t="str">
        <f>LEFT(Table3[[#This Row],[EPI_DGN_ANTIC]],1)</f>
        <v>Z</v>
      </c>
      <c r="C140" t="str">
        <f>LEFT(Table3[[#This Row],[EPI_DGN_ANTIC]],3)</f>
        <v>ZOg</v>
      </c>
      <c r="D140" s="8" t="s">
        <v>362</v>
      </c>
      <c r="E140" s="10">
        <v>1</v>
      </c>
      <c r="F140" s="22" t="s">
        <v>363</v>
      </c>
      <c r="G140" s="22"/>
      <c r="H140" s="16">
        <v>138</v>
      </c>
      <c r="I140" s="8" t="s">
        <v>364</v>
      </c>
      <c r="J140" s="10"/>
    </row>
    <row r="141" spans="1:10" hidden="1">
      <c r="A141" s="5">
        <v>139</v>
      </c>
      <c r="B141" t="str">
        <f>LEFT(Table3[[#This Row],[EPI_DGN_ANTIC]],1)</f>
        <v>Z</v>
      </c>
      <c r="C141" t="str">
        <f>LEFT(Table3[[#This Row],[EPI_DGN_ANTIC]],3)</f>
        <v>ZOg</v>
      </c>
      <c r="D141" s="8" t="s">
        <v>365</v>
      </c>
      <c r="E141" s="10">
        <v>1</v>
      </c>
      <c r="F141" s="22" t="s">
        <v>366</v>
      </c>
      <c r="G141" s="22"/>
      <c r="H141" s="16">
        <v>139</v>
      </c>
      <c r="I141" s="8" t="s">
        <v>367</v>
      </c>
      <c r="J141" s="10"/>
    </row>
    <row r="142" spans="1:10" hidden="1">
      <c r="A142" s="5">
        <v>140</v>
      </c>
      <c r="B142" t="str">
        <f>LEFT(Table3[[#This Row],[EPI_DGN_ANTIC]],1)</f>
        <v>Z</v>
      </c>
      <c r="C142" t="str">
        <f>LEFT(Table3[[#This Row],[EPI_DGN_ANTIC]],3)</f>
        <v>Zdc</v>
      </c>
      <c r="D142" s="8" t="s">
        <v>368</v>
      </c>
      <c r="E142" s="10">
        <v>1</v>
      </c>
      <c r="F142" s="22" t="s">
        <v>369</v>
      </c>
      <c r="G142" s="22"/>
      <c r="H142" s="16">
        <v>140</v>
      </c>
      <c r="I142" s="8" t="s">
        <v>370</v>
      </c>
      <c r="J142" s="10"/>
    </row>
    <row r="143" spans="1:10" hidden="1">
      <c r="A143" s="5">
        <v>141</v>
      </c>
      <c r="B143" t="str">
        <f>LEFT(Table3[[#This Row],[EPI_DGN_ANTIC]],1)</f>
        <v>Z</v>
      </c>
      <c r="C143" t="str">
        <f>LEFT(Table3[[#This Row],[EPI_DGN_ANTIC]],3)</f>
        <v>Zcb</v>
      </c>
      <c r="D143" s="8" t="s">
        <v>371</v>
      </c>
      <c r="E143" s="10">
        <v>1</v>
      </c>
      <c r="F143" s="22" t="s">
        <v>372</v>
      </c>
      <c r="G143" s="22"/>
      <c r="H143" s="16">
        <v>141</v>
      </c>
      <c r="I143" s="8" t="s">
        <v>373</v>
      </c>
      <c r="J143" s="10"/>
    </row>
    <row r="144" spans="1:10" hidden="1">
      <c r="A144" s="5">
        <v>142</v>
      </c>
      <c r="B144" t="str">
        <f>LEFT(Table3[[#This Row],[EPI_DGN_ANTIC]],1)</f>
        <v>Z</v>
      </c>
      <c r="C144" t="str">
        <f>LEFT(Table3[[#This Row],[EPI_DGN_ANTIC]],3)</f>
        <v>Zgl</v>
      </c>
      <c r="D144" s="8" t="s">
        <v>374</v>
      </c>
      <c r="E144" s="10">
        <v>1</v>
      </c>
      <c r="F144" s="22" t="s">
        <v>375</v>
      </c>
      <c r="G144" s="22"/>
      <c r="H144" s="16">
        <v>142</v>
      </c>
      <c r="I144" s="8" t="s">
        <v>376</v>
      </c>
      <c r="J144" s="10"/>
    </row>
    <row r="145" spans="1:10" hidden="1">
      <c r="A145" s="5">
        <v>143</v>
      </c>
      <c r="B145" t="str">
        <f>LEFT(Table3[[#This Row],[EPI_DGN_ANTIC]],1)</f>
        <v>Z</v>
      </c>
      <c r="C145" t="str">
        <f>LEFT(Table3[[#This Row],[EPI_DGN_ANTIC]],3)</f>
        <v>Z</v>
      </c>
      <c r="D145" s="8" t="s">
        <v>350</v>
      </c>
      <c r="E145" s="10">
        <v>0</v>
      </c>
      <c r="F145" s="22"/>
      <c r="G145" s="22"/>
      <c r="H145" s="16">
        <v>143</v>
      </c>
      <c r="I145" s="8" t="s">
        <v>377</v>
      </c>
      <c r="J145" s="10"/>
    </row>
    <row r="146" spans="1:10" hidden="1">
      <c r="A146" s="5">
        <v>144</v>
      </c>
      <c r="B146" t="str">
        <f>LEFT(Table3[[#This Row],[EPI_DGN_ANTIC]],1)</f>
        <v>D</v>
      </c>
      <c r="C146" t="str">
        <f>LEFT(Table3[[#This Row],[EPI_DGN_ANTIC]],2)</f>
        <v>D</v>
      </c>
      <c r="D146" s="8" t="s">
        <v>378</v>
      </c>
      <c r="E146" s="10">
        <v>0</v>
      </c>
      <c r="F146" s="22"/>
      <c r="G146" s="22"/>
      <c r="H146" s="16">
        <v>144</v>
      </c>
      <c r="I146" s="8" t="s">
        <v>379</v>
      </c>
      <c r="J146" s="10"/>
    </row>
    <row r="147" spans="1:10" hidden="1">
      <c r="A147" s="5">
        <v>145</v>
      </c>
      <c r="B147" t="str">
        <f>LEFT(Table3[[#This Row],[EPI_DGN_ANTIC]],1)</f>
        <v>D</v>
      </c>
      <c r="C147" t="str">
        <f>LEFT(Table3[[#This Row],[EPI_DGN_ANTIC]],2)</f>
        <v>D</v>
      </c>
      <c r="D147" s="8" t="s">
        <v>378</v>
      </c>
      <c r="E147" s="10">
        <v>0</v>
      </c>
      <c r="F147" s="22"/>
      <c r="G147" s="22"/>
      <c r="H147" s="16">
        <v>145</v>
      </c>
      <c r="I147" s="8" t="s">
        <v>380</v>
      </c>
      <c r="J147" s="10"/>
    </row>
    <row r="148" spans="1:10" hidden="1">
      <c r="A148" s="5">
        <v>146</v>
      </c>
      <c r="B148" t="str">
        <f>LEFT(Table3[[#This Row],[EPI_DGN_ANTIC]],1)</f>
        <v>C</v>
      </c>
      <c r="C148" t="str">
        <f>LEFT(Table3[[#This Row],[EPI_DGN_ANTIC]],2)</f>
        <v>CK</v>
      </c>
      <c r="D148" s="8" t="s">
        <v>381</v>
      </c>
      <c r="E148" s="10">
        <v>0</v>
      </c>
      <c r="F148" s="22"/>
      <c r="G148" s="22"/>
      <c r="H148" s="16">
        <v>146</v>
      </c>
      <c r="I148" s="8" t="s">
        <v>382</v>
      </c>
      <c r="J148" s="10"/>
    </row>
    <row r="149" spans="1:10" hidden="1">
      <c r="A149" s="5">
        <v>147</v>
      </c>
      <c r="B149" t="str">
        <f>LEFT(Table3[[#This Row],[EPI_DGN_ANTIC]],1)</f>
        <v>C</v>
      </c>
      <c r="C149" t="str">
        <f>LEFT(Table3[[#This Row],[EPI_DGN_ANTIC]],2)</f>
        <v>Cb</v>
      </c>
      <c r="D149" s="8" t="s">
        <v>383</v>
      </c>
      <c r="E149" s="10">
        <v>1</v>
      </c>
      <c r="F149" s="22" t="s">
        <v>384</v>
      </c>
      <c r="G149" s="22"/>
      <c r="H149" s="16">
        <v>147</v>
      </c>
      <c r="I149" s="8" t="s">
        <v>385</v>
      </c>
      <c r="J149" s="10"/>
    </row>
    <row r="150" spans="1:10" hidden="1">
      <c r="A150" s="5">
        <v>148</v>
      </c>
      <c r="B150" t="str">
        <f>LEFT(Table3[[#This Row],[EPI_DGN_ANTIC]],1)</f>
        <v>C</v>
      </c>
      <c r="C150" t="str">
        <f>LEFT(Table3[[#This Row],[EPI_DGN_ANTIC]],2)</f>
        <v>CB</v>
      </c>
      <c r="D150" s="8" t="s">
        <v>386</v>
      </c>
      <c r="E150" s="10">
        <v>1</v>
      </c>
      <c r="F150" s="22" t="s">
        <v>387</v>
      </c>
      <c r="G150" s="22"/>
      <c r="H150" s="16">
        <v>148</v>
      </c>
      <c r="I150" s="8" t="s">
        <v>388</v>
      </c>
      <c r="J150" s="10"/>
    </row>
    <row r="151" spans="1:10" hidden="1">
      <c r="A151" s="5">
        <v>149</v>
      </c>
      <c r="B151" t="str">
        <f>LEFT(Table3[[#This Row],[EPI_DGN_ANTIC]],1)</f>
        <v>C</v>
      </c>
      <c r="C151" t="str">
        <f>LEFT(Table3[[#This Row],[EPI_DGN_ANTIC]],2)</f>
        <v>CB</v>
      </c>
      <c r="D151" s="8" t="s">
        <v>389</v>
      </c>
      <c r="E151" s="10">
        <v>1</v>
      </c>
      <c r="F151" s="22" t="s">
        <v>390</v>
      </c>
      <c r="G151" s="22"/>
      <c r="H151" s="16">
        <v>149</v>
      </c>
      <c r="I151" s="8" t="s">
        <v>391</v>
      </c>
      <c r="J151" s="10"/>
    </row>
    <row r="152" spans="1:10" hidden="1">
      <c r="A152" s="5">
        <v>150</v>
      </c>
      <c r="B152" t="str">
        <f>LEFT(Table3[[#This Row],[EPI_DGN_ANTIC]],1)</f>
        <v>C</v>
      </c>
      <c r="C152" t="str">
        <f>LEFT(Table3[[#This Row],[EPI_DGN_ANTIC]],2)</f>
        <v>CA</v>
      </c>
      <c r="D152" s="8" t="s">
        <v>392</v>
      </c>
      <c r="E152" s="10">
        <v>1</v>
      </c>
      <c r="F152" s="22" t="s">
        <v>393</v>
      </c>
      <c r="G152" s="22"/>
      <c r="H152" s="16">
        <v>150</v>
      </c>
      <c r="I152" s="8" t="s">
        <v>394</v>
      </c>
      <c r="J152" s="10"/>
    </row>
    <row r="153" spans="1:10" hidden="1">
      <c r="A153" s="5">
        <v>151</v>
      </c>
      <c r="B153" t="str">
        <f>LEFT(Table3[[#This Row],[EPI_DGN_ANTIC]],1)</f>
        <v>C</v>
      </c>
      <c r="C153" t="str">
        <f>LEFT(Table3[[#This Row],[EPI_DGN_ANTIC]],2)</f>
        <v>CA</v>
      </c>
      <c r="D153" s="8" t="s">
        <v>395</v>
      </c>
      <c r="E153" s="10">
        <v>1</v>
      </c>
      <c r="F153" s="22" t="s">
        <v>396</v>
      </c>
      <c r="G153" s="22"/>
      <c r="H153" s="16">
        <v>151</v>
      </c>
      <c r="I153" s="8" t="s">
        <v>397</v>
      </c>
      <c r="J153" s="10"/>
    </row>
    <row r="154" spans="1:10" hidden="1">
      <c r="A154" s="5">
        <v>152</v>
      </c>
      <c r="B154" t="str">
        <f>LEFT(Table3[[#This Row],[EPI_DGN_ANTIC]],1)</f>
        <v>C</v>
      </c>
      <c r="C154" t="str">
        <f>LEFT(Table3[[#This Row],[EPI_DGN_ANTIC]],3)</f>
        <v>CAp</v>
      </c>
      <c r="D154" s="8" t="s">
        <v>398</v>
      </c>
      <c r="E154" s="10">
        <v>1</v>
      </c>
      <c r="F154" s="22" t="s">
        <v>399</v>
      </c>
      <c r="G154" s="22"/>
      <c r="H154" s="16">
        <v>152</v>
      </c>
      <c r="I154" s="8" t="s">
        <v>400</v>
      </c>
      <c r="J154" s="10"/>
    </row>
    <row r="155" spans="1:10" hidden="1">
      <c r="A155" s="5">
        <v>153</v>
      </c>
      <c r="B155" t="str">
        <f>LEFT(Table3[[#This Row],[EPI_DGN_ANTIC]],1)</f>
        <v>C</v>
      </c>
      <c r="C155" t="str">
        <f>LEFT(Table3[[#This Row],[EPI_DGN_ANTIC]],3)</f>
        <v>CAp</v>
      </c>
      <c r="D155" s="8" t="s">
        <v>401</v>
      </c>
      <c r="E155" s="10">
        <v>1</v>
      </c>
      <c r="F155" s="22" t="s">
        <v>402</v>
      </c>
      <c r="G155" s="22"/>
      <c r="H155" s="16">
        <v>153</v>
      </c>
      <c r="I155" s="8" t="s">
        <v>394</v>
      </c>
      <c r="J155" s="10"/>
    </row>
    <row r="156" spans="1:10" hidden="1">
      <c r="A156" s="5">
        <v>154</v>
      </c>
      <c r="B156" t="str">
        <f>LEFT(Table3[[#This Row],[EPI_DGN_ANTIC]],1)</f>
        <v>C</v>
      </c>
      <c r="C156" t="str">
        <f>LEFT(Table3[[#This Row],[EPI_DGN_ANTIC]],3)</f>
        <v>CAc</v>
      </c>
      <c r="D156" s="8" t="s">
        <v>403</v>
      </c>
      <c r="E156" s="10">
        <v>1</v>
      </c>
      <c r="F156" s="22" t="s">
        <v>396</v>
      </c>
      <c r="G156" s="22"/>
      <c r="H156" s="16">
        <v>154</v>
      </c>
      <c r="I156" s="8" t="s">
        <v>404</v>
      </c>
      <c r="J156" s="10"/>
    </row>
    <row r="157" spans="1:10" hidden="1">
      <c r="A157" s="5">
        <v>155</v>
      </c>
      <c r="B157" t="str">
        <f>LEFT(Table3[[#This Row],[EPI_DGN_ANTIC]],1)</f>
        <v>C</v>
      </c>
      <c r="C157" t="str">
        <f>LEFT(Table3[[#This Row],[EPI_DGN_ANTIC]],3)</f>
        <v>CAm</v>
      </c>
      <c r="D157" s="8" t="s">
        <v>405</v>
      </c>
      <c r="E157" s="10">
        <v>1</v>
      </c>
      <c r="F157" s="22" t="s">
        <v>406</v>
      </c>
      <c r="G157" s="22"/>
      <c r="H157" s="16">
        <v>155</v>
      </c>
      <c r="I157" s="8" t="s">
        <v>407</v>
      </c>
      <c r="J157" s="10"/>
    </row>
    <row r="158" spans="1:10" hidden="1">
      <c r="A158" s="5">
        <v>156</v>
      </c>
      <c r="B158" t="str">
        <f>LEFT(Table3[[#This Row],[EPI_DGN_ANTIC]],1)</f>
        <v>C</v>
      </c>
      <c r="C158" t="str">
        <f>LEFT(Table3[[#This Row],[EPI_DGN_ANTIC]],3)</f>
        <v>CAm</v>
      </c>
      <c r="D158" s="8" t="s">
        <v>408</v>
      </c>
      <c r="E158" s="10">
        <v>1</v>
      </c>
      <c r="F158" s="22" t="s">
        <v>409</v>
      </c>
      <c r="G158" s="22"/>
      <c r="H158" s="16">
        <v>156</v>
      </c>
      <c r="I158" s="8" t="s">
        <v>410</v>
      </c>
      <c r="J158" s="10"/>
    </row>
    <row r="159" spans="1:10" hidden="1">
      <c r="A159" s="5">
        <v>157</v>
      </c>
      <c r="B159" t="str">
        <f>LEFT(Table3[[#This Row],[EPI_DGN_ANTIC]],1)</f>
        <v>C</v>
      </c>
      <c r="C159" t="str">
        <f>LEFT(Table3[[#This Row],[EPI_DGN_ANTIC]],3)</f>
        <v>CAm</v>
      </c>
      <c r="D159" s="8" t="s">
        <v>411</v>
      </c>
      <c r="E159" s="10">
        <v>1</v>
      </c>
      <c r="F159" s="22" t="s">
        <v>412</v>
      </c>
      <c r="G159" s="22"/>
      <c r="H159" s="16">
        <v>157</v>
      </c>
      <c r="I159" s="8" t="s">
        <v>168</v>
      </c>
      <c r="J159" s="10"/>
    </row>
    <row r="160" spans="1:10" hidden="1">
      <c r="A160" s="5">
        <v>158</v>
      </c>
      <c r="B160" t="str">
        <f>LEFT(Table3[[#This Row],[EPI_DGN_ANTIC]],1)</f>
        <v>E</v>
      </c>
      <c r="C160" t="str">
        <f>LEFT(Table3[[#This Row],[EPI_DGN_ANTIC]],3)</f>
        <v>EBl</v>
      </c>
      <c r="D160" s="8" t="s">
        <v>413</v>
      </c>
      <c r="E160" s="10">
        <v>1</v>
      </c>
      <c r="F160" s="22" t="s">
        <v>414</v>
      </c>
      <c r="G160" s="22"/>
      <c r="H160" s="16">
        <v>158</v>
      </c>
      <c r="I160" s="8" t="s">
        <v>171</v>
      </c>
      <c r="J160" s="10"/>
    </row>
    <row r="161" spans="1:10" hidden="1">
      <c r="A161" s="5">
        <v>159</v>
      </c>
      <c r="B161" t="str">
        <f>LEFT(Table3[[#This Row],[EPI_DGN_ANTIC]],1)</f>
        <v>E</v>
      </c>
      <c r="C161" t="str">
        <f>LEFT(Table3[[#This Row],[EPI_DGN_ANTIC]],3)</f>
        <v>EBc</v>
      </c>
      <c r="D161" s="8" t="s">
        <v>415</v>
      </c>
      <c r="E161" s="10">
        <v>1</v>
      </c>
      <c r="F161" s="22" t="s">
        <v>416</v>
      </c>
      <c r="G161" s="22"/>
      <c r="H161" s="16">
        <v>159</v>
      </c>
      <c r="I161" s="8" t="s">
        <v>168</v>
      </c>
      <c r="J161" s="10"/>
    </row>
    <row r="162" spans="1:10" hidden="1">
      <c r="A162" s="5">
        <v>160</v>
      </c>
      <c r="B162" t="str">
        <f>LEFT(Table3[[#This Row],[EPI_DGN_ANTIC]],1)</f>
        <v>E</v>
      </c>
      <c r="C162" t="str">
        <f>LEFT(Table3[[#This Row],[EPI_DGN_ANTIC]],3)</f>
        <v>EBc</v>
      </c>
      <c r="D162" s="8" t="s">
        <v>417</v>
      </c>
      <c r="E162" s="10">
        <v>1</v>
      </c>
      <c r="F162" s="22" t="s">
        <v>418</v>
      </c>
      <c r="G162" s="22"/>
      <c r="H162" s="16">
        <v>160</v>
      </c>
      <c r="I162" s="8" t="s">
        <v>176</v>
      </c>
      <c r="J162" s="10"/>
    </row>
    <row r="163" spans="1:10" hidden="1">
      <c r="A163" s="5">
        <v>161</v>
      </c>
      <c r="B163" t="str">
        <f>LEFT(Table3[[#This Row],[EPI_DGN_ANTIC]],1)</f>
        <v>E</v>
      </c>
      <c r="C163" t="str">
        <f>LEFT(Table3[[#This Row],[EPI_DGN_ANTIC]],3)</f>
        <v>EBP</v>
      </c>
      <c r="D163" s="8" t="s">
        <v>419</v>
      </c>
      <c r="E163" s="10">
        <v>1</v>
      </c>
      <c r="F163" s="23" t="s">
        <v>420</v>
      </c>
      <c r="G163" s="22"/>
      <c r="H163" s="16">
        <v>161</v>
      </c>
      <c r="I163" s="8" t="s">
        <v>179</v>
      </c>
      <c r="J163" s="10"/>
    </row>
    <row r="164" spans="1:10" hidden="1">
      <c r="A164" s="5">
        <v>162</v>
      </c>
      <c r="B164" t="str">
        <f>LEFT(Table3[[#This Row],[EPI_DGN_ANTIC]],1)</f>
        <v>E</v>
      </c>
      <c r="C164" t="str">
        <f>LEFT(Table3[[#This Row],[EPI_DGN_ANTIC]],3)</f>
        <v>EBP</v>
      </c>
      <c r="D164" s="8" t="s">
        <v>421</v>
      </c>
      <c r="E164" s="10">
        <v>1</v>
      </c>
      <c r="F164" s="23" t="s">
        <v>422</v>
      </c>
      <c r="G164" s="22"/>
      <c r="H164" s="16">
        <v>162</v>
      </c>
      <c r="I164" s="8" t="s">
        <v>182</v>
      </c>
      <c r="J164" s="10"/>
    </row>
    <row r="165" spans="1:10" hidden="1">
      <c r="A165" s="5">
        <v>163</v>
      </c>
      <c r="B165" t="str">
        <f>LEFT(Table3[[#This Row],[EPI_DGN_ANTIC]],1)</f>
        <v>E</v>
      </c>
      <c r="C165" t="str">
        <f>LEFT(Table3[[#This Row],[EPI_DGN_ANTIC]],3)</f>
        <v>ECc</v>
      </c>
      <c r="D165" s="8" t="s">
        <v>423</v>
      </c>
      <c r="E165" s="10">
        <v>1</v>
      </c>
      <c r="F165" s="23" t="s">
        <v>424</v>
      </c>
      <c r="G165" s="22"/>
      <c r="H165" s="16">
        <v>163</v>
      </c>
      <c r="I165" s="8" t="s">
        <v>425</v>
      </c>
      <c r="J165" s="10"/>
    </row>
    <row r="166" spans="1:10" hidden="1">
      <c r="A166" s="5">
        <v>164</v>
      </c>
      <c r="B166" t="str">
        <f>LEFT(Table3[[#This Row],[EPI_DGN_ANTIC]],1)</f>
        <v>E</v>
      </c>
      <c r="C166" t="str">
        <f>LEFT(Table3[[#This Row],[EPI_DGN_ANTIC]],3)</f>
        <v>ECg</v>
      </c>
      <c r="D166" s="8" t="s">
        <v>426</v>
      </c>
      <c r="E166" s="10">
        <v>1</v>
      </c>
      <c r="F166" s="23" t="s">
        <v>427</v>
      </c>
      <c r="G166" s="22"/>
      <c r="H166" s="16">
        <v>164</v>
      </c>
      <c r="I166" s="8" t="s">
        <v>168</v>
      </c>
      <c r="J166" s="10"/>
    </row>
    <row r="167" spans="1:10" hidden="1">
      <c r="A167" s="5">
        <v>165</v>
      </c>
      <c r="B167" t="str">
        <f>LEFT(Table3[[#This Row],[EPI_DGN_ANTIC]],1)</f>
        <v>E</v>
      </c>
      <c r="C167" t="str">
        <f>LEFT(Table3[[#This Row],[EPI_DGN_ANTIC]],3)</f>
        <v>ECL</v>
      </c>
      <c r="D167" s="8" t="s">
        <v>428</v>
      </c>
      <c r="E167" s="10">
        <v>0</v>
      </c>
      <c r="F167" s="23"/>
      <c r="G167" s="22"/>
      <c r="H167" s="16">
        <v>165</v>
      </c>
      <c r="I167" s="8" t="s">
        <v>171</v>
      </c>
      <c r="J167" s="10"/>
    </row>
    <row r="168" spans="1:10" hidden="1">
      <c r="A168" s="5">
        <v>166</v>
      </c>
      <c r="B168" t="str">
        <f>LEFT(Table3[[#This Row],[EPI_DGN_ANTIC]],1)</f>
        <v>E</v>
      </c>
      <c r="C168" t="str">
        <f>LEFT(Table3[[#This Row],[EPI_DGN_ANTIC]],3)</f>
        <v>ECL</v>
      </c>
      <c r="D168" s="8" t="s">
        <v>429</v>
      </c>
      <c r="E168" s="10">
        <v>1</v>
      </c>
      <c r="F168" s="23" t="s">
        <v>430</v>
      </c>
      <c r="G168" s="22"/>
      <c r="H168" s="16">
        <v>166</v>
      </c>
      <c r="I168" s="8" t="s">
        <v>410</v>
      </c>
      <c r="J168" s="10"/>
    </row>
    <row r="169" spans="1:10" hidden="1">
      <c r="A169" s="5">
        <v>167</v>
      </c>
      <c r="B169" t="str">
        <f>LEFT(Table3[[#This Row],[EPI_DGN_ANTIC]],1)</f>
        <v>E</v>
      </c>
      <c r="C169" t="str">
        <f>LEFT(Table3[[#This Row],[EPI_DGN_ANTIC]],3)</f>
        <v>ECL</v>
      </c>
      <c r="D169" s="8" t="s">
        <v>431</v>
      </c>
      <c r="E169" s="10">
        <v>1</v>
      </c>
      <c r="F169" s="23" t="s">
        <v>432</v>
      </c>
      <c r="G169" s="22"/>
      <c r="H169" s="16">
        <v>167</v>
      </c>
      <c r="I169" s="8" t="s">
        <v>433</v>
      </c>
      <c r="J169" s="10"/>
    </row>
    <row r="170" spans="1:10" hidden="1">
      <c r="A170" s="5">
        <v>168</v>
      </c>
      <c r="B170" t="str">
        <f>LEFT(Table3[[#This Row],[EPI_DGN_ANTIC]],1)</f>
        <v>E</v>
      </c>
      <c r="C170" t="str">
        <f>LEFT(Table3[[#This Row],[EPI_DGN_ANTIC]],3)</f>
        <v>ECl</v>
      </c>
      <c r="D170" s="8" t="s">
        <v>434</v>
      </c>
      <c r="E170" s="10">
        <v>1</v>
      </c>
      <c r="F170" s="22" t="s">
        <v>435</v>
      </c>
      <c r="G170" s="22"/>
      <c r="H170" s="16">
        <v>168</v>
      </c>
      <c r="I170" s="8" t="s">
        <v>436</v>
      </c>
      <c r="J170" s="10"/>
    </row>
    <row r="171" spans="1:10" hidden="1">
      <c r="A171" s="5">
        <v>169</v>
      </c>
      <c r="B171" t="str">
        <f>LEFT(Table3[[#This Row],[EPI_DGN_ANTIC]],1)</f>
        <v>E</v>
      </c>
      <c r="C171" t="str">
        <f>LEFT(Table3[[#This Row],[EPI_DGN_ANTIC]],3)</f>
        <v>ECl</v>
      </c>
      <c r="D171" s="8" t="s">
        <v>437</v>
      </c>
      <c r="E171" s="10">
        <v>1</v>
      </c>
      <c r="F171" s="22" t="s">
        <v>438</v>
      </c>
      <c r="G171" s="22"/>
      <c r="H171" s="16">
        <v>169</v>
      </c>
      <c r="I171" s="8" t="s">
        <v>439</v>
      </c>
      <c r="J171" s="10"/>
    </row>
    <row r="172" spans="1:10" hidden="1">
      <c r="A172" s="5">
        <v>170</v>
      </c>
      <c r="B172" t="str">
        <f>LEFT(Table3[[#This Row],[EPI_DGN_ANTIC]],1)</f>
        <v>E</v>
      </c>
      <c r="C172" t="str">
        <f>LEFT(Table3[[#This Row],[EPI_DGN_ANTIC]],3)</f>
        <v>ECl</v>
      </c>
      <c r="D172" s="8" t="s">
        <v>440</v>
      </c>
      <c r="E172" s="10">
        <v>1</v>
      </c>
      <c r="F172" s="22" t="s">
        <v>441</v>
      </c>
      <c r="G172" s="22"/>
      <c r="H172" s="16">
        <v>170</v>
      </c>
      <c r="I172" s="8" t="s">
        <v>442</v>
      </c>
      <c r="J172" s="10"/>
    </row>
    <row r="173" spans="1:10" hidden="1">
      <c r="A173" s="5">
        <v>171</v>
      </c>
      <c r="B173" t="str">
        <f>LEFT(Table3[[#This Row],[EPI_DGN_ANTIC]],1)</f>
        <v>E</v>
      </c>
      <c r="C173" t="str">
        <f>LEFT(Table3[[#This Row],[EPI_DGN_ANTIC]],2)</f>
        <v>EI</v>
      </c>
      <c r="D173" s="8" t="s">
        <v>443</v>
      </c>
      <c r="E173" s="10">
        <v>1</v>
      </c>
      <c r="F173" s="22" t="s">
        <v>444</v>
      </c>
      <c r="G173" s="22"/>
      <c r="H173" s="16">
        <v>171</v>
      </c>
      <c r="I173" s="8" t="s">
        <v>445</v>
      </c>
      <c r="J173" s="10"/>
    </row>
    <row r="174" spans="1:10" hidden="1">
      <c r="A174" s="5">
        <v>172</v>
      </c>
      <c r="B174" t="str">
        <f>LEFT(Table3[[#This Row],[EPI_DGN_ANTIC]],1)</f>
        <v>G</v>
      </c>
      <c r="C174" t="str">
        <f>LEFT(Table3[[#This Row],[EPI_DGN_ANTIC]],2)</f>
        <v>Gl</v>
      </c>
      <c r="D174" s="8" t="s">
        <v>446</v>
      </c>
      <c r="E174" s="10">
        <v>0</v>
      </c>
      <c r="F174" s="22"/>
      <c r="G174" s="22"/>
      <c r="H174" s="16">
        <v>172</v>
      </c>
      <c r="I174" s="8" t="s">
        <v>447</v>
      </c>
      <c r="J174" s="10"/>
    </row>
    <row r="175" spans="1:10" hidden="1">
      <c r="A175" s="5">
        <v>173</v>
      </c>
      <c r="B175" t="str">
        <f>LEFT(Table3[[#This Row],[EPI_DGN_ANTIC]],1)</f>
        <v>G</v>
      </c>
      <c r="C175" t="str">
        <f>LEFT(Table3[[#This Row],[EPI_DGN_ANTIC]],2)</f>
        <v>Ga</v>
      </c>
      <c r="D175" s="8" t="s">
        <v>448</v>
      </c>
      <c r="E175" s="10">
        <v>1</v>
      </c>
      <c r="F175" s="22" t="s">
        <v>449</v>
      </c>
      <c r="G175" s="22"/>
      <c r="H175" s="16">
        <v>173</v>
      </c>
      <c r="I175" s="8" t="s">
        <v>168</v>
      </c>
      <c r="J175" s="10"/>
    </row>
    <row r="176" spans="1:10" hidden="1">
      <c r="A176" s="5">
        <v>174</v>
      </c>
      <c r="B176" t="str">
        <f>LEFT(Table3[[#This Row],[EPI_DGN_ANTIC]],1)</f>
        <v>G</v>
      </c>
      <c r="C176" t="str">
        <f>LEFT(Table3[[#This Row],[EPI_DGN_ANTIC]],2)</f>
        <v>Ga</v>
      </c>
      <c r="D176" s="8" t="s">
        <v>450</v>
      </c>
      <c r="E176" s="10">
        <v>1</v>
      </c>
      <c r="F176" s="22" t="s">
        <v>451</v>
      </c>
      <c r="G176" s="22"/>
      <c r="H176" s="16">
        <v>174</v>
      </c>
      <c r="I176" s="8" t="s">
        <v>452</v>
      </c>
      <c r="J176" s="10"/>
    </row>
    <row r="177" spans="1:10" hidden="1">
      <c r="A177" s="5">
        <v>175</v>
      </c>
      <c r="B177" t="str">
        <f>LEFT(Table3[[#This Row],[EPI_DGN_ANTIC]],1)</f>
        <v>G</v>
      </c>
      <c r="C177" t="str">
        <f>LEFT(Table3[[#This Row],[EPI_DGN_ANTIC]],2)</f>
        <v>Gg</v>
      </c>
      <c r="D177" s="8" t="s">
        <v>453</v>
      </c>
      <c r="E177" s="10">
        <v>1</v>
      </c>
      <c r="F177" s="22" t="s">
        <v>454</v>
      </c>
      <c r="G177" s="22"/>
      <c r="H177" s="16">
        <v>175</v>
      </c>
      <c r="I177" s="8" t="s">
        <v>455</v>
      </c>
      <c r="J177" s="10"/>
    </row>
    <row r="178" spans="1:10" hidden="1">
      <c r="A178" s="5">
        <v>176</v>
      </c>
      <c r="B178" t="str">
        <f>LEFT(Table3[[#This Row],[EPI_DGN_ANTIC]],1)</f>
        <v>G</v>
      </c>
      <c r="C178" t="str">
        <f>LEFT(Table3[[#This Row],[EPI_DGN_ANTIC]],2)</f>
        <v>Gg</v>
      </c>
      <c r="D178" s="8" t="s">
        <v>456</v>
      </c>
      <c r="E178" s="10">
        <v>1</v>
      </c>
      <c r="F178" s="22" t="s">
        <v>297</v>
      </c>
      <c r="G178" s="22"/>
      <c r="H178" s="16">
        <v>176</v>
      </c>
      <c r="I178" s="8" t="s">
        <v>457</v>
      </c>
      <c r="J178" s="10"/>
    </row>
    <row r="179" spans="1:10" hidden="1">
      <c r="A179" s="5">
        <v>177</v>
      </c>
      <c r="B179" t="str">
        <f>LEFT(Table3[[#This Row],[EPI_DGN_ANTIC]],1)</f>
        <v>G</v>
      </c>
      <c r="C179" t="str">
        <f>LEFT(Table3[[#This Row],[EPI_DGN_ANTIC]],2)</f>
        <v>Gg</v>
      </c>
      <c r="D179" s="8" t="s">
        <v>458</v>
      </c>
      <c r="E179" s="10">
        <v>1</v>
      </c>
      <c r="F179" s="22" t="s">
        <v>459</v>
      </c>
      <c r="G179" s="22"/>
      <c r="H179" s="16">
        <v>177</v>
      </c>
      <c r="I179" s="8" t="s">
        <v>460</v>
      </c>
      <c r="J179" s="10"/>
    </row>
    <row r="180" spans="1:10" hidden="1">
      <c r="A180" s="5">
        <v>178</v>
      </c>
      <c r="B180" t="str">
        <f>LEFT(Table3[[#This Row],[EPI_DGN_ANTIC]],1)</f>
        <v>G</v>
      </c>
      <c r="C180" t="str">
        <f>LEFT(Table3[[#This Row],[EPI_DGN_ANTIC]],2)</f>
        <v>Gg</v>
      </c>
      <c r="D180" s="8" t="s">
        <v>461</v>
      </c>
      <c r="E180" s="10">
        <v>1</v>
      </c>
      <c r="F180" s="22" t="s">
        <v>462</v>
      </c>
      <c r="G180" s="22"/>
      <c r="H180" s="16">
        <v>178</v>
      </c>
      <c r="I180" s="8" t="s">
        <v>463</v>
      </c>
      <c r="J180" s="10"/>
    </row>
    <row r="181" spans="1:10" hidden="1">
      <c r="A181" s="5">
        <v>179</v>
      </c>
      <c r="B181" t="str">
        <f>LEFT(Table3[[#This Row],[EPI_DGN_ANTIC]],1)</f>
        <v>G</v>
      </c>
      <c r="C181" t="str">
        <f>LEFT(Table3[[#This Row],[EPI_DGN_ANTIC]],2)</f>
        <v>Gl</v>
      </c>
      <c r="D181" s="8" t="s">
        <v>464</v>
      </c>
      <c r="E181" s="10">
        <v>1</v>
      </c>
      <c r="F181" s="22" t="s">
        <v>307</v>
      </c>
      <c r="G181" t="s">
        <v>90</v>
      </c>
      <c r="H181" s="16">
        <v>179</v>
      </c>
      <c r="I181" s="8" t="s">
        <v>465</v>
      </c>
      <c r="J181" s="10"/>
    </row>
    <row r="182" spans="1:10" hidden="1">
      <c r="A182" s="5">
        <v>180</v>
      </c>
      <c r="B182" t="str">
        <f>LEFT(Table3[[#This Row],[EPI_DGN_ANTIC]],1)</f>
        <v>G</v>
      </c>
      <c r="C182" t="str">
        <f>LEFT(Table3[[#This Row],[EPI_DGN_ANTIC]],2)</f>
        <v>Gl</v>
      </c>
      <c r="D182" s="8" t="s">
        <v>466</v>
      </c>
      <c r="E182" s="10">
        <v>1</v>
      </c>
      <c r="F182" s="22" t="s">
        <v>322</v>
      </c>
      <c r="G182" t="s">
        <v>90</v>
      </c>
      <c r="H182" s="16">
        <v>180</v>
      </c>
      <c r="I182" s="8" t="s">
        <v>467</v>
      </c>
      <c r="J182" s="10"/>
    </row>
    <row r="183" spans="1:10" hidden="1">
      <c r="A183" s="5">
        <v>181</v>
      </c>
      <c r="B183" t="str">
        <f>LEFT(Table3[[#This Row],[EPI_DGN_ANTIC]],1)</f>
        <v>G</v>
      </c>
      <c r="C183" t="str">
        <f>LEFT(Table3[[#This Row],[EPI_DGN_ANTIC]],2)</f>
        <v>Gm</v>
      </c>
      <c r="D183" s="8" t="s">
        <v>468</v>
      </c>
      <c r="E183" s="10">
        <v>1</v>
      </c>
      <c r="F183" s="22" t="s">
        <v>469</v>
      </c>
      <c r="G183" t="s">
        <v>90</v>
      </c>
      <c r="H183" s="16">
        <v>181</v>
      </c>
      <c r="I183" s="8" t="s">
        <v>470</v>
      </c>
      <c r="J183" s="10"/>
    </row>
    <row r="184" spans="1:10" hidden="1">
      <c r="A184" s="5">
        <v>182</v>
      </c>
      <c r="B184" t="s">
        <v>292</v>
      </c>
      <c r="C184" t="s">
        <v>342</v>
      </c>
      <c r="D184" s="8" t="s">
        <v>471</v>
      </c>
      <c r="E184" s="10">
        <v>1</v>
      </c>
      <c r="F184" s="22" t="s">
        <v>345</v>
      </c>
      <c r="G184" s="22"/>
      <c r="H184" s="16">
        <v>182</v>
      </c>
      <c r="I184" s="8" t="s">
        <v>467</v>
      </c>
      <c r="J184" s="10"/>
    </row>
    <row r="185" spans="1:10" hidden="1">
      <c r="A185" s="5">
        <v>183</v>
      </c>
      <c r="B185" t="str">
        <f>LEFT(Table3[[#This Row],[EPI_DGN_ANTIC]],1)</f>
        <v>G</v>
      </c>
      <c r="C185" t="str">
        <f>LEFT(Table3[[#This Row],[EPI_DGN_ANTIC]],2)</f>
        <v>Gp</v>
      </c>
      <c r="D185" s="8" t="s">
        <v>472</v>
      </c>
      <c r="E185" s="10">
        <v>1</v>
      </c>
      <c r="F185" s="22" t="s">
        <v>302</v>
      </c>
      <c r="G185" t="s">
        <v>90</v>
      </c>
      <c r="H185" s="16">
        <v>183</v>
      </c>
      <c r="I185" s="8" t="s">
        <v>213</v>
      </c>
      <c r="J185" s="10"/>
    </row>
    <row r="186" spans="1:10" hidden="1">
      <c r="A186" s="5">
        <v>184</v>
      </c>
      <c r="B186" t="str">
        <f>LEFT(Table3[[#This Row],[EPI_DGN_ANTIC]],1)</f>
        <v>G</v>
      </c>
      <c r="C186" t="str">
        <f>LEFT(Table3[[#This Row],[EPI_DGN_ANTIC]],2)</f>
        <v>Gp</v>
      </c>
      <c r="D186" s="8" t="s">
        <v>473</v>
      </c>
      <c r="E186" s="10">
        <v>1</v>
      </c>
      <c r="F186" s="22" t="s">
        <v>474</v>
      </c>
      <c r="G186" t="s">
        <v>90</v>
      </c>
      <c r="H186" s="16">
        <v>184</v>
      </c>
      <c r="I186" s="8" t="s">
        <v>475</v>
      </c>
      <c r="J186" s="10"/>
    </row>
    <row r="187" spans="1:10" hidden="1">
      <c r="A187" s="5">
        <v>185</v>
      </c>
      <c r="B187" t="str">
        <f>LEFT(Table3[[#This Row],[EPI_DGN_ANTIC]],1)</f>
        <v>G</v>
      </c>
      <c r="C187" t="str">
        <f>LEFT(Table3[[#This Row],[EPI_DGN_ANTIC]],2)</f>
        <v>Gp</v>
      </c>
      <c r="D187" s="8" t="s">
        <v>476</v>
      </c>
      <c r="E187" s="10">
        <v>1</v>
      </c>
      <c r="F187" s="22" t="s">
        <v>477</v>
      </c>
      <c r="G187" t="s">
        <v>90</v>
      </c>
      <c r="H187" s="16">
        <v>185</v>
      </c>
      <c r="I187" s="8" t="s">
        <v>478</v>
      </c>
      <c r="J187" s="10"/>
    </row>
    <row r="188" spans="1:10" hidden="1">
      <c r="A188" s="5">
        <v>186</v>
      </c>
      <c r="B188" t="str">
        <f>LEFT(Table3[[#This Row],[EPI_DGN_ANTIC]],1)</f>
        <v>G</v>
      </c>
      <c r="C188" t="str">
        <f>LEFT(Table3[[#This Row],[EPI_DGN_ANTIC]],2)</f>
        <v>Gp</v>
      </c>
      <c r="D188" s="8" t="s">
        <v>479</v>
      </c>
      <c r="E188" s="10">
        <v>1</v>
      </c>
      <c r="F188" s="22" t="s">
        <v>480</v>
      </c>
      <c r="G188" t="s">
        <v>90</v>
      </c>
      <c r="H188" s="16">
        <v>186</v>
      </c>
      <c r="I188" s="8" t="s">
        <v>481</v>
      </c>
      <c r="J188" s="10"/>
    </row>
    <row r="189" spans="1:10" hidden="1">
      <c r="A189" s="5">
        <v>187</v>
      </c>
      <c r="B189" t="str">
        <f>LEFT(Table3[[#This Row],[EPI_DGN_ANTIC]],1)</f>
        <v>J</v>
      </c>
      <c r="C189" t="str">
        <f>LEFT(Table3[[#This Row],[EPI_DGN_ANTIC]],2)</f>
        <v>JD</v>
      </c>
      <c r="D189" s="8" t="s">
        <v>482</v>
      </c>
      <c r="E189" s="10">
        <v>1</v>
      </c>
      <c r="F189" s="22" t="s">
        <v>277</v>
      </c>
      <c r="G189" s="22"/>
      <c r="H189" s="16">
        <v>187</v>
      </c>
      <c r="I189" s="8" t="s">
        <v>483</v>
      </c>
      <c r="J189" s="10"/>
    </row>
    <row r="190" spans="1:10" hidden="1">
      <c r="A190" s="5">
        <v>188</v>
      </c>
      <c r="B190" t="str">
        <f>LEFT(Table3[[#This Row],[EPI_DGN_ANTIC]],1)</f>
        <v>J</v>
      </c>
      <c r="C190" t="str">
        <f>LEFT(Table3[[#This Row],[EPI_DGN_ANTIC]],2)</f>
        <v>JL</v>
      </c>
      <c r="D190" s="8" t="s">
        <v>484</v>
      </c>
      <c r="E190" s="10">
        <v>1</v>
      </c>
      <c r="F190" s="22" t="s">
        <v>485</v>
      </c>
      <c r="G190" s="22" t="s">
        <v>486</v>
      </c>
      <c r="H190" s="16">
        <v>188</v>
      </c>
      <c r="I190" s="8" t="s">
        <v>487</v>
      </c>
      <c r="J190" s="20"/>
    </row>
    <row r="191" spans="1:10" hidden="1">
      <c r="A191" s="5">
        <v>189</v>
      </c>
      <c r="B191" t="str">
        <f>LEFT(Table3[[#This Row],[EPI_DGN_ANTIC]],1)</f>
        <v>J</v>
      </c>
      <c r="C191" t="str">
        <f>LEFT(Table3[[#This Row],[EPI_DGN_ANTIC]],2)</f>
        <v>JM</v>
      </c>
      <c r="D191" s="8" t="s">
        <v>488</v>
      </c>
      <c r="E191" s="10">
        <v>0</v>
      </c>
      <c r="F191" s="22"/>
      <c r="G191" s="22"/>
      <c r="H191" s="16">
        <v>189</v>
      </c>
      <c r="I191" s="8" t="s">
        <v>489</v>
      </c>
      <c r="J191" s="10"/>
    </row>
    <row r="192" spans="1:10" hidden="1">
      <c r="A192" s="5">
        <v>190</v>
      </c>
      <c r="B192" t="str">
        <f>LEFT(Table3[[#This Row],[EPI_DGN_ANTIC]],1)</f>
        <v>K</v>
      </c>
      <c r="C192" t="str">
        <f>LEFT(Table3[[#This Row],[EPI_DGN_ANTIC]],3)</f>
        <v>KCM</v>
      </c>
      <c r="D192" s="8" t="s">
        <v>490</v>
      </c>
      <c r="E192" s="10">
        <v>1</v>
      </c>
      <c r="F192" s="22" t="s">
        <v>493</v>
      </c>
      <c r="G192" s="22"/>
      <c r="H192" s="16">
        <v>190</v>
      </c>
      <c r="I192" s="8" t="s">
        <v>20</v>
      </c>
      <c r="J192" s="10"/>
    </row>
    <row r="193" spans="1:10" hidden="1">
      <c r="A193" s="5">
        <v>191</v>
      </c>
      <c r="B193" t="str">
        <f>LEFT(Table3[[#This Row],[EPI_DGN_ANTIC]],1)</f>
        <v>K</v>
      </c>
      <c r="C193" t="str">
        <f>LEFT(Table3[[#This Row],[EPI_DGN_ANTIC]],3)</f>
        <v>KCm</v>
      </c>
      <c r="D193" s="8" t="s">
        <v>492</v>
      </c>
      <c r="E193" s="10">
        <v>1</v>
      </c>
      <c r="F193" s="22" t="s">
        <v>2850</v>
      </c>
      <c r="G193" s="22"/>
      <c r="H193" s="16">
        <v>191</v>
      </c>
      <c r="I193" s="8" t="s">
        <v>494</v>
      </c>
      <c r="J193" s="10"/>
    </row>
    <row r="194" spans="1:10" hidden="1">
      <c r="A194" s="5">
        <v>192</v>
      </c>
      <c r="B194" t="str">
        <f>LEFT(Table3[[#This Row],[EPI_DGN_ANTIC]],1)</f>
        <v>K</v>
      </c>
      <c r="C194" t="str">
        <f>LEFT(Table3[[#This Row],[EPI_DGN_ANTIC]],3)</f>
        <v>KCm</v>
      </c>
      <c r="D194" s="8" t="s">
        <v>495</v>
      </c>
      <c r="E194" s="10">
        <v>1</v>
      </c>
      <c r="F194" s="22" t="s">
        <v>844</v>
      </c>
      <c r="G194" s="22"/>
      <c r="H194" s="16">
        <v>192</v>
      </c>
      <c r="I194" s="8" t="s">
        <v>496</v>
      </c>
      <c r="J194" s="10"/>
    </row>
    <row r="195" spans="1:10" hidden="1">
      <c r="A195" s="5">
        <v>193</v>
      </c>
      <c r="B195" t="str">
        <f>LEFT(Table3[[#This Row],[EPI_DGN_ANTIC]],1)</f>
        <v>K</v>
      </c>
      <c r="C195" t="str">
        <f>LEFT(Table3[[#This Row],[EPI_DGN_ANTIC]],3)</f>
        <v>KCo</v>
      </c>
      <c r="D195" s="8" t="s">
        <v>497</v>
      </c>
      <c r="E195" s="10">
        <v>1</v>
      </c>
      <c r="F195" s="22" t="s">
        <v>498</v>
      </c>
      <c r="G195" s="22"/>
      <c r="H195" s="16">
        <v>193</v>
      </c>
      <c r="I195" s="8" t="s">
        <v>494</v>
      </c>
      <c r="J195" s="10"/>
    </row>
    <row r="196" spans="1:10" hidden="1">
      <c r="A196" s="5">
        <v>194</v>
      </c>
      <c r="B196" t="str">
        <f>LEFT(Table3[[#This Row],[EPI_DGN_ANTIC]],1)</f>
        <v>K</v>
      </c>
      <c r="C196" t="str">
        <f>LEFT(Table3[[#This Row],[EPI_DGN_ANTIC]],3)</f>
        <v>KCo</v>
      </c>
      <c r="D196" s="8" t="s">
        <v>499</v>
      </c>
      <c r="E196" s="10">
        <v>1</v>
      </c>
      <c r="F196" s="22" t="s">
        <v>500</v>
      </c>
      <c r="G196" s="22"/>
      <c r="H196" s="16">
        <v>194</v>
      </c>
      <c r="I196" s="8" t="s">
        <v>28</v>
      </c>
      <c r="J196" s="10"/>
    </row>
    <row r="197" spans="1:10" hidden="1">
      <c r="A197" s="5">
        <v>195</v>
      </c>
      <c r="B197" t="str">
        <f>LEFT(Table3[[#This Row],[EPI_DGN_ANTIC]],1)</f>
        <v>K</v>
      </c>
      <c r="C197" t="str">
        <f>LEFT(Table3[[#This Row],[EPI_DGN_ANTIC]],3)</f>
        <v>KCo</v>
      </c>
      <c r="D197" s="8" t="s">
        <v>501</v>
      </c>
      <c r="E197" s="10">
        <v>1</v>
      </c>
      <c r="F197" s="22" t="s">
        <v>502</v>
      </c>
      <c r="G197" s="22"/>
      <c r="H197" s="16">
        <v>195</v>
      </c>
      <c r="I197" s="8" t="s">
        <v>28</v>
      </c>
      <c r="J197" s="10"/>
    </row>
    <row r="198" spans="1:10" hidden="1">
      <c r="A198" s="5">
        <v>196</v>
      </c>
      <c r="B198" t="str">
        <f>LEFT(Table3[[#This Row],[EPI_DGN_ANTIC]],1)</f>
        <v>K</v>
      </c>
      <c r="C198" s="10" t="str">
        <f>LEFT(Table3[[#This Row],[EPI_DGN_ANTIC]],3)</f>
        <v>KCo</v>
      </c>
      <c r="D198" s="8" t="s">
        <v>503</v>
      </c>
      <c r="E198" s="10">
        <v>1</v>
      </c>
      <c r="F198" s="22" t="s">
        <v>504</v>
      </c>
      <c r="G198" s="22"/>
      <c r="H198" s="16">
        <v>196</v>
      </c>
      <c r="I198" s="8" t="s">
        <v>28</v>
      </c>
      <c r="J198" s="10"/>
    </row>
    <row r="199" spans="1:10" hidden="1">
      <c r="A199" s="5">
        <v>197</v>
      </c>
      <c r="B199" t="str">
        <f>LEFT(Table3[[#This Row],[EPI_DGN_ANTIC]],1)</f>
        <v>K</v>
      </c>
      <c r="C199" t="str">
        <f>LEFT(Table3[[#This Row],[EPI_DGN_ANTIC]],3)</f>
        <v>KCo</v>
      </c>
      <c r="D199" s="8" t="s">
        <v>505</v>
      </c>
      <c r="E199" s="10">
        <v>1</v>
      </c>
      <c r="F199" s="22" t="s">
        <v>506</v>
      </c>
      <c r="G199" s="22"/>
      <c r="H199" s="16">
        <v>197</v>
      </c>
      <c r="I199" s="8" t="s">
        <v>28</v>
      </c>
      <c r="J199" s="10"/>
    </row>
    <row r="200" spans="1:10" hidden="1">
      <c r="A200" s="5">
        <v>198</v>
      </c>
      <c r="B200" t="str">
        <f>LEFT(Table3[[#This Row],[EPI_DGN_ANTIC]],1)</f>
        <v>K</v>
      </c>
      <c r="C200" t="str">
        <f>LEFT(Table3[[#This Row],[EPI_DGN_ANTIC]],3)</f>
        <v>KCo</v>
      </c>
      <c r="D200" s="8" t="s">
        <v>507</v>
      </c>
      <c r="E200" s="10">
        <v>1</v>
      </c>
      <c r="F200" s="22" t="s">
        <v>508</v>
      </c>
      <c r="G200" s="22"/>
      <c r="H200" s="16">
        <v>198</v>
      </c>
      <c r="I200" s="8" t="s">
        <v>509</v>
      </c>
      <c r="J200" s="10"/>
    </row>
    <row r="201" spans="1:10" hidden="1">
      <c r="A201" s="5">
        <v>199</v>
      </c>
      <c r="B201" t="str">
        <f>LEFT(Table3[[#This Row],[EPI_DGN_ANTIC]],1)</f>
        <v>K</v>
      </c>
      <c r="C201" t="str">
        <f>LEFT(Table3[[#This Row],[EPI_DGN_ANTIC]],3)</f>
        <v>KCo</v>
      </c>
      <c r="D201" s="8" t="s">
        <v>510</v>
      </c>
      <c r="E201" s="10">
        <v>1</v>
      </c>
      <c r="F201" s="22" t="s">
        <v>511</v>
      </c>
      <c r="G201" s="22"/>
      <c r="H201" s="16">
        <v>199</v>
      </c>
      <c r="I201" s="8" t="s">
        <v>316</v>
      </c>
      <c r="J201" s="10"/>
    </row>
    <row r="202" spans="1:10" hidden="1">
      <c r="A202" s="5">
        <v>200</v>
      </c>
      <c r="B202" t="str">
        <f>LEFT(Table3[[#This Row],[EPI_DGN_ANTIC]],1)</f>
        <v>K</v>
      </c>
      <c r="C202" t="str">
        <f>LEFT(Table3[[#This Row],[EPI_DGN_ANTIC]],3)</f>
        <v>KCo</v>
      </c>
      <c r="D202" s="8" t="s">
        <v>512</v>
      </c>
      <c r="E202" s="10">
        <v>1</v>
      </c>
      <c r="F202" s="22" t="s">
        <v>513</v>
      </c>
      <c r="G202" s="22"/>
      <c r="H202" s="16">
        <v>200</v>
      </c>
      <c r="I202" s="8" t="s">
        <v>514</v>
      </c>
      <c r="J202" s="10"/>
    </row>
    <row r="203" spans="1:10" hidden="1">
      <c r="A203" s="5">
        <v>201</v>
      </c>
      <c r="B203" t="str">
        <f>LEFT(Table3[[#This Row],[EPI_DGN_ANTIC]],1)</f>
        <v>K</v>
      </c>
      <c r="C203" t="str">
        <f>LEFT(Table3[[#This Row],[EPI_DGN_ANTIC]],3)</f>
        <v>KCo</v>
      </c>
      <c r="D203" s="8" t="s">
        <v>515</v>
      </c>
      <c r="E203" s="10">
        <v>1</v>
      </c>
      <c r="F203" s="22" t="s">
        <v>516</v>
      </c>
      <c r="G203" s="22"/>
      <c r="H203" s="16">
        <v>201</v>
      </c>
      <c r="I203" s="8" t="s">
        <v>218</v>
      </c>
      <c r="J203" s="10"/>
    </row>
    <row r="204" spans="1:10" hidden="1">
      <c r="A204" s="5">
        <v>202</v>
      </c>
      <c r="B204" t="str">
        <f>LEFT(Table3[[#This Row],[EPI_DGN_ANTIC]],1)</f>
        <v>K</v>
      </c>
      <c r="C204" t="str">
        <f>LEFT(Table3[[#This Row],[EPI_DGN_ANTIC]],3)</f>
        <v>KCo</v>
      </c>
      <c r="D204" s="8" t="s">
        <v>517</v>
      </c>
      <c r="E204" s="10">
        <v>1</v>
      </c>
      <c r="F204" s="22" t="s">
        <v>518</v>
      </c>
      <c r="G204" s="22"/>
      <c r="H204" s="16">
        <v>202</v>
      </c>
      <c r="I204" s="8" t="s">
        <v>199</v>
      </c>
      <c r="J204" s="10"/>
    </row>
    <row r="205" spans="1:10" hidden="1">
      <c r="A205" s="5">
        <v>203</v>
      </c>
      <c r="B205" t="str">
        <f>LEFT(Table3[[#This Row],[EPI_DGN_ANTIC]],1)</f>
        <v>K</v>
      </c>
      <c r="C205" t="str">
        <f>LEFT(Table3[[#This Row],[EPI_DGN_ANTIC]],3)</f>
        <v>KCo</v>
      </c>
      <c r="D205" s="8" t="s">
        <v>519</v>
      </c>
      <c r="E205" s="10">
        <v>1</v>
      </c>
      <c r="F205" s="22" t="s">
        <v>520</v>
      </c>
      <c r="G205" t="s">
        <v>90</v>
      </c>
      <c r="H205" s="16">
        <v>203</v>
      </c>
      <c r="I205" s="8" t="s">
        <v>199</v>
      </c>
      <c r="J205" s="10"/>
    </row>
    <row r="206" spans="1:10" hidden="1">
      <c r="A206" s="5">
        <v>204</v>
      </c>
      <c r="B206" t="str">
        <f>LEFT(Table3[[#This Row],[EPI_DGN_ANTIC]],1)</f>
        <v>K</v>
      </c>
      <c r="C206" t="str">
        <f>LEFT(Table3[[#This Row],[EPI_DGN_ANTIC]],3)</f>
        <v>KCS</v>
      </c>
      <c r="D206" s="8" t="s">
        <v>521</v>
      </c>
      <c r="E206" s="10">
        <v>1</v>
      </c>
      <c r="F206" s="22" t="s">
        <v>522</v>
      </c>
      <c r="G206" t="s">
        <v>90</v>
      </c>
      <c r="H206" s="16">
        <v>204</v>
      </c>
      <c r="I206" s="8" t="s">
        <v>199</v>
      </c>
      <c r="J206" s="10"/>
    </row>
    <row r="207" spans="1:10" hidden="1">
      <c r="A207" s="5">
        <v>205</v>
      </c>
      <c r="B207" t="str">
        <f>LEFT(Table3[[#This Row],[EPI_DGN_ANTIC]],1)</f>
        <v>K</v>
      </c>
      <c r="C207" t="str">
        <f>LEFT(Table3[[#This Row],[EPI_DGN_ANTIC]],2)</f>
        <v>KP</v>
      </c>
      <c r="D207" s="8" t="s">
        <v>523</v>
      </c>
      <c r="E207" s="10">
        <v>1</v>
      </c>
      <c r="F207" s="22" t="s">
        <v>524</v>
      </c>
      <c r="G207" s="22"/>
      <c r="H207" s="16">
        <v>205</v>
      </c>
      <c r="I207" s="8" t="s">
        <v>177</v>
      </c>
      <c r="J207" s="10"/>
    </row>
    <row r="208" spans="1:10" hidden="1">
      <c r="A208" s="5">
        <v>206</v>
      </c>
      <c r="B208" t="str">
        <f>LEFT(Table3[[#This Row],[EPI_DGN_ANTIC]],1)</f>
        <v>K</v>
      </c>
      <c r="C208" t="str">
        <f>LEFT(Table3[[#This Row],[EPI_DGN_ANTIC]],2)</f>
        <v>KP</v>
      </c>
      <c r="D208" s="8" t="s">
        <v>525</v>
      </c>
      <c r="E208" s="10">
        <v>1</v>
      </c>
      <c r="F208" s="22" t="s">
        <v>526</v>
      </c>
      <c r="G208" s="22"/>
      <c r="H208" s="16">
        <v>206</v>
      </c>
      <c r="I208" s="8" t="s">
        <v>204</v>
      </c>
      <c r="J208" s="10"/>
    </row>
    <row r="209" spans="1:10" hidden="1">
      <c r="A209" s="5">
        <v>207</v>
      </c>
      <c r="B209" t="str">
        <f>LEFT(Table3[[#This Row],[EPI_DGN_ANTIC]],1)</f>
        <v>K</v>
      </c>
      <c r="C209" t="str">
        <f>LEFT(Table3[[#This Row],[EPI_DGN_ANTIC]],2)</f>
        <v>KM</v>
      </c>
      <c r="D209" s="8" t="s">
        <v>527</v>
      </c>
      <c r="E209" s="10">
        <v>1</v>
      </c>
      <c r="F209" s="22" t="s">
        <v>410</v>
      </c>
      <c r="G209" s="22"/>
      <c r="H209" s="16">
        <v>207</v>
      </c>
      <c r="I209" s="8" t="s">
        <v>204</v>
      </c>
      <c r="J209" s="10"/>
    </row>
    <row r="210" spans="1:10" hidden="1">
      <c r="A210" s="5">
        <v>208</v>
      </c>
      <c r="B210" t="str">
        <f>LEFT(Table3[[#This Row],[EPI_DGN_ANTIC]],1)</f>
        <v>K</v>
      </c>
      <c r="C210" t="str">
        <f>LEFT(Table3[[#This Row],[EPI_DGN_ANTIC]],2)</f>
        <v>KM</v>
      </c>
      <c r="D210" s="8" t="s">
        <v>528</v>
      </c>
      <c r="E210" s="10">
        <v>1</v>
      </c>
      <c r="F210" s="22" t="s">
        <v>529</v>
      </c>
      <c r="G210" s="22"/>
      <c r="H210" s="16">
        <v>208</v>
      </c>
      <c r="I210" s="8" t="s">
        <v>199</v>
      </c>
      <c r="J210" s="10"/>
    </row>
    <row r="211" spans="1:10" hidden="1">
      <c r="A211" s="5">
        <v>209</v>
      </c>
      <c r="B211" t="str">
        <f>LEFT(Table3[[#This Row],[EPI_DGN_ANTIC]],1)</f>
        <v>K</v>
      </c>
      <c r="C211" t="str">
        <f>LEFT(Table3[[#This Row],[EPI_DGN_ANTIC]],2)</f>
        <v>KM</v>
      </c>
      <c r="D211" s="8" t="s">
        <v>530</v>
      </c>
      <c r="E211" s="10">
        <v>1</v>
      </c>
      <c r="F211" s="22" t="s">
        <v>531</v>
      </c>
      <c r="G211" s="22"/>
      <c r="H211" s="16">
        <v>209</v>
      </c>
      <c r="I211" s="8" t="s">
        <v>199</v>
      </c>
      <c r="J211" s="10"/>
    </row>
    <row r="212" spans="1:10" hidden="1">
      <c r="A212" s="5">
        <v>210</v>
      </c>
      <c r="B212" t="str">
        <f>LEFT(Table3[[#This Row],[EPI_DGN_ANTIC]],1)</f>
        <v>K</v>
      </c>
      <c r="C212" t="str">
        <f>LEFT(Table3[[#This Row],[EPI_DGN_ANTIC]],2)</f>
        <v>KM</v>
      </c>
      <c r="D212" s="8" t="s">
        <v>532</v>
      </c>
      <c r="E212" s="10">
        <v>1</v>
      </c>
      <c r="F212" s="22" t="s">
        <v>533</v>
      </c>
      <c r="G212" s="22"/>
      <c r="H212" s="16">
        <v>210</v>
      </c>
      <c r="I212" s="8" t="s">
        <v>534</v>
      </c>
      <c r="J212" s="10"/>
    </row>
    <row r="213" spans="1:10" hidden="1">
      <c r="A213" s="5">
        <v>211</v>
      </c>
      <c r="B213" t="str">
        <f>LEFT(Table3[[#This Row],[EPI_DGN_ANTIC]],1)</f>
        <v>K</v>
      </c>
      <c r="C213" t="str">
        <f>LEFT(Table3[[#This Row],[EPI_DGN_ANTIC]],2)</f>
        <v>KM</v>
      </c>
      <c r="D213" s="8" t="s">
        <v>535</v>
      </c>
      <c r="E213" s="10">
        <v>1</v>
      </c>
      <c r="F213" s="22" t="s">
        <v>536</v>
      </c>
      <c r="G213" s="22"/>
      <c r="H213" s="16">
        <v>211</v>
      </c>
      <c r="I213" s="8" t="s">
        <v>537</v>
      </c>
      <c r="J213" s="10"/>
    </row>
    <row r="214" spans="1:10" hidden="1">
      <c r="A214" s="5">
        <v>212</v>
      </c>
      <c r="B214" t="str">
        <f>LEFT(Table3[[#This Row],[EPI_DGN_ANTIC]],1)</f>
        <v>K</v>
      </c>
      <c r="C214" t="str">
        <f>LEFT(Table3[[#This Row],[EPI_DGN_ANTIC]],2)</f>
        <v>KS</v>
      </c>
      <c r="D214" s="8" t="s">
        <v>538</v>
      </c>
      <c r="E214" s="10">
        <v>1</v>
      </c>
      <c r="F214" s="22" t="s">
        <v>455</v>
      </c>
      <c r="G214" s="22"/>
      <c r="H214" s="16">
        <v>212</v>
      </c>
      <c r="I214" s="8" t="s">
        <v>539</v>
      </c>
      <c r="J214" s="10"/>
    </row>
    <row r="215" spans="1:10" hidden="1">
      <c r="A215" s="5">
        <v>213</v>
      </c>
      <c r="B215" t="str">
        <f>LEFT(Table3[[#This Row],[EPI_DGN_ANTIC]],1)</f>
        <v>K</v>
      </c>
      <c r="C215" t="str">
        <f>LEFT(Table3[[#This Row],[EPI_DGN_ANTIC]],2)</f>
        <v>KS</v>
      </c>
      <c r="D215" s="8" t="s">
        <v>540</v>
      </c>
      <c r="E215" s="10">
        <v>1</v>
      </c>
      <c r="F215" s="22" t="s">
        <v>457</v>
      </c>
      <c r="G215" s="22"/>
      <c r="H215" s="16">
        <v>213</v>
      </c>
      <c r="I215" s="8" t="s">
        <v>117</v>
      </c>
      <c r="J215" s="10"/>
    </row>
    <row r="216" spans="1:10" hidden="1">
      <c r="A216" s="5">
        <v>214</v>
      </c>
      <c r="B216" t="str">
        <f>LEFT(Table3[[#This Row],[EPI_DGN_ANTIC]],1)</f>
        <v>K</v>
      </c>
      <c r="C216" t="str">
        <f>LEFT(Table3[[#This Row],[EPI_DGN_ANTIC]],2)</f>
        <v>KS</v>
      </c>
      <c r="D216" s="8" t="s">
        <v>541</v>
      </c>
      <c r="E216" s="10">
        <v>1</v>
      </c>
      <c r="F216" s="22" t="s">
        <v>542</v>
      </c>
      <c r="G216" s="22"/>
      <c r="H216" s="16">
        <v>214</v>
      </c>
      <c r="I216" s="8" t="s">
        <v>543</v>
      </c>
      <c r="J216" s="10"/>
    </row>
    <row r="217" spans="1:10" hidden="1">
      <c r="A217" s="5">
        <v>215</v>
      </c>
      <c r="B217" t="str">
        <f>LEFT(Table3[[#This Row],[EPI_DGN_ANTIC]],1)</f>
        <v>K</v>
      </c>
      <c r="C217" t="str">
        <f>LEFT(Table3[[#This Row],[EPI_DGN_ANTIC]],2)</f>
        <v>KS</v>
      </c>
      <c r="D217" s="8" t="s">
        <v>544</v>
      </c>
      <c r="E217" s="10">
        <v>1</v>
      </c>
      <c r="F217" s="22" t="s">
        <v>545</v>
      </c>
      <c r="G217" s="22"/>
      <c r="H217" s="16">
        <v>215</v>
      </c>
      <c r="I217" s="8" t="s">
        <v>253</v>
      </c>
      <c r="J217" s="10"/>
    </row>
    <row r="218" spans="1:10" hidden="1">
      <c r="A218" s="5">
        <v>216</v>
      </c>
      <c r="B218" t="str">
        <f>LEFT(Table3[[#This Row],[EPI_DGN_ANTIC]],1)</f>
        <v>K</v>
      </c>
      <c r="C218" t="str">
        <f>LEFT(Table3[[#This Row],[EPI_DGN_ANTIC]],2)</f>
        <v>KS</v>
      </c>
      <c r="D218" s="8" t="s">
        <v>546</v>
      </c>
      <c r="E218" s="10">
        <v>1</v>
      </c>
      <c r="F218" t="s">
        <v>470</v>
      </c>
      <c r="H218" s="16">
        <v>216</v>
      </c>
      <c r="I218" s="8" t="s">
        <v>242</v>
      </c>
      <c r="J218" s="10"/>
    </row>
    <row r="219" spans="1:10" hidden="1">
      <c r="A219" s="5">
        <v>217</v>
      </c>
      <c r="B219" t="str">
        <f>LEFT(Table3[[#This Row],[EPI_DGN_ANTIC]],1)</f>
        <v>K</v>
      </c>
      <c r="C219" t="str">
        <f>LEFT(Table3[[#This Row],[EPI_DGN_ANTIC]],2)</f>
        <v>KS</v>
      </c>
      <c r="D219" s="8" t="s">
        <v>547</v>
      </c>
      <c r="E219" s="10">
        <v>1</v>
      </c>
      <c r="F219" t="s">
        <v>467</v>
      </c>
      <c r="H219" s="16">
        <v>217</v>
      </c>
      <c r="I219" s="8" t="s">
        <v>548</v>
      </c>
      <c r="J219" s="10"/>
    </row>
    <row r="220" spans="1:10" hidden="1">
      <c r="A220" s="5">
        <v>218</v>
      </c>
      <c r="B220" t="str">
        <f>LEFT(Table3[[#This Row],[EPI_DGN_ANTIC]],1)</f>
        <v>Z</v>
      </c>
      <c r="C220" t="str">
        <f>LEFT(Table3[[#This Row],[EPI_DGN_ANTIC]],3)</f>
        <v>ZOb</v>
      </c>
      <c r="D220" s="8" t="s">
        <v>549</v>
      </c>
      <c r="E220" s="10">
        <v>1</v>
      </c>
      <c r="F220" s="22" t="s">
        <v>550</v>
      </c>
      <c r="G220" s="22"/>
      <c r="H220" s="16">
        <v>218</v>
      </c>
      <c r="I220" s="8" t="s">
        <v>293</v>
      </c>
      <c r="J220" s="10"/>
    </row>
    <row r="221" spans="1:10" hidden="1">
      <c r="A221" s="5">
        <v>219</v>
      </c>
      <c r="B221" t="s">
        <v>350</v>
      </c>
      <c r="C221" t="s">
        <v>354</v>
      </c>
      <c r="D221" s="8" t="s">
        <v>551</v>
      </c>
      <c r="E221" s="10">
        <v>1</v>
      </c>
      <c r="F221" s="22" t="s">
        <v>552</v>
      </c>
      <c r="G221" s="22"/>
      <c r="H221" s="16">
        <v>219</v>
      </c>
      <c r="I221" s="8" t="s">
        <v>253</v>
      </c>
      <c r="J221" s="10"/>
    </row>
    <row r="222" spans="1:10" hidden="1">
      <c r="A222" s="5">
        <v>220</v>
      </c>
      <c r="B222" t="str">
        <f>LEFT(Table3[[#This Row],[EPI_DGN_ANTIC]],1)</f>
        <v>Z</v>
      </c>
      <c r="C222" t="str">
        <f>LEFT(Table3[[#This Row],[EPI_DGN_ANTIC]],3)</f>
        <v>ZOc</v>
      </c>
      <c r="D222" s="8" t="s">
        <v>553</v>
      </c>
      <c r="E222" s="10">
        <v>1</v>
      </c>
      <c r="F222" s="22" t="s">
        <v>554</v>
      </c>
      <c r="G222" s="22"/>
      <c r="H222" s="16">
        <v>220</v>
      </c>
      <c r="I222" s="8" t="s">
        <v>253</v>
      </c>
      <c r="J222" s="10"/>
    </row>
    <row r="223" spans="1:10" hidden="1">
      <c r="A223" s="5">
        <v>221</v>
      </c>
      <c r="B223" t="str">
        <f>LEFT(Table3[[#This Row],[EPI_DGN_ANTIC]],1)</f>
        <v>Z</v>
      </c>
      <c r="C223" t="str">
        <f>LEFT(Table3[[#This Row],[EPI_DGN_ANTIC]],3)</f>
        <v>ZOc</v>
      </c>
      <c r="D223" s="8" t="s">
        <v>555</v>
      </c>
      <c r="E223" s="10">
        <v>1</v>
      </c>
      <c r="F223" s="22" t="s">
        <v>556</v>
      </c>
      <c r="G223" s="22"/>
      <c r="H223" s="16">
        <v>221</v>
      </c>
      <c r="I223" s="8" t="s">
        <v>242</v>
      </c>
      <c r="J223" s="10"/>
    </row>
    <row r="224" spans="1:10" hidden="1">
      <c r="A224" s="5">
        <v>222</v>
      </c>
      <c r="B224" t="str">
        <f>LEFT(Table3[[#This Row],[EPI_DGN_ANTIC]],1)</f>
        <v>Z</v>
      </c>
      <c r="C224" t="str">
        <f>LEFT(Table3[[#This Row],[EPI_DGN_ANTIC]],3)</f>
        <v>ZOg</v>
      </c>
      <c r="D224" s="8" t="s">
        <v>557</v>
      </c>
      <c r="E224" s="10">
        <v>1</v>
      </c>
      <c r="F224" s="22" t="s">
        <v>554</v>
      </c>
      <c r="G224" s="22"/>
      <c r="H224" s="16">
        <v>222</v>
      </c>
      <c r="I224" s="8" t="s">
        <v>558</v>
      </c>
      <c r="J224" s="10"/>
    </row>
    <row r="225" spans="1:10" hidden="1">
      <c r="A225" s="5">
        <v>223</v>
      </c>
      <c r="B225" t="s">
        <v>350</v>
      </c>
      <c r="C225" t="s">
        <v>559</v>
      </c>
      <c r="D225" s="8" t="s">
        <v>560</v>
      </c>
      <c r="E225" s="10">
        <v>1</v>
      </c>
      <c r="F225" s="22" t="s">
        <v>363</v>
      </c>
      <c r="G225" s="22"/>
      <c r="H225" s="16">
        <v>223</v>
      </c>
      <c r="I225" s="8" t="s">
        <v>561</v>
      </c>
      <c r="J225" s="10"/>
    </row>
    <row r="226" spans="1:10" hidden="1">
      <c r="A226" s="5">
        <v>224</v>
      </c>
      <c r="B226" t="s">
        <v>350</v>
      </c>
      <c r="C226" t="s">
        <v>559</v>
      </c>
      <c r="D226" s="8" t="s">
        <v>562</v>
      </c>
      <c r="E226" s="10">
        <v>1</v>
      </c>
      <c r="F226" s="22" t="s">
        <v>363</v>
      </c>
      <c r="G226" s="22"/>
      <c r="H226" s="16">
        <v>224</v>
      </c>
      <c r="I226" s="8" t="s">
        <v>563</v>
      </c>
      <c r="J226" s="10"/>
    </row>
    <row r="227" spans="1:10" hidden="1">
      <c r="A227" s="5">
        <v>225</v>
      </c>
      <c r="B227" t="s">
        <v>350</v>
      </c>
      <c r="C227" t="s">
        <v>559</v>
      </c>
      <c r="D227" s="8" t="s">
        <v>564</v>
      </c>
      <c r="E227" s="10">
        <v>1</v>
      </c>
      <c r="F227" s="22" t="s">
        <v>363</v>
      </c>
      <c r="G227" s="22"/>
      <c r="H227" s="16">
        <v>225</v>
      </c>
      <c r="I227" s="8" t="s">
        <v>565</v>
      </c>
      <c r="J227" s="10"/>
    </row>
    <row r="228" spans="1:10" hidden="1">
      <c r="A228" s="5">
        <v>226</v>
      </c>
      <c r="B228" t="s">
        <v>350</v>
      </c>
      <c r="C228" t="s">
        <v>559</v>
      </c>
      <c r="D228" s="8" t="s">
        <v>566</v>
      </c>
      <c r="E228" s="10">
        <v>1</v>
      </c>
      <c r="F228" s="22" t="s">
        <v>363</v>
      </c>
      <c r="G228" s="22"/>
      <c r="H228" s="16">
        <v>226</v>
      </c>
      <c r="I228" s="8" t="s">
        <v>567</v>
      </c>
      <c r="J228" s="10"/>
    </row>
    <row r="229" spans="1:10" hidden="1">
      <c r="A229" s="5">
        <v>227</v>
      </c>
      <c r="B229" t="str">
        <f>LEFT(Table3[[#This Row],[EPI_DGN_ANTIC]],1)</f>
        <v>K</v>
      </c>
      <c r="C229" t="str">
        <f>LEFT(Table3[[#This Row],[EPI_DGN_ANTIC]],2)</f>
        <v>Kl</v>
      </c>
      <c r="D229" s="8" t="s">
        <v>568</v>
      </c>
      <c r="E229" s="10">
        <v>1</v>
      </c>
      <c r="F229" s="22" t="s">
        <v>569</v>
      </c>
      <c r="G229" s="22"/>
      <c r="H229" s="16">
        <v>227</v>
      </c>
      <c r="I229" s="8" t="s">
        <v>570</v>
      </c>
      <c r="J229" s="10"/>
    </row>
    <row r="230" spans="1:10" hidden="1">
      <c r="A230" s="5">
        <v>228</v>
      </c>
      <c r="B230" t="str">
        <f>LEFT(Table3[[#This Row],[EPI_DGN_ANTIC]],1)</f>
        <v>C</v>
      </c>
      <c r="C230" t="str">
        <f>LEFT(Table3[[#This Row],[EPI_DGN_ANTIC]],3)</f>
        <v>CAP</v>
      </c>
      <c r="D230" s="8" t="s">
        <v>571</v>
      </c>
      <c r="E230" s="10">
        <v>0</v>
      </c>
      <c r="F230" s="22"/>
      <c r="G230" s="22"/>
      <c r="H230" s="16">
        <v>228</v>
      </c>
      <c r="I230" s="8" t="s">
        <v>570</v>
      </c>
      <c r="J230" s="10"/>
    </row>
    <row r="231" spans="1:10" hidden="1">
      <c r="A231" s="5">
        <v>229</v>
      </c>
      <c r="B231" t="str">
        <f>LEFT(Table3[[#This Row],[EPI_DGN_ANTIC]],1)</f>
        <v>J</v>
      </c>
      <c r="C231" t="str">
        <f>LEFT(Table3[[#This Row],[EPI_DGN_ANTIC]],2)</f>
        <v>JL</v>
      </c>
      <c r="D231" s="8" t="s">
        <v>275</v>
      </c>
      <c r="E231" s="10">
        <v>0</v>
      </c>
      <c r="F231" s="22"/>
      <c r="G231" s="22"/>
      <c r="H231" s="16">
        <v>229</v>
      </c>
      <c r="I231" s="8" t="s">
        <v>570</v>
      </c>
      <c r="J231" s="10"/>
    </row>
    <row r="232" spans="1:10" hidden="1">
      <c r="A232" s="5">
        <v>230</v>
      </c>
      <c r="B232" t="str">
        <f>LEFT(Table3[[#This Row],[EPI_DGN_ANTIC]],1)</f>
        <v>J</v>
      </c>
      <c r="C232" t="str">
        <f>LEFT(Table3[[#This Row],[EPI_DGN_ANTIC]],2)</f>
        <v>JL</v>
      </c>
      <c r="D232" s="8" t="s">
        <v>572</v>
      </c>
      <c r="E232" s="10">
        <v>1</v>
      </c>
      <c r="F232" s="22" t="s">
        <v>573</v>
      </c>
      <c r="G232" t="s">
        <v>90</v>
      </c>
      <c r="H232" s="16">
        <v>230</v>
      </c>
      <c r="I232" s="8" t="s">
        <v>570</v>
      </c>
      <c r="J232" s="10"/>
    </row>
    <row r="233" spans="1:10" hidden="1">
      <c r="A233" s="5">
        <v>231</v>
      </c>
      <c r="B233" t="str">
        <f>LEFT(Table3[[#This Row],[EPI_DGN_ANTIC]],1)</f>
        <v>E</v>
      </c>
      <c r="C233" t="str">
        <f>LEFT(Table3[[#This Row],[EPI_DGN_ANTIC]],2)</f>
        <v>EI</v>
      </c>
      <c r="D233" s="8" t="s">
        <v>574</v>
      </c>
      <c r="E233" s="10">
        <v>1</v>
      </c>
      <c r="F233" s="22" t="s">
        <v>111</v>
      </c>
      <c r="G233" s="22"/>
      <c r="H233" s="16">
        <v>231</v>
      </c>
      <c r="I233" s="8" t="s">
        <v>48</v>
      </c>
      <c r="J233" s="10"/>
    </row>
    <row r="234" spans="1:10" hidden="1">
      <c r="A234" s="5">
        <v>232</v>
      </c>
      <c r="B234" t="str">
        <f>LEFT(Table3[[#This Row],[EPI_DGN_ANTIC]],1)</f>
        <v>E</v>
      </c>
      <c r="C234" t="str">
        <f>LEFT(Table3[[#This Row],[EPI_DGN_ANTIC]],3)</f>
        <v>ECl</v>
      </c>
      <c r="D234" s="8" t="s">
        <v>575</v>
      </c>
      <c r="E234" s="10">
        <v>1</v>
      </c>
      <c r="F234" s="22" t="s">
        <v>435</v>
      </c>
      <c r="G234" s="22"/>
      <c r="H234" s="16">
        <v>232</v>
      </c>
      <c r="I234" s="8" t="s">
        <v>576</v>
      </c>
      <c r="J234" s="10"/>
    </row>
    <row r="235" spans="1:10" hidden="1">
      <c r="A235" s="5">
        <v>233</v>
      </c>
      <c r="B235" t="str">
        <f>LEFT(Table3[[#This Row],[EPI_DGN_ANTIC]],1)</f>
        <v>E</v>
      </c>
      <c r="C235" t="str">
        <f>LEFT(Table3[[#This Row],[EPI_DGN_ANTIC]],3)</f>
        <v>ECl</v>
      </c>
      <c r="D235" s="8" t="s">
        <v>577</v>
      </c>
      <c r="E235" s="10">
        <v>1</v>
      </c>
      <c r="F235" s="22" t="s">
        <v>578</v>
      </c>
      <c r="G235" s="22"/>
      <c r="H235" s="16">
        <v>233</v>
      </c>
      <c r="I235" s="8" t="s">
        <v>579</v>
      </c>
      <c r="J235" s="10"/>
    </row>
    <row r="236" spans="1:10" hidden="1">
      <c r="A236" s="5">
        <v>234</v>
      </c>
      <c r="B236" t="str">
        <f>LEFT(Table3[[#This Row],[EPI_DGN_ANTIC]],1)</f>
        <v>E</v>
      </c>
      <c r="C236" t="str">
        <f>LEFT(Table3[[#This Row],[EPI_DGN_ANTIC]],3)</f>
        <v>ECl</v>
      </c>
      <c r="D236" s="8" t="s">
        <v>580</v>
      </c>
      <c r="E236" s="10">
        <v>1</v>
      </c>
      <c r="F236" s="22" t="s">
        <v>435</v>
      </c>
      <c r="G236" s="22"/>
      <c r="H236" s="16">
        <v>234</v>
      </c>
      <c r="I236" s="8" t="s">
        <v>172</v>
      </c>
      <c r="J236" s="10"/>
    </row>
    <row r="237" spans="1:10" hidden="1">
      <c r="A237" s="5">
        <v>235</v>
      </c>
      <c r="B237" t="str">
        <f>LEFT(Table3[[#This Row],[EPI_DGN_ANTIC]],1)</f>
        <v>E</v>
      </c>
      <c r="C237" t="str">
        <f>LEFT(Table3[[#This Row],[EPI_DGN_ANTIC]],3)</f>
        <v>ECg</v>
      </c>
      <c r="D237" s="8" t="s">
        <v>581</v>
      </c>
      <c r="E237" s="10">
        <v>1</v>
      </c>
      <c r="F237" s="22" t="s">
        <v>427</v>
      </c>
      <c r="G237" s="22"/>
      <c r="H237" s="16">
        <v>235</v>
      </c>
      <c r="I237" s="8" t="s">
        <v>582</v>
      </c>
      <c r="J237" s="10"/>
    </row>
    <row r="238" spans="1:10" hidden="1">
      <c r="A238" s="5">
        <v>236</v>
      </c>
      <c r="B238" t="str">
        <f>LEFT(Table3[[#This Row],[EPI_DGN_ANTIC]],1)</f>
        <v>E</v>
      </c>
      <c r="C238" t="str">
        <f>LEFT(Table3[[#This Row],[EPI_DGN_ANTIC]],3)</f>
        <v>ECl</v>
      </c>
      <c r="D238" s="8" t="s">
        <v>583</v>
      </c>
      <c r="E238" s="10">
        <v>1</v>
      </c>
      <c r="F238" s="22" t="s">
        <v>441</v>
      </c>
      <c r="G238" s="22"/>
      <c r="H238" s="16">
        <v>236</v>
      </c>
      <c r="I238" s="8" t="s">
        <v>584</v>
      </c>
      <c r="J238" s="10"/>
    </row>
    <row r="239" spans="1:10" hidden="1">
      <c r="A239" s="5">
        <v>237</v>
      </c>
      <c r="B239" t="str">
        <f>LEFT(Table3[[#This Row],[EPI_DGN_ANTIC]],1)</f>
        <v>E</v>
      </c>
      <c r="C239" t="str">
        <f>LEFT(Table3[[#This Row],[EPI_DGN_ANTIC]],3)</f>
        <v>ECl</v>
      </c>
      <c r="D239" s="8" t="s">
        <v>585</v>
      </c>
      <c r="E239" s="10">
        <v>1</v>
      </c>
      <c r="F239" s="22" t="s">
        <v>441</v>
      </c>
      <c r="G239" s="22"/>
      <c r="H239" s="16">
        <v>237</v>
      </c>
      <c r="I239" s="8" t="s">
        <v>584</v>
      </c>
      <c r="J239" s="10"/>
    </row>
    <row r="240" spans="1:10" hidden="1">
      <c r="A240" s="5">
        <v>238</v>
      </c>
      <c r="B240" t="str">
        <f>LEFT(Table3[[#This Row],[EPI_DGN_ANTIC]],1)</f>
        <v>E</v>
      </c>
      <c r="C240" t="str">
        <f>LEFT(Table3[[#This Row],[EPI_DGN_ANTIC]],3)</f>
        <v>ECl</v>
      </c>
      <c r="D240" s="8" t="s">
        <v>586</v>
      </c>
      <c r="E240" s="10">
        <v>1</v>
      </c>
      <c r="F240" s="22" t="s">
        <v>435</v>
      </c>
      <c r="G240" s="22"/>
      <c r="H240" s="16">
        <v>238</v>
      </c>
      <c r="I240" s="8" t="s">
        <v>325</v>
      </c>
      <c r="J240" s="10"/>
    </row>
    <row r="241" spans="1:10" hidden="1">
      <c r="A241" s="5">
        <v>239</v>
      </c>
      <c r="B241" t="str">
        <f>LEFT(Table3[[#This Row],[EPI_DGN_ANTIC]],1)</f>
        <v>E</v>
      </c>
      <c r="C241" t="str">
        <f>LEFT(Table3[[#This Row],[EPI_DGN_ANTIC]],3)</f>
        <v>ECl</v>
      </c>
      <c r="D241" s="8" t="s">
        <v>587</v>
      </c>
      <c r="E241" s="10">
        <v>1</v>
      </c>
      <c r="F241" s="22" t="s">
        <v>435</v>
      </c>
      <c r="G241" s="22"/>
      <c r="H241" s="16">
        <v>239</v>
      </c>
      <c r="I241" s="8" t="s">
        <v>478</v>
      </c>
      <c r="J241" s="10"/>
    </row>
    <row r="242" spans="1:10" hidden="1">
      <c r="A242" s="5">
        <v>240</v>
      </c>
      <c r="B242" t="str">
        <f>LEFT(Table3[[#This Row],[EPI_DGN_ANTIC]],1)</f>
        <v>E</v>
      </c>
      <c r="C242" t="str">
        <f>LEFT(Table3[[#This Row],[EPI_DGN_ANTIC]],2)</f>
        <v>EI</v>
      </c>
      <c r="D242" s="8" t="s">
        <v>588</v>
      </c>
      <c r="E242" s="10">
        <v>1</v>
      </c>
      <c r="F242" s="22" t="s">
        <v>589</v>
      </c>
      <c r="G242" s="22"/>
      <c r="H242" s="16">
        <v>240</v>
      </c>
      <c r="I242" s="8" t="s">
        <v>590</v>
      </c>
      <c r="J242" s="10"/>
    </row>
    <row r="243" spans="1:10" hidden="1">
      <c r="A243" s="5">
        <v>241</v>
      </c>
      <c r="B243" t="str">
        <f>LEFT(Table3[[#This Row],[EPI_DGN_ANTIC]],1)</f>
        <v>E</v>
      </c>
      <c r="C243" t="str">
        <f>LEFT(Table3[[#This Row],[EPI_DGN_ANTIC]],2)</f>
        <v>EI</v>
      </c>
      <c r="D243" s="8" t="s">
        <v>591</v>
      </c>
      <c r="E243" s="10">
        <v>1</v>
      </c>
      <c r="F243" s="22" t="s">
        <v>592</v>
      </c>
      <c r="G243" s="22"/>
      <c r="H243" s="16">
        <v>241</v>
      </c>
      <c r="I243" s="8" t="s">
        <v>593</v>
      </c>
      <c r="J243" s="10"/>
    </row>
    <row r="244" spans="1:10" hidden="1">
      <c r="A244" s="5">
        <v>242</v>
      </c>
      <c r="B244" t="str">
        <f>LEFT(Table3[[#This Row],[EPI_DGN_ANTIC]],1)</f>
        <v>E</v>
      </c>
      <c r="C244" t="str">
        <f>LEFT(Table3[[#This Row],[EPI_DGN_ANTIC]],3)</f>
        <v>EBc</v>
      </c>
      <c r="D244" s="8" t="s">
        <v>594</v>
      </c>
      <c r="E244" s="10">
        <v>1</v>
      </c>
      <c r="F244" s="22" t="s">
        <v>595</v>
      </c>
      <c r="G244" s="22"/>
      <c r="H244" s="16">
        <v>242</v>
      </c>
      <c r="I244" s="8" t="s">
        <v>596</v>
      </c>
      <c r="J244" s="10"/>
    </row>
    <row r="245" spans="1:10" hidden="1">
      <c r="A245" s="5">
        <v>243</v>
      </c>
      <c r="B245" t="str">
        <f>LEFT(Table3[[#This Row],[EPI_DGN_ANTIC]],1)</f>
        <v>E</v>
      </c>
      <c r="C245" t="str">
        <f>LEFT(Table3[[#This Row],[EPI_DGN_ANTIC]],3)</f>
        <v>EBl</v>
      </c>
      <c r="D245" s="8" t="s">
        <v>597</v>
      </c>
      <c r="E245" s="10">
        <v>1</v>
      </c>
      <c r="F245" s="22" t="s">
        <v>598</v>
      </c>
      <c r="G245" s="22"/>
      <c r="H245" s="16">
        <v>243</v>
      </c>
      <c r="I245" s="8" t="s">
        <v>599</v>
      </c>
      <c r="J245" s="10"/>
    </row>
    <row r="246" spans="1:10" hidden="1">
      <c r="A246" s="5">
        <v>244</v>
      </c>
      <c r="B246" t="str">
        <f>LEFT(Table3[[#This Row],[EPI_DGN_ANTIC]],1)</f>
        <v>E</v>
      </c>
      <c r="C246" t="str">
        <f>LEFT(Table3[[#This Row],[EPI_DGN_ANTIC]],3)</f>
        <v>EBl</v>
      </c>
      <c r="D246" s="8" t="s">
        <v>600</v>
      </c>
      <c r="E246" s="10">
        <v>1</v>
      </c>
      <c r="F246" s="22" t="s">
        <v>47</v>
      </c>
      <c r="G246" s="22"/>
      <c r="H246" s="16">
        <v>244</v>
      </c>
      <c r="I246" s="8" t="s">
        <v>601</v>
      </c>
      <c r="J246" s="10"/>
    </row>
    <row r="247" spans="1:10" hidden="1">
      <c r="A247" s="5">
        <v>245</v>
      </c>
      <c r="B247" t="str">
        <f>LEFT(Table3[[#This Row],[EPI_DGN_ANTIC]],1)</f>
        <v>E</v>
      </c>
      <c r="C247" t="str">
        <f>LEFT(Table3[[#This Row],[EPI_DGN_ANTIC]],3)</f>
        <v>EBl</v>
      </c>
      <c r="D247" s="8" t="s">
        <v>602</v>
      </c>
      <c r="E247" s="10">
        <v>1</v>
      </c>
      <c r="F247" s="22" t="s">
        <v>603</v>
      </c>
      <c r="G247" s="22"/>
      <c r="H247" s="16">
        <v>245</v>
      </c>
      <c r="I247" s="8" t="s">
        <v>604</v>
      </c>
      <c r="J247" s="10"/>
    </row>
    <row r="248" spans="1:10" hidden="1">
      <c r="A248" s="5">
        <v>246</v>
      </c>
      <c r="B248" t="str">
        <f>LEFT(Table3[[#This Row],[EPI_DGN_ANTIC]],1)</f>
        <v>G</v>
      </c>
      <c r="C248" t="str">
        <f>LEFT(Table3[[#This Row],[EPI_DGN_ANTIC]],2)</f>
        <v>Gm</v>
      </c>
      <c r="D248" s="8" t="s">
        <v>605</v>
      </c>
      <c r="E248" s="10">
        <v>1</v>
      </c>
      <c r="F248" s="22" t="s">
        <v>310</v>
      </c>
      <c r="G248" t="s">
        <v>90</v>
      </c>
      <c r="H248" s="16">
        <v>246</v>
      </c>
      <c r="I248" s="8" t="s">
        <v>606</v>
      </c>
      <c r="J248" s="10"/>
    </row>
    <row r="249" spans="1:10" hidden="1">
      <c r="A249" s="5">
        <v>247</v>
      </c>
      <c r="B249" t="str">
        <f>LEFT(Table3[[#This Row],[EPI_DGN_ANTIC]],1)</f>
        <v>G</v>
      </c>
      <c r="C249" t="str">
        <f>LEFT(Table3[[#This Row],[EPI_DGN_ANTIC]],2)</f>
        <v>Gg</v>
      </c>
      <c r="D249" s="8" t="s">
        <v>607</v>
      </c>
      <c r="E249" s="10">
        <v>1</v>
      </c>
      <c r="F249" s="22" t="s">
        <v>454</v>
      </c>
      <c r="G249" s="22"/>
      <c r="H249" s="16">
        <v>247</v>
      </c>
      <c r="I249" s="8" t="s">
        <v>608</v>
      </c>
      <c r="J249" s="10"/>
    </row>
    <row r="250" spans="1:10" hidden="1">
      <c r="A250" s="5">
        <v>248</v>
      </c>
      <c r="B250" t="str">
        <f>LEFT(Table3[[#This Row],[EPI_DGN_ANTIC]],1)</f>
        <v>G</v>
      </c>
      <c r="C250" t="str">
        <f>LEFT(Table3[[#This Row],[EPI_DGN_ANTIC]],2)</f>
        <v>Gp</v>
      </c>
      <c r="D250" s="8" t="s">
        <v>609</v>
      </c>
      <c r="E250" s="10">
        <v>1</v>
      </c>
      <c r="F250" s="22" t="s">
        <v>610</v>
      </c>
      <c r="G250" s="22" t="s">
        <v>486</v>
      </c>
      <c r="H250" s="16">
        <v>248</v>
      </c>
      <c r="I250" s="8" t="s">
        <v>611</v>
      </c>
      <c r="J250" s="10"/>
    </row>
    <row r="251" spans="1:10" hidden="1">
      <c r="A251" s="5">
        <v>249</v>
      </c>
      <c r="B251" t="str">
        <f>LEFT(Table3[[#This Row],[EPI_DGN_ANTIC]],1)</f>
        <v>G</v>
      </c>
      <c r="C251" t="str">
        <f>LEFT(Table3[[#This Row],[EPI_DGN_ANTIC]],2)</f>
        <v>Gp</v>
      </c>
      <c r="D251" s="8" t="s">
        <v>612</v>
      </c>
      <c r="E251" s="10">
        <v>1</v>
      </c>
      <c r="F251" s="22" t="s">
        <v>333</v>
      </c>
      <c r="G251" t="s">
        <v>90</v>
      </c>
      <c r="H251" s="16">
        <v>249</v>
      </c>
      <c r="I251" s="8" t="s">
        <v>613</v>
      </c>
      <c r="J251" s="10"/>
    </row>
    <row r="252" spans="1:10" hidden="1">
      <c r="A252" s="5">
        <v>250</v>
      </c>
      <c r="B252" t="str">
        <f>LEFT(Table3[[#This Row],[EPI_DGN_ANTIC]],1)</f>
        <v>G</v>
      </c>
      <c r="C252" t="str">
        <f>LEFT(Table3[[#This Row],[EPI_DGN_ANTIC]],2)</f>
        <v>Gm</v>
      </c>
      <c r="D252" s="8" t="s">
        <v>614</v>
      </c>
      <c r="E252" s="10">
        <v>1</v>
      </c>
      <c r="F252" s="22" t="s">
        <v>310</v>
      </c>
      <c r="G252" t="s">
        <v>486</v>
      </c>
      <c r="H252" s="16">
        <v>250</v>
      </c>
      <c r="I252" s="8" t="s">
        <v>615</v>
      </c>
      <c r="J252" s="10"/>
    </row>
    <row r="253" spans="1:10" hidden="1">
      <c r="A253" s="5">
        <v>251</v>
      </c>
      <c r="B253" t="str">
        <f>LEFT(Table3[[#This Row],[EPI_DGN_ANTIC]],1)</f>
        <v>G</v>
      </c>
      <c r="C253" t="str">
        <f>LEFT(Table3[[#This Row],[EPI_DGN_ANTIC]],2)</f>
        <v>Gm</v>
      </c>
      <c r="D253" s="8" t="s">
        <v>616</v>
      </c>
      <c r="E253" s="10">
        <v>1</v>
      </c>
      <c r="F253" s="22" t="s">
        <v>310</v>
      </c>
      <c r="G253" t="s">
        <v>90</v>
      </c>
      <c r="H253" s="16">
        <v>251</v>
      </c>
      <c r="I253" s="8" t="s">
        <v>79</v>
      </c>
      <c r="J253" s="10"/>
    </row>
    <row r="254" spans="1:10" hidden="1">
      <c r="A254" s="5">
        <v>252</v>
      </c>
      <c r="B254" t="str">
        <f>LEFT(Table3[[#This Row],[EPI_DGN_ANTIC]],1)</f>
        <v>G</v>
      </c>
      <c r="C254" t="str">
        <f>LEFT(Table3[[#This Row],[EPI_DGN_ANTIC]],2)</f>
        <v>Gg</v>
      </c>
      <c r="D254" s="8" t="s">
        <v>617</v>
      </c>
      <c r="E254" s="10">
        <v>1</v>
      </c>
      <c r="F254" s="22" t="s">
        <v>454</v>
      </c>
      <c r="G254" s="22"/>
      <c r="H254" s="16">
        <v>252</v>
      </c>
      <c r="I254" s="8" t="s">
        <v>618</v>
      </c>
      <c r="J254" s="10"/>
    </row>
    <row r="255" spans="1:10" hidden="1">
      <c r="A255" s="5">
        <v>253</v>
      </c>
      <c r="B255" t="str">
        <f>LEFT(Table3[[#This Row],[EPI_DGN_ANTIC]],1)</f>
        <v>G</v>
      </c>
      <c r="C255" t="str">
        <f>LEFT(Table3[[#This Row],[EPI_DGN_ANTIC]],2)</f>
        <v>Gf</v>
      </c>
      <c r="D255" s="8" t="s">
        <v>619</v>
      </c>
      <c r="E255" s="10">
        <v>1</v>
      </c>
      <c r="F255" s="22" t="s">
        <v>620</v>
      </c>
      <c r="G255" s="22"/>
      <c r="H255" s="16">
        <v>253</v>
      </c>
      <c r="I255" s="8" t="s">
        <v>606</v>
      </c>
      <c r="J255" s="10"/>
    </row>
    <row r="256" spans="1:10" hidden="1">
      <c r="A256" s="5">
        <v>254</v>
      </c>
      <c r="B256" t="str">
        <f>LEFT(Table3[[#This Row],[EPI_DGN_ANTIC]],1)</f>
        <v>D</v>
      </c>
      <c r="C256" t="s">
        <v>621</v>
      </c>
      <c r="D256" s="8" t="s">
        <v>622</v>
      </c>
      <c r="E256" s="10">
        <v>0</v>
      </c>
      <c r="F256" s="22"/>
      <c r="G256" s="22"/>
      <c r="H256" s="16">
        <v>254</v>
      </c>
      <c r="I256" s="8" t="s">
        <v>611</v>
      </c>
      <c r="J256" s="10"/>
    </row>
    <row r="257" spans="1:10" hidden="1">
      <c r="A257" s="5">
        <v>255</v>
      </c>
      <c r="B257" t="str">
        <f>LEFT(Table3[[#This Row],[EPI_DGN_ANTIC]],1)</f>
        <v>D</v>
      </c>
      <c r="C257" t="str">
        <f>LEFT(Table3[[#This Row],[EPI_DGN_ANTIC]],2)</f>
        <v>Dm</v>
      </c>
      <c r="D257" s="8" t="s">
        <v>623</v>
      </c>
      <c r="E257" s="10">
        <v>1</v>
      </c>
      <c r="F257" s="22" t="s">
        <v>624</v>
      </c>
      <c r="G257" s="22"/>
      <c r="H257" s="16">
        <v>255</v>
      </c>
      <c r="I257" s="8" t="s">
        <v>625</v>
      </c>
      <c r="J257" s="10"/>
    </row>
    <row r="258" spans="1:10" hidden="1">
      <c r="A258" s="5">
        <v>256</v>
      </c>
      <c r="B258" t="str">
        <f>LEFT(Table3[[#This Row],[EPI_DGN_ANTIC]],1)</f>
        <v>G</v>
      </c>
      <c r="C258" t="str">
        <f>LEFT(Table3[[#This Row],[EPI_DGN_ANTIC]],2)</f>
        <v>Gp</v>
      </c>
      <c r="D258" s="8" t="s">
        <v>626</v>
      </c>
      <c r="E258" s="10">
        <v>1</v>
      </c>
      <c r="F258" s="22" t="s">
        <v>627</v>
      </c>
      <c r="G258" t="s">
        <v>90</v>
      </c>
      <c r="H258" s="16">
        <v>256</v>
      </c>
      <c r="I258" s="8" t="s">
        <v>146</v>
      </c>
      <c r="J258" s="10"/>
    </row>
    <row r="259" spans="1:10" hidden="1">
      <c r="A259" s="5">
        <v>257</v>
      </c>
      <c r="B259" t="str">
        <f>LEFT(Table3[[#This Row],[EPI_DGN_ANTIC]],1)</f>
        <v>Z</v>
      </c>
      <c r="C259" t="str">
        <f>LEFT(Table3[[#This Row],[EPI_DGN_ANTIC]],3)</f>
        <v>ZO</v>
      </c>
      <c r="D259" s="8" t="s">
        <v>352</v>
      </c>
      <c r="E259" s="10">
        <v>1</v>
      </c>
      <c r="F259" s="22" t="s">
        <v>628</v>
      </c>
      <c r="G259" s="22"/>
      <c r="H259" s="16">
        <v>257</v>
      </c>
      <c r="I259" s="8" t="s">
        <v>629</v>
      </c>
      <c r="J259" s="10"/>
    </row>
    <row r="260" spans="1:10" hidden="1">
      <c r="A260" s="5">
        <v>258</v>
      </c>
      <c r="B260" t="str">
        <f>LEFT(Table3[[#This Row],[EPI_DGN_ANTIC]],1)</f>
        <v>Z</v>
      </c>
      <c r="C260" t="str">
        <f>LEFT(Table3[[#This Row],[EPI_DGN_ANTIC]],3)</f>
        <v>Z</v>
      </c>
      <c r="D260" s="8" t="s">
        <v>350</v>
      </c>
      <c r="E260" s="10">
        <v>0</v>
      </c>
      <c r="F260" s="22"/>
      <c r="G260" s="22"/>
      <c r="H260" s="16">
        <v>258</v>
      </c>
      <c r="I260" s="8" t="s">
        <v>630</v>
      </c>
      <c r="J260" s="10"/>
    </row>
    <row r="261" spans="1:10" hidden="1">
      <c r="A261" s="5">
        <v>259</v>
      </c>
      <c r="B261" t="s">
        <v>350</v>
      </c>
      <c r="C261" t="s">
        <v>352</v>
      </c>
      <c r="D261" s="8" t="s">
        <v>631</v>
      </c>
      <c r="E261" s="10">
        <v>1</v>
      </c>
      <c r="F261" s="22" t="s">
        <v>628</v>
      </c>
      <c r="G261" s="22"/>
      <c r="H261" s="16">
        <v>259</v>
      </c>
      <c r="I261" s="8" t="s">
        <v>632</v>
      </c>
      <c r="J261" s="10"/>
    </row>
    <row r="262" spans="1:10" hidden="1">
      <c r="A262" s="5">
        <v>260</v>
      </c>
      <c r="B262" t="s">
        <v>350</v>
      </c>
      <c r="C262" t="s">
        <v>352</v>
      </c>
      <c r="D262" s="8" t="s">
        <v>633</v>
      </c>
      <c r="E262" s="10">
        <v>1</v>
      </c>
      <c r="F262" s="22" t="s">
        <v>628</v>
      </c>
      <c r="G262" s="22"/>
      <c r="H262" s="16">
        <v>260</v>
      </c>
      <c r="I262" s="8" t="s">
        <v>634</v>
      </c>
      <c r="J262" s="10"/>
    </row>
    <row r="263" spans="1:10" hidden="1">
      <c r="A263" s="5">
        <v>261</v>
      </c>
      <c r="B263" t="str">
        <f>LEFT(Table3[[#This Row],[EPI_DGN_ANTIC]],1)</f>
        <v>C</v>
      </c>
      <c r="C263" t="str">
        <f>LEFT(Table3[[#This Row],[EPI_DGN_ANTIC]],2)</f>
        <v>C</v>
      </c>
      <c r="D263" s="8" t="s">
        <v>229</v>
      </c>
      <c r="E263" s="10">
        <v>0</v>
      </c>
      <c r="F263" s="22"/>
      <c r="G263" s="22"/>
      <c r="H263" s="16">
        <v>261</v>
      </c>
      <c r="I263" s="8" t="s">
        <v>635</v>
      </c>
      <c r="J263" s="10"/>
    </row>
    <row r="264" spans="1:10" hidden="1">
      <c r="A264" s="5">
        <v>262</v>
      </c>
      <c r="B264" t="str">
        <f>LEFT(Table3[[#This Row],[EPI_DGN_ANTIC]],1)</f>
        <v>C</v>
      </c>
      <c r="C264" t="str">
        <f>LEFT(Table3[[#This Row],[EPI_DGN_ANTIC]],2)</f>
        <v>Ca</v>
      </c>
      <c r="D264" s="8" t="s">
        <v>636</v>
      </c>
      <c r="E264" s="10">
        <v>0</v>
      </c>
      <c r="F264" s="22"/>
      <c r="G264" s="22"/>
      <c r="H264" s="16">
        <v>262</v>
      </c>
      <c r="I264" s="8" t="s">
        <v>637</v>
      </c>
      <c r="J264" s="10"/>
    </row>
    <row r="265" spans="1:10" hidden="1">
      <c r="A265" s="5">
        <v>263</v>
      </c>
      <c r="B265" t="str">
        <f>LEFT(Table3[[#This Row],[EPI_DGN_ANTIC]],1)</f>
        <v>D</v>
      </c>
      <c r="C265" t="str">
        <f>LEFT(Table3[[#This Row],[EPI_DGN_ANTIC]],2)</f>
        <v>D</v>
      </c>
      <c r="D265" s="8" t="s">
        <v>378</v>
      </c>
      <c r="E265" s="10">
        <v>0</v>
      </c>
      <c r="F265" s="22"/>
      <c r="G265" s="22"/>
      <c r="H265" s="16">
        <v>263</v>
      </c>
      <c r="I265" s="8" t="s">
        <v>637</v>
      </c>
      <c r="J265" s="10"/>
    </row>
    <row r="266" spans="1:10" hidden="1">
      <c r="A266" s="5">
        <v>264</v>
      </c>
      <c r="B266" t="str">
        <f>LEFT(Table3[[#This Row],[EPI_DGN_ANTIC]],1)</f>
        <v>E</v>
      </c>
      <c r="D266" s="8" t="s">
        <v>10</v>
      </c>
      <c r="E266" s="10">
        <v>0</v>
      </c>
      <c r="F266" s="22"/>
      <c r="G266" s="22"/>
      <c r="H266" s="16">
        <v>264</v>
      </c>
      <c r="I266" s="8" t="s">
        <v>638</v>
      </c>
      <c r="J266" s="10"/>
    </row>
    <row r="267" spans="1:10" hidden="1">
      <c r="A267" s="5">
        <v>265</v>
      </c>
      <c r="B267" t="str">
        <f>LEFT(Table3[[#This Row],[EPI_DGN_ANTIC]],1)</f>
        <v>G</v>
      </c>
      <c r="C267" t="str">
        <f>LEFT(Table3[[#This Row],[EPI_DGN_ANTIC]],2)</f>
        <v>Gd</v>
      </c>
      <c r="D267" s="8" t="s">
        <v>639</v>
      </c>
      <c r="E267" s="10">
        <v>0</v>
      </c>
      <c r="F267" s="22"/>
      <c r="G267" s="22"/>
      <c r="H267" s="16">
        <v>265</v>
      </c>
      <c r="I267" s="8" t="s">
        <v>640</v>
      </c>
      <c r="J267" s="10"/>
    </row>
    <row r="268" spans="1:10" hidden="1">
      <c r="A268" s="5">
        <v>266</v>
      </c>
      <c r="B268" t="str">
        <f>LEFT(Table3[[#This Row],[EPI_DGN_ANTIC]],1)</f>
        <v>G</v>
      </c>
      <c r="C268" t="str">
        <f>LEFT(Table3[[#This Row],[EPI_DGN_ANTIC]],2)</f>
        <v>Gn</v>
      </c>
      <c r="D268" s="8" t="s">
        <v>342</v>
      </c>
      <c r="E268" s="10">
        <v>1</v>
      </c>
      <c r="F268" s="22" t="s">
        <v>641</v>
      </c>
      <c r="G268" s="22"/>
      <c r="H268" s="16">
        <v>266</v>
      </c>
      <c r="I268" s="8" t="s">
        <v>642</v>
      </c>
      <c r="J268" s="10"/>
    </row>
    <row r="269" spans="1:10" hidden="1">
      <c r="A269" s="5">
        <v>267</v>
      </c>
      <c r="B269" t="s">
        <v>292</v>
      </c>
      <c r="C269" t="s">
        <v>342</v>
      </c>
      <c r="D269" s="8" t="s">
        <v>643</v>
      </c>
      <c r="E269" s="10">
        <v>1</v>
      </c>
      <c r="F269" s="22" t="s">
        <v>641</v>
      </c>
      <c r="G269" s="22"/>
      <c r="H269" s="16">
        <v>267</v>
      </c>
      <c r="I269" s="8" t="s">
        <v>644</v>
      </c>
      <c r="J269" s="10"/>
    </row>
    <row r="270" spans="1:10" hidden="1">
      <c r="A270" s="5">
        <v>268</v>
      </c>
      <c r="B270" t="str">
        <f>LEFT(Table3[[#This Row],[EPI_DGN_ANTIC]],1)</f>
        <v>J</v>
      </c>
      <c r="C270" t="str">
        <f>LEFT(Table3[[#This Row],[EPI_DGN_ANTIC]],2)</f>
        <v>J</v>
      </c>
      <c r="D270" s="8" t="s">
        <v>270</v>
      </c>
      <c r="E270" s="10">
        <v>0</v>
      </c>
      <c r="F270" s="22"/>
      <c r="G270" s="22"/>
      <c r="H270" s="16">
        <v>268</v>
      </c>
      <c r="I270" s="8" t="s">
        <v>645</v>
      </c>
      <c r="J270" s="10"/>
    </row>
    <row r="271" spans="1:10" hidden="1">
      <c r="A271" s="5">
        <v>269</v>
      </c>
      <c r="B271" t="str">
        <f>LEFT(Table3[[#This Row],[EPI_DGN_ANTIC]],1)</f>
        <v>K</v>
      </c>
      <c r="C271" t="str">
        <f>LEFT(Table3[[#This Row],[EPI_DGN_ANTIC]],2)</f>
        <v>K</v>
      </c>
      <c r="D271" s="8" t="s">
        <v>128</v>
      </c>
      <c r="E271" s="10">
        <v>0</v>
      </c>
      <c r="F271" s="22"/>
      <c r="G271" s="22"/>
      <c r="H271" s="16">
        <v>269</v>
      </c>
      <c r="I271" s="8" t="s">
        <v>168</v>
      </c>
      <c r="J271" s="10"/>
    </row>
    <row r="272" spans="1:10" hidden="1">
      <c r="A272" s="5">
        <v>270</v>
      </c>
      <c r="B272" t="str">
        <f>LEFT(Table3[[#This Row],[EPI_DGN_ANTIC]],1)</f>
        <v>K</v>
      </c>
      <c r="C272" t="str">
        <f>LEFT(Table3[[#This Row],[EPI_DGN_ANTIC]],2)</f>
        <v>KP</v>
      </c>
      <c r="D272" s="8" t="s">
        <v>203</v>
      </c>
      <c r="E272" s="10">
        <v>1</v>
      </c>
      <c r="F272" s="22" t="s">
        <v>646</v>
      </c>
      <c r="G272" s="22"/>
      <c r="H272" s="16">
        <v>270</v>
      </c>
      <c r="I272" s="8" t="s">
        <v>407</v>
      </c>
      <c r="J272" s="10"/>
    </row>
    <row r="273" spans="1:10" hidden="1">
      <c r="A273" s="5">
        <v>271</v>
      </c>
      <c r="B273" t="str">
        <f>LEFT(Table3[[#This Row],[EPI_DGN_ANTIC]],1)</f>
        <v>C</v>
      </c>
      <c r="C273" t="str">
        <f>LEFT(Table3[[#This Row],[EPI_DGN_ANTIC]],3)</f>
        <v>CAc</v>
      </c>
      <c r="D273" s="8" t="s">
        <v>647</v>
      </c>
      <c r="E273" s="10">
        <v>1</v>
      </c>
      <c r="F273" s="22" t="s">
        <v>648</v>
      </c>
      <c r="G273" s="22"/>
      <c r="H273" s="16">
        <v>271</v>
      </c>
      <c r="I273" s="8" t="s">
        <v>649</v>
      </c>
      <c r="J273" s="10"/>
    </row>
    <row r="274" spans="1:10" hidden="1">
      <c r="A274" s="5">
        <v>272</v>
      </c>
      <c r="B274" t="str">
        <f>LEFT(Table3[[#This Row],[EPI_DGN_ANTIC]],1)</f>
        <v>C</v>
      </c>
      <c r="C274" t="str">
        <f>LEFT(Table3[[#This Row],[EPI_DGN_ANTIC]],3)</f>
        <v>CAc</v>
      </c>
      <c r="D274" s="8" t="s">
        <v>650</v>
      </c>
      <c r="E274" s="10">
        <v>1</v>
      </c>
      <c r="F274" s="22" t="s">
        <v>651</v>
      </c>
      <c r="G274" s="22"/>
      <c r="H274" s="16">
        <v>272</v>
      </c>
      <c r="I274" s="8" t="s">
        <v>652</v>
      </c>
      <c r="J274" s="10"/>
    </row>
    <row r="275" spans="1:10" hidden="1">
      <c r="A275" s="5">
        <v>273</v>
      </c>
      <c r="B275" t="str">
        <f>LEFT(Table3[[#This Row],[EPI_DGN_ANTIC]],1)</f>
        <v>C</v>
      </c>
      <c r="C275" t="str">
        <f>LEFT(Table3[[#This Row],[EPI_DGN_ANTIC]],3)</f>
        <v>CAc</v>
      </c>
      <c r="D275" s="8" t="s">
        <v>653</v>
      </c>
      <c r="E275" s="10">
        <v>1</v>
      </c>
      <c r="F275" s="22" t="s">
        <v>654</v>
      </c>
      <c r="G275" s="22"/>
      <c r="H275" s="16">
        <v>273</v>
      </c>
      <c r="I275" s="8" t="s">
        <v>655</v>
      </c>
      <c r="J275" s="10"/>
    </row>
    <row r="276" spans="1:10" hidden="1">
      <c r="A276" s="5">
        <v>274</v>
      </c>
      <c r="B276" t="str">
        <f>LEFT(Table3[[#This Row],[EPI_DGN_ANTIC]],1)</f>
        <v>C</v>
      </c>
      <c r="C276" t="str">
        <f>LEFT(Table3[[#This Row],[EPI_DGN_ANTIC]],3)</f>
        <v>CAg</v>
      </c>
      <c r="D276" s="8" t="s">
        <v>656</v>
      </c>
      <c r="E276" s="10">
        <v>0</v>
      </c>
      <c r="F276" s="22"/>
      <c r="G276" s="22"/>
      <c r="H276" s="16">
        <v>274</v>
      </c>
      <c r="I276" s="8" t="s">
        <v>657</v>
      </c>
      <c r="J276" s="10"/>
    </row>
    <row r="277" spans="1:10" hidden="1">
      <c r="A277" s="5">
        <v>275</v>
      </c>
      <c r="B277" t="str">
        <f>LEFT(Table3[[#This Row],[EPI_DGN_ANTIC]],1)</f>
        <v>C</v>
      </c>
      <c r="C277" t="str">
        <f>LEFT(Table3[[#This Row],[EPI_DGN_ANTIC]],3)</f>
        <v>CAl</v>
      </c>
      <c r="D277" s="8" t="s">
        <v>658</v>
      </c>
      <c r="E277" s="10">
        <v>0</v>
      </c>
      <c r="F277" s="22"/>
      <c r="G277" s="22"/>
      <c r="H277" s="16">
        <v>275</v>
      </c>
      <c r="I277" s="8" t="s">
        <v>659</v>
      </c>
      <c r="J277" s="10"/>
    </row>
    <row r="278" spans="1:10" hidden="1">
      <c r="A278" s="5">
        <v>276</v>
      </c>
      <c r="B278" t="str">
        <f>LEFT(Table3[[#This Row],[EPI_DGN_ANTIC]],1)</f>
        <v>C</v>
      </c>
      <c r="C278" t="str">
        <f>LEFT(Table3[[#This Row],[EPI_DGN_ANTIC]],3)</f>
        <v>CaM</v>
      </c>
      <c r="D278" s="8" t="s">
        <v>660</v>
      </c>
      <c r="E278" s="10">
        <v>1</v>
      </c>
      <c r="F278" s="22" t="s">
        <v>661</v>
      </c>
      <c r="G278" s="22"/>
      <c r="H278" s="16">
        <v>276</v>
      </c>
      <c r="I278" s="8" t="s">
        <v>576</v>
      </c>
      <c r="J278" s="10"/>
    </row>
    <row r="279" spans="1:10" hidden="1">
      <c r="A279" s="5">
        <v>277</v>
      </c>
      <c r="B279" t="str">
        <f>LEFT(Table3[[#This Row],[EPI_DGN_ANTIC]],1)</f>
        <v>C</v>
      </c>
      <c r="C279" t="str">
        <f>LEFT(Table3[[#This Row],[EPI_DGN_ANTIC]],3)</f>
        <v>CAm</v>
      </c>
      <c r="D279" s="8" t="s">
        <v>662</v>
      </c>
      <c r="E279" s="10">
        <v>1</v>
      </c>
      <c r="F279" s="22" t="s">
        <v>663</v>
      </c>
      <c r="G279" s="22"/>
      <c r="H279" s="16">
        <v>277</v>
      </c>
      <c r="I279" s="8" t="s">
        <v>664</v>
      </c>
      <c r="J279" s="10"/>
    </row>
    <row r="280" spans="1:10" hidden="1">
      <c r="A280" s="5">
        <v>278</v>
      </c>
      <c r="B280" t="str">
        <f>LEFT(Table3[[#This Row],[EPI_DGN_ANTIC]],1)</f>
        <v>C</v>
      </c>
      <c r="C280" t="str">
        <f>LEFT(Table3[[#This Row],[EPI_DGN_ANTIC]],3)</f>
        <v>CaM</v>
      </c>
      <c r="D280" s="8" t="s">
        <v>665</v>
      </c>
      <c r="E280" s="10">
        <v>1</v>
      </c>
      <c r="F280" s="22" t="s">
        <v>680</v>
      </c>
      <c r="G280" s="22"/>
      <c r="H280" s="16">
        <v>278</v>
      </c>
      <c r="I280" s="8" t="s">
        <v>664</v>
      </c>
      <c r="J280" s="10"/>
    </row>
    <row r="281" spans="1:10" hidden="1">
      <c r="A281" s="5">
        <v>279</v>
      </c>
      <c r="B281" t="s">
        <v>229</v>
      </c>
      <c r="C281" t="s">
        <v>667</v>
      </c>
      <c r="D281" s="8" t="s">
        <v>668</v>
      </c>
      <c r="E281" s="10">
        <v>1</v>
      </c>
      <c r="F281" s="22" t="s">
        <v>669</v>
      </c>
      <c r="G281" s="22"/>
      <c r="H281" s="16">
        <v>279</v>
      </c>
      <c r="I281" s="8" t="s">
        <v>670</v>
      </c>
      <c r="J281" s="10"/>
    </row>
    <row r="282" spans="1:10" hidden="1">
      <c r="A282" s="5">
        <v>280</v>
      </c>
      <c r="B282" t="str">
        <f>LEFT(Table3[[#This Row],[EPI_DGN_ANTIC]],1)</f>
        <v>C</v>
      </c>
      <c r="C282" t="str">
        <f>LEFT(Table3[[#This Row],[EPI_DGN_ANTIC]],3)</f>
        <v>CAp</v>
      </c>
      <c r="D282" s="8" t="s">
        <v>671</v>
      </c>
      <c r="E282" s="10">
        <v>1</v>
      </c>
      <c r="F282" s="22" t="s">
        <v>672</v>
      </c>
      <c r="G282" s="22"/>
      <c r="H282" s="16">
        <v>280</v>
      </c>
      <c r="I282" s="8" t="s">
        <v>673</v>
      </c>
      <c r="J282" s="10"/>
    </row>
    <row r="283" spans="1:10" hidden="1">
      <c r="A283" s="5">
        <v>281</v>
      </c>
      <c r="B283" t="str">
        <f>LEFT(Table3[[#This Row],[EPI_DGN_ANTIC]],1)</f>
        <v>C</v>
      </c>
      <c r="C283" t="str">
        <f>LEFT(Table3[[#This Row],[EPI_DGN_ANTIC]],2)</f>
        <v>CK</v>
      </c>
      <c r="D283" s="8" t="s">
        <v>674</v>
      </c>
      <c r="E283" s="10">
        <v>1</v>
      </c>
      <c r="F283" s="22" t="s">
        <v>384</v>
      </c>
      <c r="G283" s="22"/>
      <c r="H283" s="16">
        <v>281</v>
      </c>
      <c r="I283" s="8" t="s">
        <v>637</v>
      </c>
      <c r="J283" s="10"/>
    </row>
    <row r="284" spans="1:10" hidden="1">
      <c r="A284" s="5">
        <v>282</v>
      </c>
      <c r="B284" t="str">
        <f>LEFT(Table3[[#This Row],[EPI_DGN_ANTIC]],1)</f>
        <v>C</v>
      </c>
      <c r="C284" t="str">
        <f>LEFT(Table3[[#This Row],[EPI_DGN_ANTIC]],2)</f>
        <v>CK</v>
      </c>
      <c r="D284" s="8" t="s">
        <v>675</v>
      </c>
      <c r="E284" s="10">
        <v>1</v>
      </c>
      <c r="F284" s="22" t="s">
        <v>676</v>
      </c>
      <c r="G284" s="22"/>
      <c r="H284" s="16">
        <v>282</v>
      </c>
      <c r="I284" s="8" t="s">
        <v>637</v>
      </c>
      <c r="J284" s="10"/>
    </row>
    <row r="285" spans="1:10" hidden="1">
      <c r="A285" s="5">
        <v>283</v>
      </c>
      <c r="B285" t="s">
        <v>229</v>
      </c>
      <c r="C285" t="s">
        <v>667</v>
      </c>
      <c r="D285" s="8" t="s">
        <v>677</v>
      </c>
      <c r="E285" s="10">
        <v>1</v>
      </c>
      <c r="F285" s="22" t="s">
        <v>661</v>
      </c>
      <c r="G285" s="22"/>
      <c r="H285" s="16">
        <v>283</v>
      </c>
      <c r="I285" s="8" t="s">
        <v>678</v>
      </c>
      <c r="J285" s="10"/>
    </row>
    <row r="286" spans="1:10" hidden="1">
      <c r="A286" s="5">
        <v>284</v>
      </c>
      <c r="B286" t="s">
        <v>229</v>
      </c>
      <c r="C286" t="s">
        <v>667</v>
      </c>
      <c r="D286" s="8" t="s">
        <v>679</v>
      </c>
      <c r="E286" s="10">
        <v>1</v>
      </c>
      <c r="F286" s="22" t="s">
        <v>680</v>
      </c>
      <c r="G286" s="22"/>
      <c r="H286" s="16">
        <v>284</v>
      </c>
      <c r="I286" s="8" t="s">
        <v>681</v>
      </c>
      <c r="J286" s="10"/>
    </row>
    <row r="287" spans="1:10" hidden="1">
      <c r="A287" s="5">
        <v>285</v>
      </c>
      <c r="B287" t="str">
        <f>LEFT(Table3[[#This Row],[EPI_DGN_ANTIC]],1)</f>
        <v>C</v>
      </c>
      <c r="C287" t="str">
        <f>LEFT(Table3[[#This Row],[EPI_DGN_ANTIC]],3)</f>
        <v>CaM</v>
      </c>
      <c r="D287" s="8" t="s">
        <v>682</v>
      </c>
      <c r="E287" s="10">
        <v>1</v>
      </c>
      <c r="F287" s="22" t="s">
        <v>683</v>
      </c>
      <c r="G287" s="22"/>
      <c r="H287" s="16">
        <v>285</v>
      </c>
      <c r="I287" s="8" t="s">
        <v>684</v>
      </c>
      <c r="J287" s="10"/>
    </row>
    <row r="288" spans="1:10" hidden="1">
      <c r="A288" s="5">
        <v>286</v>
      </c>
      <c r="B288" t="str">
        <f>LEFT(Table3[[#This Row],[EPI_DGN_ANTIC]],1)</f>
        <v>E</v>
      </c>
      <c r="C288" t="str">
        <f>LEFT(Table3[[#This Row],[EPI_DGN_ANTIC]],3)</f>
        <v>ECc</v>
      </c>
      <c r="D288" s="8" t="s">
        <v>685</v>
      </c>
      <c r="E288" s="10">
        <v>0</v>
      </c>
      <c r="F288" s="22"/>
      <c r="G288" s="22"/>
      <c r="H288" s="16">
        <v>286</v>
      </c>
      <c r="I288" s="8" t="s">
        <v>686</v>
      </c>
      <c r="J288" s="10"/>
    </row>
    <row r="289" spans="1:10" hidden="1">
      <c r="A289" s="5">
        <v>287</v>
      </c>
      <c r="B289" t="str">
        <f>LEFT(Table3[[#This Row],[EPI_DGN_ANTIC]],1)</f>
        <v>G</v>
      </c>
      <c r="C289" t="str">
        <f>LEFT(Table3[[#This Row],[EPI_DGN_ANTIC]],2)</f>
        <v>Gg</v>
      </c>
      <c r="D289" s="8" t="s">
        <v>687</v>
      </c>
      <c r="E289" s="10">
        <v>1</v>
      </c>
      <c r="F289" s="22" t="s">
        <v>688</v>
      </c>
      <c r="G289" s="22"/>
      <c r="H289" s="16">
        <v>287</v>
      </c>
      <c r="I289" s="8" t="s">
        <v>689</v>
      </c>
      <c r="J289" s="10"/>
    </row>
    <row r="290" spans="1:10" hidden="1">
      <c r="A290" s="5">
        <v>288</v>
      </c>
      <c r="B290" t="str">
        <f>LEFT(Table3[[#This Row],[EPI_DGN_ANTIC]],1)</f>
        <v>G</v>
      </c>
      <c r="C290" t="str">
        <f>LEFT(Table3[[#This Row],[EPI_DGN_ANTIC]],2)</f>
        <v>Gg</v>
      </c>
      <c r="D290" s="8" t="s">
        <v>690</v>
      </c>
      <c r="E290" s="10">
        <v>0</v>
      </c>
      <c r="F290" s="22"/>
      <c r="G290" s="22"/>
      <c r="H290" s="16">
        <v>288</v>
      </c>
      <c r="I290" s="8" t="s">
        <v>691</v>
      </c>
      <c r="J290" s="10"/>
    </row>
    <row r="291" spans="1:10" hidden="1">
      <c r="A291" s="5">
        <v>289</v>
      </c>
      <c r="B291" t="str">
        <f>LEFT(Table3[[#This Row],[EPI_DGN_ANTIC]],1)</f>
        <v>G</v>
      </c>
      <c r="C291" t="str">
        <f>LEFT(Table3[[#This Row],[EPI_DGN_ANTIC]],2)</f>
        <v>Gm</v>
      </c>
      <c r="D291" s="8" t="s">
        <v>692</v>
      </c>
      <c r="E291" s="10">
        <v>0</v>
      </c>
      <c r="F291" s="22"/>
      <c r="G291" s="22"/>
      <c r="H291" s="16">
        <v>289</v>
      </c>
      <c r="I291" s="8" t="s">
        <v>693</v>
      </c>
      <c r="J291" s="10"/>
    </row>
    <row r="292" spans="1:10" hidden="1">
      <c r="A292" s="5">
        <v>290</v>
      </c>
      <c r="B292" t="str">
        <f>LEFT(Table3[[#This Row],[EPI_DGN_ANTIC]],1)</f>
        <v>G</v>
      </c>
      <c r="C292" t="str">
        <f>LEFT(Table3[[#This Row],[EPI_DGN_ANTIC]],2)</f>
        <v>G</v>
      </c>
      <c r="D292" s="8" t="s">
        <v>292</v>
      </c>
      <c r="E292" s="10">
        <v>0</v>
      </c>
      <c r="F292" s="22"/>
      <c r="G292" s="22"/>
      <c r="H292" s="16">
        <v>290</v>
      </c>
      <c r="I292" s="8" t="s">
        <v>694</v>
      </c>
      <c r="J292" s="10"/>
    </row>
    <row r="293" spans="1:10" hidden="1">
      <c r="A293" s="5">
        <v>291</v>
      </c>
      <c r="B293" t="str">
        <f>LEFT(Table3[[#This Row],[EPI_DGN_ANTIC]],1)</f>
        <v>G</v>
      </c>
      <c r="C293" t="str">
        <f>LEFT(Table3[[#This Row],[EPI_DGN_ANTIC]],2)</f>
        <v>Gq</v>
      </c>
      <c r="D293" s="8" t="s">
        <v>695</v>
      </c>
      <c r="E293" s="10">
        <v>0</v>
      </c>
      <c r="F293" s="22"/>
      <c r="G293" s="22"/>
      <c r="H293" s="16">
        <v>291</v>
      </c>
      <c r="I293" s="8" t="s">
        <v>696</v>
      </c>
      <c r="J293" s="10"/>
    </row>
    <row r="294" spans="1:10" hidden="1">
      <c r="A294" s="5">
        <v>292</v>
      </c>
      <c r="B294" t="str">
        <f>LEFT(Table3[[#This Row],[EPI_DGN_ANTIC]],1)</f>
        <v>G</v>
      </c>
      <c r="C294" t="str">
        <f>LEFT(Table3[[#This Row],[EPI_DGN_ANTIC]],2)</f>
        <v>Gq</v>
      </c>
      <c r="D294" s="8" t="s">
        <v>697</v>
      </c>
      <c r="E294" s="10">
        <v>1</v>
      </c>
      <c r="F294" s="22" t="s">
        <v>698</v>
      </c>
      <c r="G294" s="22" t="s">
        <v>486</v>
      </c>
      <c r="H294" s="16">
        <v>292</v>
      </c>
      <c r="I294" s="8" t="s">
        <v>634</v>
      </c>
      <c r="J294" s="10"/>
    </row>
    <row r="295" spans="1:10" hidden="1">
      <c r="A295" s="5">
        <v>293</v>
      </c>
      <c r="B295" t="str">
        <f>LEFT(Table3[[#This Row],[EPI_DGN_ANTIC]],1)</f>
        <v>G</v>
      </c>
      <c r="C295" t="str">
        <f>LEFT(Table3[[#This Row],[EPI_DGN_ANTIC]],2)</f>
        <v>Gq</v>
      </c>
      <c r="D295" s="8" t="s">
        <v>699</v>
      </c>
      <c r="E295" s="10">
        <v>1</v>
      </c>
      <c r="F295" s="22" t="s">
        <v>700</v>
      </c>
      <c r="G295" s="22" t="s">
        <v>486</v>
      </c>
      <c r="H295" s="16">
        <v>293</v>
      </c>
      <c r="I295" s="8" t="s">
        <v>634</v>
      </c>
      <c r="J295" s="10"/>
    </row>
    <row r="296" spans="1:10" hidden="1">
      <c r="A296" s="5">
        <v>294</v>
      </c>
      <c r="B296" t="str">
        <f>LEFT(Table3[[#This Row],[EPI_DGN_ANTIC]],1)</f>
        <v>G</v>
      </c>
      <c r="C296" t="str">
        <f>LEFT(Table3[[#This Row],[EPI_DGN_ANTIC]],2)</f>
        <v>Gr</v>
      </c>
      <c r="D296" s="8" t="s">
        <v>701</v>
      </c>
      <c r="E296" s="10">
        <v>0</v>
      </c>
      <c r="F296" s="22"/>
      <c r="G296" s="22"/>
      <c r="H296" s="16">
        <v>294</v>
      </c>
      <c r="I296" s="8" t="s">
        <v>634</v>
      </c>
      <c r="J296" s="10"/>
    </row>
    <row r="297" spans="1:10" hidden="1">
      <c r="A297" s="5">
        <v>295</v>
      </c>
      <c r="B297" t="str">
        <f>LEFT(Table3[[#This Row],[EPI_DGN_ANTIC]],1)</f>
        <v>G</v>
      </c>
      <c r="C297" t="str">
        <f>LEFT(Table3[[#This Row],[EPI_DGN_ANTIC]],2)</f>
        <v>Gq</v>
      </c>
      <c r="D297" s="8" t="s">
        <v>702</v>
      </c>
      <c r="E297" s="10">
        <v>1</v>
      </c>
      <c r="F297" s="22" t="s">
        <v>703</v>
      </c>
      <c r="G297" s="22" t="s">
        <v>486</v>
      </c>
      <c r="H297" s="16">
        <v>295</v>
      </c>
      <c r="I297" s="8" t="s">
        <v>634</v>
      </c>
      <c r="J297" s="10"/>
    </row>
    <row r="298" spans="1:10" hidden="1">
      <c r="A298" s="5">
        <v>296</v>
      </c>
      <c r="B298" t="str">
        <f>LEFT(Table3[[#This Row],[EPI_DGN_ANTIC]],1)</f>
        <v>G</v>
      </c>
      <c r="C298" t="str">
        <f>LEFT(Table3[[#This Row],[EPI_DGN_ANTIC]],2)</f>
        <v>Gr</v>
      </c>
      <c r="D298" s="8" t="s">
        <v>701</v>
      </c>
      <c r="E298" s="10">
        <v>1</v>
      </c>
      <c r="F298" s="22" t="s">
        <v>704</v>
      </c>
      <c r="G298" t="s">
        <v>90</v>
      </c>
      <c r="H298" s="16">
        <v>296</v>
      </c>
      <c r="I298" s="8" t="s">
        <v>696</v>
      </c>
      <c r="J298" s="10"/>
    </row>
    <row r="299" spans="1:10" hidden="1">
      <c r="A299" s="5">
        <v>297</v>
      </c>
      <c r="B299" t="str">
        <f>LEFT(Table3[[#This Row],[EPI_DGN_ANTIC]],1)</f>
        <v>G</v>
      </c>
      <c r="C299" t="str">
        <f>LEFT(Table3[[#This Row],[EPI_DGN_ANTIC]],2)</f>
        <v>Gm</v>
      </c>
      <c r="D299" s="8" t="s">
        <v>705</v>
      </c>
      <c r="E299" s="10">
        <v>1</v>
      </c>
      <c r="F299" s="22" t="s">
        <v>706</v>
      </c>
      <c r="G299" t="s">
        <v>90</v>
      </c>
      <c r="H299" s="16">
        <v>297</v>
      </c>
      <c r="I299" s="8" t="s">
        <v>707</v>
      </c>
      <c r="J299" s="10"/>
    </row>
    <row r="300" spans="1:10" hidden="1">
      <c r="A300" s="5">
        <v>298</v>
      </c>
      <c r="B300" t="str">
        <f>LEFT(Table3[[#This Row],[EPI_DGN_ANTIC]],1)</f>
        <v>G</v>
      </c>
      <c r="C300" t="str">
        <f>LEFT(Table3[[#This Row],[EPI_DGN_ANTIC]],2)</f>
        <v>Gm</v>
      </c>
      <c r="D300" s="8" t="s">
        <v>708</v>
      </c>
      <c r="E300" s="10">
        <v>1</v>
      </c>
      <c r="F300" s="22" t="s">
        <v>706</v>
      </c>
      <c r="G300" t="s">
        <v>486</v>
      </c>
      <c r="H300" s="16">
        <v>298</v>
      </c>
      <c r="I300" s="8" t="s">
        <v>709</v>
      </c>
      <c r="J300" s="10"/>
    </row>
    <row r="301" spans="1:10" hidden="1">
      <c r="A301" s="5">
        <v>299</v>
      </c>
      <c r="B301" t="str">
        <f>LEFT(Table3[[#This Row],[EPI_DGN_ANTIC]],1)</f>
        <v>K</v>
      </c>
      <c r="C301" t="str">
        <f>LEFT(Table3[[#This Row],[EPI_DGN_ANTIC]],2)</f>
        <v>KC</v>
      </c>
      <c r="D301" s="8" t="s">
        <v>710</v>
      </c>
      <c r="E301" s="10">
        <v>1</v>
      </c>
      <c r="F301" s="22" t="s">
        <v>711</v>
      </c>
      <c r="G301" s="22"/>
      <c r="H301" s="16">
        <v>299</v>
      </c>
      <c r="I301" s="8" t="s">
        <v>712</v>
      </c>
      <c r="J301" s="10"/>
    </row>
    <row r="302" spans="1:10" hidden="1">
      <c r="A302" s="5">
        <v>300</v>
      </c>
      <c r="B302" t="str">
        <f>LEFT(Table3[[#This Row],[EPI_DGN_ANTIC]],1)</f>
        <v>K</v>
      </c>
      <c r="C302" t="str">
        <f>LEFT(Table3[[#This Row],[EPI_DGN_ANTIC]],2)</f>
        <v>KC</v>
      </c>
      <c r="D302" s="8" t="s">
        <v>713</v>
      </c>
      <c r="E302" s="10">
        <v>1</v>
      </c>
      <c r="F302" s="22" t="s">
        <v>714</v>
      </c>
      <c r="G302" s="22"/>
      <c r="H302" s="16">
        <v>300</v>
      </c>
      <c r="I302" s="8" t="s">
        <v>715</v>
      </c>
      <c r="J302" s="10"/>
    </row>
    <row r="303" spans="1:10" hidden="1">
      <c r="A303" s="5">
        <v>301</v>
      </c>
      <c r="B303" t="str">
        <f>LEFT(Table3[[#This Row],[EPI_DGN_ANTIC]],1)</f>
        <v>K</v>
      </c>
      <c r="C303" t="str">
        <f>LEFT(Table3[[#This Row],[EPI_DGN_ANTIC]],2)</f>
        <v>KC</v>
      </c>
      <c r="D303" s="8" t="s">
        <v>716</v>
      </c>
      <c r="E303" s="10">
        <v>1</v>
      </c>
      <c r="F303" s="22" t="s">
        <v>717</v>
      </c>
      <c r="G303" s="22"/>
      <c r="H303" s="16">
        <v>301</v>
      </c>
      <c r="I303" s="8" t="s">
        <v>718</v>
      </c>
      <c r="J303" s="10"/>
    </row>
    <row r="304" spans="1:10" hidden="1">
      <c r="A304" s="5">
        <v>302</v>
      </c>
      <c r="B304" t="str">
        <f>LEFT(Table3[[#This Row],[EPI_DGN_ANTIC]],1)</f>
        <v>K</v>
      </c>
      <c r="C304" t="str">
        <f>LEFT(Table3[[#This Row],[EPI_DGN_ANTIC]],3)</f>
        <v>KCo</v>
      </c>
      <c r="D304" s="8" t="s">
        <v>719</v>
      </c>
      <c r="E304" s="10">
        <v>1</v>
      </c>
      <c r="F304" s="22" t="s">
        <v>720</v>
      </c>
      <c r="G304" s="22"/>
      <c r="H304" s="16">
        <v>302</v>
      </c>
      <c r="I304" s="8" t="s">
        <v>721</v>
      </c>
      <c r="J304" s="10"/>
    </row>
    <row r="305" spans="1:10" hidden="1">
      <c r="A305" s="5">
        <v>303</v>
      </c>
      <c r="B305" t="str">
        <f>LEFT(Table3[[#This Row],[EPI_DGN_ANTIC]],1)</f>
        <v>K</v>
      </c>
      <c r="C305" t="str">
        <f>LEFT(Table3[[#This Row],[EPI_DGN_ANTIC]],3)</f>
        <v>KCo</v>
      </c>
      <c r="D305" s="8" t="s">
        <v>722</v>
      </c>
      <c r="E305" s="10">
        <v>1</v>
      </c>
      <c r="F305" s="22" t="s">
        <v>723</v>
      </c>
      <c r="G305" s="22"/>
      <c r="H305" s="16">
        <v>303</v>
      </c>
      <c r="I305" s="8" t="s">
        <v>724</v>
      </c>
      <c r="J305" s="10"/>
    </row>
    <row r="306" spans="1:10" hidden="1">
      <c r="A306" s="5">
        <v>304</v>
      </c>
      <c r="B306" t="str">
        <f>LEFT(Table3[[#This Row],[EPI_DGN_ANTIC]],1)</f>
        <v>K</v>
      </c>
      <c r="C306" t="str">
        <f>LEFT(Table3[[#This Row],[EPI_DGN_ANTIC]],2)</f>
        <v>KM</v>
      </c>
      <c r="D306" s="8" t="s">
        <v>725</v>
      </c>
      <c r="E306" s="10">
        <v>1</v>
      </c>
      <c r="F306" s="22" t="s">
        <v>187</v>
      </c>
      <c r="G306" t="s">
        <v>90</v>
      </c>
      <c r="H306" s="16">
        <v>304</v>
      </c>
      <c r="I306" s="8" t="s">
        <v>234</v>
      </c>
      <c r="J306" s="10"/>
    </row>
    <row r="307" spans="1:10" hidden="1">
      <c r="A307" s="5">
        <v>305</v>
      </c>
      <c r="B307" t="str">
        <f>LEFT(Table3[[#This Row],[EPI_DGN_ANTIC]],1)</f>
        <v>K</v>
      </c>
      <c r="C307" t="str">
        <f>LEFT(Table3[[#This Row],[EPI_DGN_ANTIC]],2)</f>
        <v>KP</v>
      </c>
      <c r="D307" s="8" t="s">
        <v>726</v>
      </c>
      <c r="E307" s="10">
        <v>1</v>
      </c>
      <c r="F307" s="22" t="s">
        <v>526</v>
      </c>
      <c r="G307" t="s">
        <v>90</v>
      </c>
      <c r="H307" s="16">
        <v>305</v>
      </c>
      <c r="I307" s="8" t="s">
        <v>727</v>
      </c>
      <c r="J307" s="10"/>
    </row>
    <row r="308" spans="1:10" hidden="1">
      <c r="A308" s="5">
        <v>306</v>
      </c>
      <c r="B308" t="str">
        <f>LEFT(Table3[[#This Row],[EPI_DGN_ANTIC]],1)</f>
        <v>K</v>
      </c>
      <c r="C308" t="str">
        <f>LEFT(Table3[[#This Row],[EPI_DGN_ANTIC]],2)</f>
        <v>KS</v>
      </c>
      <c r="D308" s="8" t="s">
        <v>728</v>
      </c>
      <c r="E308" s="10">
        <v>1</v>
      </c>
      <c r="F308" s="22" t="s">
        <v>729</v>
      </c>
      <c r="G308" s="22"/>
      <c r="H308" s="16">
        <v>306</v>
      </c>
      <c r="I308" s="8" t="s">
        <v>730</v>
      </c>
      <c r="J308" s="10"/>
    </row>
    <row r="309" spans="1:10" hidden="1">
      <c r="A309" s="5">
        <v>307</v>
      </c>
      <c r="B309" t="str">
        <f>LEFT(Table3[[#This Row],[EPI_DGN_ANTIC]],1)</f>
        <v>K</v>
      </c>
      <c r="C309" t="str">
        <f>LEFT(Table3[[#This Row],[EPI_DGN_ANTIC]],2)</f>
        <v>KS</v>
      </c>
      <c r="D309" s="8" t="s">
        <v>731</v>
      </c>
      <c r="E309" s="10">
        <v>1</v>
      </c>
      <c r="F309" s="22" t="s">
        <v>732</v>
      </c>
      <c r="G309" s="22"/>
      <c r="H309" s="16">
        <v>307</v>
      </c>
      <c r="I309" s="8" t="s">
        <v>733</v>
      </c>
      <c r="J309" s="10"/>
    </row>
    <row r="310" spans="1:10" hidden="1">
      <c r="A310" s="5">
        <v>308</v>
      </c>
      <c r="B310" t="str">
        <f>LEFT(Table3[[#This Row],[EPI_DGN_ANTIC]],1)</f>
        <v>K</v>
      </c>
      <c r="C310" t="str">
        <f>LEFT(Table3[[#This Row],[EPI_DGN_ANTIC]],2)</f>
        <v>KS</v>
      </c>
      <c r="D310" s="8" t="s">
        <v>734</v>
      </c>
      <c r="E310" s="10">
        <v>1</v>
      </c>
      <c r="F310" s="22" t="s">
        <v>735</v>
      </c>
      <c r="G310" s="22"/>
      <c r="H310" s="16">
        <v>308</v>
      </c>
      <c r="I310" s="8" t="s">
        <v>736</v>
      </c>
      <c r="J310" s="10"/>
    </row>
    <row r="311" spans="1:10" hidden="1">
      <c r="A311" s="5">
        <v>309</v>
      </c>
      <c r="B311" t="str">
        <f>LEFT(Table3[[#This Row],[EPI_DGN_ANTIC]],1)</f>
        <v>K</v>
      </c>
      <c r="C311" t="str">
        <f>LEFT(Table3[[#This Row],[EPI_DGN_ANTIC]],2)</f>
        <v>KT</v>
      </c>
      <c r="D311" s="8" t="s">
        <v>737</v>
      </c>
      <c r="E311" s="10">
        <v>1</v>
      </c>
      <c r="F311" s="22" t="s">
        <v>738</v>
      </c>
      <c r="G311" s="22"/>
      <c r="H311" s="16">
        <v>309</v>
      </c>
      <c r="I311" s="8" t="s">
        <v>739</v>
      </c>
      <c r="J311" s="10"/>
    </row>
    <row r="312" spans="1:10" hidden="1">
      <c r="A312" s="5">
        <v>310</v>
      </c>
      <c r="B312" t="str">
        <f>LEFT(Table3[[#This Row],[EPI_DGN_ANTIC]],1)</f>
        <v>K</v>
      </c>
      <c r="C312" t="str">
        <f>LEFT(Table3[[#This Row],[EPI_DGN_ANTIC]],2)</f>
        <v>KT</v>
      </c>
      <c r="D312" s="8" t="s">
        <v>740</v>
      </c>
      <c r="E312" s="10">
        <v>1</v>
      </c>
      <c r="F312" s="22" t="s">
        <v>741</v>
      </c>
      <c r="G312" s="22"/>
      <c r="H312" s="16">
        <v>310</v>
      </c>
      <c r="I312" s="8" t="s">
        <v>742</v>
      </c>
      <c r="J312" s="10"/>
    </row>
    <row r="313" spans="1:10" hidden="1">
      <c r="A313" s="5">
        <v>311</v>
      </c>
      <c r="B313" t="s">
        <v>229</v>
      </c>
      <c r="C313" t="s">
        <v>636</v>
      </c>
      <c r="D313" s="8" t="s">
        <v>743</v>
      </c>
      <c r="E313" s="10">
        <v>1</v>
      </c>
      <c r="F313" s="22" t="s">
        <v>744</v>
      </c>
      <c r="G313" s="22"/>
      <c r="H313" s="16">
        <v>311</v>
      </c>
      <c r="I313" s="8" t="s">
        <v>745</v>
      </c>
      <c r="J313" s="10"/>
    </row>
    <row r="314" spans="1:10" hidden="1">
      <c r="A314" s="5">
        <v>312</v>
      </c>
      <c r="B314" t="str">
        <f>LEFT(Table3[[#This Row],[EPI_DGN_ANTIC]],1)</f>
        <v>C</v>
      </c>
      <c r="C314" t="str">
        <f>LEFT(Table3[[#This Row],[EPI_DGN_ANTIC]],3)</f>
        <v>CaM</v>
      </c>
      <c r="D314" s="8" t="s">
        <v>746</v>
      </c>
      <c r="E314" s="10">
        <v>1</v>
      </c>
      <c r="F314" s="22" t="s">
        <v>747</v>
      </c>
      <c r="G314" s="22"/>
      <c r="H314" s="16">
        <v>312</v>
      </c>
      <c r="I314" s="8" t="s">
        <v>748</v>
      </c>
      <c r="J314" s="10"/>
    </row>
    <row r="315" spans="1:10" hidden="1">
      <c r="A315" s="5">
        <v>313</v>
      </c>
      <c r="B315" t="s">
        <v>229</v>
      </c>
      <c r="C315" t="s">
        <v>667</v>
      </c>
      <c r="D315" s="8" t="s">
        <v>749</v>
      </c>
      <c r="E315" s="10">
        <v>1</v>
      </c>
      <c r="F315" s="22" t="s">
        <v>661</v>
      </c>
      <c r="G315" s="22"/>
      <c r="H315" s="16">
        <v>313</v>
      </c>
      <c r="I315" s="8" t="s">
        <v>750</v>
      </c>
      <c r="J315" s="10"/>
    </row>
    <row r="316" spans="1:10" hidden="1">
      <c r="A316" s="5">
        <v>314</v>
      </c>
      <c r="B316" t="str">
        <f>LEFT(Table3[[#This Row],[EPI_DGN_ANTIC]],1)</f>
        <v>G</v>
      </c>
      <c r="C316" t="str">
        <f>LEFT(Table3[[#This Row],[EPI_DGN_ANTIC]],2)</f>
        <v>Gg</v>
      </c>
      <c r="D316" s="8" t="s">
        <v>751</v>
      </c>
      <c r="E316" s="10">
        <v>1</v>
      </c>
      <c r="F316" s="22" t="s">
        <v>2851</v>
      </c>
      <c r="G316" s="22"/>
      <c r="H316" s="16">
        <v>314</v>
      </c>
      <c r="I316" s="8" t="s">
        <v>753</v>
      </c>
      <c r="J316" s="10"/>
    </row>
    <row r="317" spans="1:10" hidden="1">
      <c r="A317" s="5">
        <v>315</v>
      </c>
      <c r="B317" t="str">
        <f>LEFT(Table3[[#This Row],[EPI_DGN_ANTIC]],1)</f>
        <v>G</v>
      </c>
      <c r="C317" t="str">
        <f>LEFT(Table3[[#This Row],[EPI_DGN_ANTIC]],2)</f>
        <v>Gg</v>
      </c>
      <c r="D317" s="8" t="s">
        <v>754</v>
      </c>
      <c r="E317" s="10">
        <v>1</v>
      </c>
      <c r="F317" s="22" t="s">
        <v>755</v>
      </c>
      <c r="G317" s="22"/>
      <c r="H317" s="16">
        <v>315</v>
      </c>
      <c r="I317" s="8" t="s">
        <v>756</v>
      </c>
      <c r="J317" s="10"/>
    </row>
    <row r="318" spans="1:10" hidden="1">
      <c r="A318" s="5">
        <v>316</v>
      </c>
      <c r="B318" t="str">
        <f>LEFT(Table3[[#This Row],[EPI_DGN_ANTIC]],1)</f>
        <v>G</v>
      </c>
      <c r="C318" t="str">
        <f>LEFT(Table3[[#This Row],[EPI_DGN_ANTIC]],2)</f>
        <v>Gm</v>
      </c>
      <c r="D318" s="8" t="s">
        <v>757</v>
      </c>
      <c r="E318" s="10">
        <v>1</v>
      </c>
      <c r="F318" s="22" t="s">
        <v>706</v>
      </c>
      <c r="G318" t="s">
        <v>90</v>
      </c>
      <c r="H318" s="16">
        <v>316</v>
      </c>
      <c r="I318" s="8" t="s">
        <v>715</v>
      </c>
      <c r="J318" s="10"/>
    </row>
    <row r="319" spans="1:10" hidden="1">
      <c r="A319" s="5">
        <v>317</v>
      </c>
      <c r="B319" t="str">
        <f>LEFT(Table3[[#This Row],[EPI_DGN_ANTIC]],1)</f>
        <v>G</v>
      </c>
      <c r="C319" t="str">
        <f>LEFT(Table3[[#This Row],[EPI_DGN_ANTIC]],2)</f>
        <v>Gm</v>
      </c>
      <c r="D319" s="8" t="s">
        <v>758</v>
      </c>
      <c r="E319" s="10">
        <v>1</v>
      </c>
      <c r="F319" s="22" t="s">
        <v>706</v>
      </c>
      <c r="G319" t="s">
        <v>90</v>
      </c>
      <c r="H319" s="16">
        <v>317</v>
      </c>
      <c r="I319" s="8" t="s">
        <v>759</v>
      </c>
      <c r="J319" s="10"/>
    </row>
    <row r="320" spans="1:10" hidden="1">
      <c r="A320" s="5">
        <v>318</v>
      </c>
      <c r="B320" t="str">
        <f>LEFT(Table3[[#This Row],[EPI_DGN_ANTIC]],1)</f>
        <v>C</v>
      </c>
      <c r="C320" t="str">
        <f>LEFT(Table3[[#This Row],[EPI_DGN_ANTIC]],3)</f>
        <v>CaM</v>
      </c>
      <c r="D320" s="8" t="s">
        <v>760</v>
      </c>
      <c r="E320" s="10">
        <v>1</v>
      </c>
      <c r="F320" s="22" t="s">
        <v>761</v>
      </c>
      <c r="G320" s="22"/>
      <c r="H320" s="16">
        <v>318</v>
      </c>
      <c r="I320" s="8" t="s">
        <v>762</v>
      </c>
      <c r="J320" s="10"/>
    </row>
    <row r="321" spans="1:10" hidden="1">
      <c r="A321" s="5">
        <v>319</v>
      </c>
      <c r="B321" t="str">
        <f>LEFT(Table3[[#This Row],[EPI_DGN_ANTIC]],1)</f>
        <v>C</v>
      </c>
      <c r="C321" t="str">
        <f>LEFT(Table3[[#This Row],[EPI_DGN_ANTIC]],3)</f>
        <v>CAc</v>
      </c>
      <c r="D321" s="8" t="s">
        <v>763</v>
      </c>
      <c r="E321" s="10">
        <v>1</v>
      </c>
      <c r="F321" s="22" t="s">
        <v>764</v>
      </c>
      <c r="G321" s="22"/>
      <c r="H321" s="16">
        <v>319</v>
      </c>
      <c r="I321" s="8" t="s">
        <v>765</v>
      </c>
      <c r="J321" s="10"/>
    </row>
    <row r="322" spans="1:10" hidden="1">
      <c r="A322" s="5">
        <v>320</v>
      </c>
      <c r="B322" t="str">
        <f>LEFT(Table3[[#This Row],[EPI_DGN_ANTIC]],1)</f>
        <v>C</v>
      </c>
      <c r="C322" t="str">
        <f>LEFT(Table3[[#This Row],[EPI_DGN_ANTIC]],2)</f>
        <v>CA</v>
      </c>
      <c r="D322" s="8" t="s">
        <v>766</v>
      </c>
      <c r="E322" s="10">
        <v>1</v>
      </c>
      <c r="F322" s="22" t="s">
        <v>767</v>
      </c>
      <c r="G322" s="22"/>
      <c r="H322" s="16">
        <v>320</v>
      </c>
      <c r="I322" s="8" t="s">
        <v>768</v>
      </c>
      <c r="J322" s="10"/>
    </row>
    <row r="323" spans="1:10" hidden="1">
      <c r="A323" s="5">
        <v>321</v>
      </c>
      <c r="B323" t="str">
        <f>LEFT(Table3[[#This Row],[EPI_DGN_ANTIC]],1)</f>
        <v>D</v>
      </c>
      <c r="C323" t="str">
        <f>LEFT(Table3[[#This Row],[EPI_DGN_ANTIC]],2)</f>
        <v>D1</v>
      </c>
      <c r="D323" s="8" t="s">
        <v>769</v>
      </c>
      <c r="E323" s="10">
        <v>1</v>
      </c>
      <c r="F323" s="22" t="s">
        <v>770</v>
      </c>
      <c r="G323" s="22"/>
      <c r="H323" s="16">
        <v>321</v>
      </c>
      <c r="I323" s="8" t="s">
        <v>771</v>
      </c>
      <c r="J323" s="10"/>
    </row>
    <row r="324" spans="1:10" hidden="1">
      <c r="A324" s="5">
        <v>322</v>
      </c>
      <c r="B324" t="str">
        <f>LEFT(Table3[[#This Row],[EPI_DGN_ANTIC]],1)</f>
        <v>D</v>
      </c>
      <c r="C324" t="str">
        <f>LEFT(Table3[[#This Row],[EPI_DGN_ANTIC]],2)</f>
        <v>D1</v>
      </c>
      <c r="D324" s="8" t="s">
        <v>772</v>
      </c>
      <c r="E324" s="10">
        <v>1</v>
      </c>
      <c r="F324" s="22" t="s">
        <v>773</v>
      </c>
      <c r="G324" s="22"/>
      <c r="H324" s="16">
        <v>322</v>
      </c>
      <c r="I324" s="8" t="s">
        <v>774</v>
      </c>
      <c r="J324" s="10"/>
    </row>
    <row r="325" spans="1:10" hidden="1">
      <c r="A325" s="5">
        <v>323</v>
      </c>
      <c r="B325" t="str">
        <f>LEFT(Table3[[#This Row],[EPI_DGN_ANTIC]],1)</f>
        <v>J</v>
      </c>
      <c r="C325" t="str">
        <f>LEFT(Table3[[#This Row],[EPI_DGN_ANTIC]],2)</f>
        <v>JD</v>
      </c>
      <c r="D325" s="8" t="s">
        <v>775</v>
      </c>
      <c r="E325" s="10">
        <v>1</v>
      </c>
      <c r="F325" s="22" t="s">
        <v>776</v>
      </c>
      <c r="G325" s="22"/>
      <c r="H325" s="16">
        <v>323</v>
      </c>
      <c r="I325" s="8" t="s">
        <v>765</v>
      </c>
      <c r="J325" s="10"/>
    </row>
    <row r="326" spans="1:10" hidden="1">
      <c r="A326" s="5">
        <v>324</v>
      </c>
      <c r="B326" t="str">
        <f>LEFT(Table3[[#This Row],[EPI_DGN_ANTIC]],1)</f>
        <v>J</v>
      </c>
      <c r="C326" t="str">
        <f>LEFT(Table3[[#This Row],[EPI_DGN_ANTIC]],2)</f>
        <v>JM</v>
      </c>
      <c r="D326" s="8" t="s">
        <v>777</v>
      </c>
      <c r="E326" s="10">
        <v>1</v>
      </c>
      <c r="F326" s="22" t="s">
        <v>778</v>
      </c>
      <c r="G326" s="22"/>
      <c r="H326" s="16">
        <v>324</v>
      </c>
      <c r="I326" s="8" t="s">
        <v>779</v>
      </c>
      <c r="J326" s="10"/>
    </row>
    <row r="327" spans="1:10" hidden="1">
      <c r="A327" s="5">
        <v>325</v>
      </c>
      <c r="B327" t="str">
        <f>LEFT(Table3[[#This Row],[EPI_DGN_ANTIC]],1)</f>
        <v>E</v>
      </c>
      <c r="C327" t="str">
        <f>LEFT(Table3[[#This Row],[EPI_DGN_ANTIC]],3)</f>
        <v>EBc</v>
      </c>
      <c r="D327" s="8" t="s">
        <v>780</v>
      </c>
      <c r="E327" s="10">
        <v>1</v>
      </c>
      <c r="F327" s="22" t="s">
        <v>781</v>
      </c>
      <c r="G327" s="22"/>
      <c r="H327" s="16">
        <v>325</v>
      </c>
      <c r="I327" s="8" t="s">
        <v>782</v>
      </c>
      <c r="J327" s="10"/>
    </row>
    <row r="328" spans="1:10" hidden="1">
      <c r="A328" s="5">
        <v>326</v>
      </c>
      <c r="B328" t="str">
        <f>LEFT(Table3[[#This Row],[EPI_DGN_ANTIC]],1)</f>
        <v>E</v>
      </c>
      <c r="D328" s="8" t="s">
        <v>10</v>
      </c>
      <c r="E328" s="10">
        <v>0</v>
      </c>
      <c r="F328" s="22"/>
      <c r="G328" s="22"/>
      <c r="H328" s="16">
        <v>326</v>
      </c>
      <c r="I328" s="8" t="s">
        <v>783</v>
      </c>
      <c r="J328" s="10"/>
    </row>
    <row r="329" spans="1:10" hidden="1">
      <c r="A329" s="5">
        <v>327</v>
      </c>
      <c r="B329" t="str">
        <f>LEFT(Table3[[#This Row],[EPI_DGN_ANTIC]],1)</f>
        <v>E</v>
      </c>
      <c r="D329" s="8" t="s">
        <v>10</v>
      </c>
      <c r="E329" s="10">
        <v>0</v>
      </c>
      <c r="F329" s="22"/>
      <c r="G329" s="22"/>
      <c r="H329" s="16">
        <v>327</v>
      </c>
      <c r="I329" s="8" t="s">
        <v>25</v>
      </c>
      <c r="J329" s="10"/>
    </row>
    <row r="330" spans="1:10" hidden="1">
      <c r="A330" s="5">
        <v>328</v>
      </c>
      <c r="B330" t="str">
        <f>LEFT(Table3[[#This Row],[EPI_DGN_ANTIC]],1)</f>
        <v>K</v>
      </c>
      <c r="C330" t="str">
        <f>LEFT(Table3[[#This Row],[EPI_DGN_ANTIC]],2)</f>
        <v>K</v>
      </c>
      <c r="D330" s="8" t="s">
        <v>128</v>
      </c>
      <c r="E330" s="10">
        <v>1</v>
      </c>
      <c r="F330" s="22" t="s">
        <v>220</v>
      </c>
      <c r="G330" s="22"/>
      <c r="H330" s="16">
        <v>328</v>
      </c>
      <c r="I330" s="8" t="s">
        <v>584</v>
      </c>
      <c r="J330" s="10"/>
    </row>
    <row r="331" spans="1:10" hidden="1">
      <c r="A331" s="5">
        <v>329</v>
      </c>
      <c r="B331" t="str">
        <f>LEFT(Table3[[#This Row],[EPI_DGN_ANTIC]],1)</f>
        <v>M</v>
      </c>
      <c r="C331" t="str">
        <f>LEFT(Table3[[#This Row],[EPI_DGN_ANTIC]],1)</f>
        <v>M</v>
      </c>
      <c r="D331" s="8" t="s">
        <v>784</v>
      </c>
      <c r="E331" s="10">
        <v>0</v>
      </c>
      <c r="F331" s="22"/>
      <c r="G331" s="22"/>
      <c r="H331" s="16">
        <v>329</v>
      </c>
      <c r="I331" s="8" t="s">
        <v>634</v>
      </c>
      <c r="J331" s="10"/>
    </row>
    <row r="332" spans="1:10" hidden="1">
      <c r="A332" s="5">
        <v>330</v>
      </c>
      <c r="B332" t="str">
        <f>LEFT(Table3[[#This Row],[EPI_DGN_ANTIC]],1)</f>
        <v>M</v>
      </c>
      <c r="C332" t="str">
        <f>LEFT(Table3[[#This Row],[EPI_DGN_ANTIC]],2)</f>
        <v>MC</v>
      </c>
      <c r="D332" s="8" t="s">
        <v>785</v>
      </c>
      <c r="E332" s="10">
        <v>0</v>
      </c>
      <c r="F332" s="22"/>
      <c r="G332" s="22"/>
      <c r="H332" s="16">
        <v>330</v>
      </c>
      <c r="I332" s="8" t="s">
        <v>584</v>
      </c>
      <c r="J332" s="10"/>
    </row>
    <row r="333" spans="1:10" hidden="1">
      <c r="A333" s="5">
        <v>331</v>
      </c>
      <c r="B333" t="str">
        <f>LEFT(Table3[[#This Row],[EPI_DGN_ANTIC]],1)</f>
        <v>M</v>
      </c>
      <c r="C333" t="str">
        <f>LEFT(Table3[[#This Row],[EPI_DGN_ANTIC]],2)</f>
        <v>MC</v>
      </c>
      <c r="D333" s="8" t="s">
        <v>785</v>
      </c>
      <c r="E333" s="10">
        <v>1</v>
      </c>
      <c r="F333" s="22" t="s">
        <v>486</v>
      </c>
      <c r="G333" s="22" t="s">
        <v>786</v>
      </c>
      <c r="H333" s="16">
        <v>331</v>
      </c>
      <c r="I333" s="8" t="s">
        <v>280</v>
      </c>
      <c r="J333" s="10"/>
    </row>
    <row r="334" spans="1:10" hidden="1">
      <c r="A334" s="5">
        <v>332</v>
      </c>
      <c r="B334" t="str">
        <f>LEFT(Table3[[#This Row],[EPI_DGN_ANTIC]],1)</f>
        <v>M</v>
      </c>
      <c r="C334" t="s">
        <v>787</v>
      </c>
      <c r="D334" s="8" t="s">
        <v>788</v>
      </c>
      <c r="E334" s="10">
        <v>1</v>
      </c>
      <c r="F334" s="22" t="s">
        <v>486</v>
      </c>
      <c r="G334" s="22" t="s">
        <v>704</v>
      </c>
      <c r="H334" s="16">
        <v>332</v>
      </c>
      <c r="I334" s="8" t="s">
        <v>280</v>
      </c>
      <c r="J334" s="10"/>
    </row>
    <row r="335" spans="1:10" hidden="1">
      <c r="A335" s="5">
        <v>333</v>
      </c>
      <c r="B335" t="str">
        <f>LEFT(Table3[[#This Row],[EPI_DGN_ANTIC]],1)</f>
        <v>M</v>
      </c>
      <c r="C335" t="s">
        <v>787</v>
      </c>
      <c r="D335" s="8" t="s">
        <v>789</v>
      </c>
      <c r="E335" s="10">
        <v>1</v>
      </c>
      <c r="F335" s="22" t="s">
        <v>486</v>
      </c>
      <c r="G335" s="22" t="s">
        <v>704</v>
      </c>
      <c r="H335" s="16">
        <v>333</v>
      </c>
      <c r="I335" s="8" t="s">
        <v>790</v>
      </c>
      <c r="J335" s="10"/>
    </row>
    <row r="336" spans="1:10" hidden="1">
      <c r="A336" s="5">
        <v>334</v>
      </c>
      <c r="B336" t="str">
        <f>LEFT(Table3[[#This Row],[EPI_DGN_ANTIC]],1)</f>
        <v>M</v>
      </c>
      <c r="C336" t="s">
        <v>787</v>
      </c>
      <c r="D336" s="8" t="s">
        <v>791</v>
      </c>
      <c r="E336" s="10">
        <v>1</v>
      </c>
      <c r="F336" s="22" t="s">
        <v>486</v>
      </c>
      <c r="G336" s="22" t="s">
        <v>704</v>
      </c>
      <c r="H336" s="16">
        <v>334</v>
      </c>
      <c r="I336" s="8" t="s">
        <v>790</v>
      </c>
      <c r="J336" s="10"/>
    </row>
    <row r="337" spans="1:10" hidden="1">
      <c r="A337" s="5">
        <v>335</v>
      </c>
      <c r="B337" t="str">
        <f>LEFT(Table3[[#This Row],[EPI_DGN_ANTIC]],1)</f>
        <v>M</v>
      </c>
      <c r="C337" t="s">
        <v>787</v>
      </c>
      <c r="D337" s="8" t="s">
        <v>792</v>
      </c>
      <c r="E337" s="10">
        <v>1</v>
      </c>
      <c r="F337" s="22" t="s">
        <v>486</v>
      </c>
      <c r="G337" s="22" t="s">
        <v>704</v>
      </c>
      <c r="H337" s="16">
        <v>335</v>
      </c>
      <c r="I337" s="8" t="s">
        <v>790</v>
      </c>
      <c r="J337" s="10"/>
    </row>
    <row r="338" spans="1:10" hidden="1">
      <c r="A338" s="5">
        <v>336</v>
      </c>
      <c r="B338" t="str">
        <f>LEFT(Table3[[#This Row],[EPI_DGN_ANTIC]],1)</f>
        <v>M</v>
      </c>
      <c r="C338" t="s">
        <v>785</v>
      </c>
      <c r="D338" s="8" t="s">
        <v>793</v>
      </c>
      <c r="E338" s="10">
        <v>1</v>
      </c>
      <c r="F338" s="22" t="s">
        <v>486</v>
      </c>
      <c r="G338" s="22" t="s">
        <v>786</v>
      </c>
      <c r="H338" s="16">
        <v>336</v>
      </c>
      <c r="I338" s="8" t="s">
        <v>790</v>
      </c>
      <c r="J338" s="10"/>
    </row>
    <row r="339" spans="1:10" hidden="1">
      <c r="A339" s="5">
        <v>337</v>
      </c>
      <c r="B339" t="str">
        <f>LEFT(Table3[[#This Row],[EPI_DGN_ANTIC]],1)</f>
        <v>M</v>
      </c>
      <c r="C339" t="s">
        <v>787</v>
      </c>
      <c r="D339" s="8" t="s">
        <v>787</v>
      </c>
      <c r="E339" s="10">
        <v>0</v>
      </c>
      <c r="F339" s="22"/>
      <c r="G339" s="22"/>
      <c r="H339" s="16">
        <v>337</v>
      </c>
      <c r="I339" s="8" t="s">
        <v>570</v>
      </c>
      <c r="J339" s="10"/>
    </row>
    <row r="340" spans="1:10" hidden="1">
      <c r="A340" s="5">
        <v>338</v>
      </c>
      <c r="B340" t="str">
        <f>LEFT(Table3[[#This Row],[EPI_DGN_ANTIC]],1)</f>
        <v>M</v>
      </c>
      <c r="C340" t="str">
        <f>LEFT(Table3[[#This Row],[EPI_DGN_ANTIC]],1)</f>
        <v>M</v>
      </c>
      <c r="D340" s="8" t="s">
        <v>784</v>
      </c>
      <c r="E340" s="10">
        <v>0</v>
      </c>
      <c r="F340" s="22"/>
      <c r="G340" s="22"/>
      <c r="H340" s="16">
        <v>338</v>
      </c>
      <c r="I340" s="8" t="s">
        <v>20</v>
      </c>
      <c r="J340" s="10"/>
    </row>
    <row r="341" spans="1:10" hidden="1">
      <c r="A341" s="5">
        <v>339</v>
      </c>
      <c r="B341" t="str">
        <f>LEFT(Table3[[#This Row],[EPI_DGN_ANTIC]],1)</f>
        <v>M</v>
      </c>
      <c r="C341" t="str">
        <f>LEFT(Table3[[#This Row],[EPI_DGN_ANTIC]],1)</f>
        <v>M</v>
      </c>
      <c r="D341" s="8" t="s">
        <v>784</v>
      </c>
      <c r="E341" s="10">
        <v>1</v>
      </c>
      <c r="F341" s="22" t="s">
        <v>794</v>
      </c>
      <c r="G341" s="22"/>
      <c r="H341" s="16">
        <v>339</v>
      </c>
      <c r="I341" s="8" t="s">
        <v>570</v>
      </c>
      <c r="J341" s="10"/>
    </row>
    <row r="342" spans="1:10" hidden="1">
      <c r="A342" s="5">
        <v>340</v>
      </c>
      <c r="B342" t="str">
        <f>LEFT(Table3[[#This Row],[EPI_DGN_ANTIC]],1)</f>
        <v>M</v>
      </c>
      <c r="C342" t="s">
        <v>795</v>
      </c>
      <c r="D342" s="8" t="s">
        <v>795</v>
      </c>
      <c r="E342" s="10">
        <v>0</v>
      </c>
      <c r="F342" s="22"/>
      <c r="G342" s="22"/>
      <c r="H342" s="16">
        <v>340</v>
      </c>
      <c r="I342" s="8" t="s">
        <v>570</v>
      </c>
      <c r="J342" s="10"/>
    </row>
    <row r="343" spans="1:10" hidden="1">
      <c r="A343" s="5">
        <v>341</v>
      </c>
      <c r="B343" t="str">
        <f>LEFT(Table3[[#This Row],[EPI_DGN_ANTIC]],1)</f>
        <v>M</v>
      </c>
      <c r="C343" t="s">
        <v>795</v>
      </c>
      <c r="D343" s="8" t="s">
        <v>796</v>
      </c>
      <c r="E343" s="10">
        <v>1</v>
      </c>
      <c r="F343" s="22" t="s">
        <v>797</v>
      </c>
      <c r="G343" s="22"/>
      <c r="H343" s="16">
        <v>341</v>
      </c>
      <c r="I343" s="8" t="s">
        <v>570</v>
      </c>
      <c r="J343" s="10"/>
    </row>
    <row r="344" spans="1:10" hidden="1">
      <c r="A344" s="5">
        <v>342</v>
      </c>
      <c r="B344" t="str">
        <f>LEFT(Table3[[#This Row],[EPI_DGN_ANTIC]],1)</f>
        <v>F</v>
      </c>
      <c r="C344" t="str">
        <f>LEFT(Table3[[#This Row],[EPI_DGN_ANTIC]],2)</f>
        <v>F</v>
      </c>
      <c r="D344" s="8" t="s">
        <v>798</v>
      </c>
      <c r="E344" s="10">
        <v>0</v>
      </c>
      <c r="F344" s="22"/>
      <c r="G344" s="22"/>
      <c r="H344" s="16">
        <v>342</v>
      </c>
      <c r="I344" s="8" t="s">
        <v>570</v>
      </c>
      <c r="J344" s="10"/>
    </row>
    <row r="345" spans="1:10" hidden="1">
      <c r="A345" s="5">
        <v>343</v>
      </c>
      <c r="B345" t="str">
        <f>LEFT(Table3[[#This Row],[EPI_DGN_ANTIC]],1)</f>
        <v>f</v>
      </c>
      <c r="C345" t="str">
        <f>LEFT(Table3[[#This Row],[EPI_DGN_ANTIC]],2)</f>
        <v>ff</v>
      </c>
      <c r="D345" s="8" t="s">
        <v>799</v>
      </c>
      <c r="E345" s="10">
        <v>0</v>
      </c>
      <c r="F345" s="22"/>
      <c r="G345" s="22"/>
      <c r="H345" s="16">
        <v>343</v>
      </c>
      <c r="I345" s="8" t="s">
        <v>28</v>
      </c>
      <c r="J345" s="10"/>
    </row>
    <row r="346" spans="1:10" hidden="1">
      <c r="A346" s="5">
        <v>344</v>
      </c>
      <c r="B346" t="str">
        <f>LEFT(Table3[[#This Row],[EPI_DGN_ANTIC]],1)</f>
        <v>f</v>
      </c>
      <c r="C346" t="str">
        <f>LEFT(Table3[[#This Row],[EPI_DGN_ANTIC]],2)</f>
        <v>ff</v>
      </c>
      <c r="D346" s="8" t="s">
        <v>799</v>
      </c>
      <c r="E346" s="10">
        <v>1</v>
      </c>
      <c r="F346" s="22" t="s">
        <v>800</v>
      </c>
      <c r="G346" s="22"/>
      <c r="H346" s="16">
        <v>344</v>
      </c>
      <c r="I346" s="8" t="s">
        <v>28</v>
      </c>
      <c r="J346" s="10"/>
    </row>
    <row r="347" spans="1:10" hidden="1">
      <c r="A347" s="5">
        <v>345</v>
      </c>
      <c r="B347" t="str">
        <f>LEFT(Table3[[#This Row],[EPI_DGN_ANTIC]],1)</f>
        <v>f</v>
      </c>
      <c r="C347" t="str">
        <f>LEFT(Table3[[#This Row],[EPI_DGN_ANTIC]],2)</f>
        <v>fh</v>
      </c>
      <c r="D347" s="8" t="s">
        <v>801</v>
      </c>
      <c r="E347" s="10">
        <v>1</v>
      </c>
      <c r="F347" s="22" t="s">
        <v>802</v>
      </c>
      <c r="G347" s="22"/>
      <c r="H347" s="16">
        <v>345</v>
      </c>
      <c r="I347" s="8" t="s">
        <v>20</v>
      </c>
      <c r="J347" s="10"/>
    </row>
    <row r="348" spans="1:10" hidden="1">
      <c r="A348" s="5">
        <v>346</v>
      </c>
      <c r="B348" t="str">
        <f>LEFT(Table3[[#This Row],[EPI_DGN_ANTIC]],1)</f>
        <v>H</v>
      </c>
      <c r="C348" t="str">
        <f>LEFT(Table3[[#This Row],[EPI_DGN_ANTIC]],2)</f>
        <v>H</v>
      </c>
      <c r="D348" s="8" t="s">
        <v>803</v>
      </c>
      <c r="E348" s="10">
        <v>0</v>
      </c>
      <c r="F348" s="22"/>
      <c r="G348" s="22"/>
      <c r="H348" s="16">
        <v>346</v>
      </c>
      <c r="I348" s="8" t="s">
        <v>25</v>
      </c>
      <c r="J348" s="10"/>
    </row>
    <row r="349" spans="1:10" hidden="1">
      <c r="A349" s="5">
        <v>347</v>
      </c>
      <c r="B349" t="str">
        <f>LEFT(Table3[[#This Row],[EPI_DGN_ANTIC]],1)</f>
        <v>M</v>
      </c>
      <c r="C349" t="s">
        <v>785</v>
      </c>
      <c r="D349" s="8" t="s">
        <v>804</v>
      </c>
      <c r="E349" s="10">
        <v>1</v>
      </c>
      <c r="F349" s="22" t="s">
        <v>486</v>
      </c>
      <c r="G349" s="22" t="s">
        <v>805</v>
      </c>
      <c r="H349" s="16">
        <v>347</v>
      </c>
      <c r="I349" s="8" t="s">
        <v>25</v>
      </c>
      <c r="J349" s="10"/>
    </row>
    <row r="350" spans="1:10" hidden="1">
      <c r="A350" s="5">
        <v>348</v>
      </c>
      <c r="B350" t="str">
        <f>LEFT(Table3[[#This Row],[EPI_DGN_ANTIC]],1)</f>
        <v>J</v>
      </c>
      <c r="C350" t="str">
        <f>LEFT(Table3[[#This Row],[EPI_DGN_ANTIC]],2)</f>
        <v>J</v>
      </c>
      <c r="D350" s="8" t="s">
        <v>270</v>
      </c>
      <c r="E350" s="10">
        <v>1</v>
      </c>
      <c r="F350" s="22" t="s">
        <v>284</v>
      </c>
      <c r="G350" s="22"/>
      <c r="H350" s="16">
        <v>348</v>
      </c>
      <c r="I350" s="8" t="s">
        <v>774</v>
      </c>
      <c r="J350" s="10"/>
    </row>
    <row r="351" spans="1:10" hidden="1">
      <c r="A351" s="5">
        <v>349</v>
      </c>
      <c r="B351" t="str">
        <f>LEFT(Table3[[#This Row],[EPI_DGN_ANTIC]],1)</f>
        <v>L</v>
      </c>
      <c r="C351" t="str">
        <f>LEFT(Table3[[#This Row],[EPI_DGN_ANTIC]],2)</f>
        <v>L</v>
      </c>
      <c r="D351" s="8" t="s">
        <v>340</v>
      </c>
      <c r="E351" s="10">
        <v>0</v>
      </c>
      <c r="F351" s="22"/>
      <c r="G351" s="22"/>
      <c r="H351" s="16">
        <v>349</v>
      </c>
      <c r="I351" s="8" t="s">
        <v>774</v>
      </c>
      <c r="J351" s="10"/>
    </row>
    <row r="352" spans="1:10" hidden="1">
      <c r="A352" s="5">
        <v>350</v>
      </c>
      <c r="B352" t="str">
        <f>LEFT(Table3[[#This Row],[EPI_DGN_ANTIC]],1)</f>
        <v>m</v>
      </c>
      <c r="C352" t="str">
        <f>LEFT(Table3[[#This Row],[EPI_DGN_ANTIC]],1)</f>
        <v>m</v>
      </c>
      <c r="D352" s="8" t="s">
        <v>806</v>
      </c>
      <c r="E352" s="10">
        <v>0</v>
      </c>
      <c r="F352" s="22"/>
      <c r="G352" s="22"/>
      <c r="H352" s="16">
        <v>350</v>
      </c>
      <c r="I352" s="8" t="s">
        <v>807</v>
      </c>
      <c r="J352" s="10"/>
    </row>
    <row r="353" spans="1:10" hidden="1">
      <c r="A353" s="5">
        <v>351</v>
      </c>
      <c r="B353" t="str">
        <f>LEFT(Table3[[#This Row],[EPI_DGN_ANTIC]],1)</f>
        <v>L</v>
      </c>
      <c r="C353" t="str">
        <f>LEFT(Table3[[#This Row],[EPI_DGN_ANTIC]],1)</f>
        <v>L</v>
      </c>
      <c r="D353" s="8" t="s">
        <v>808</v>
      </c>
      <c r="E353" s="10">
        <v>1</v>
      </c>
      <c r="F353" s="22" t="s">
        <v>809</v>
      </c>
      <c r="G353" s="22" t="s">
        <v>486</v>
      </c>
      <c r="H353" s="16">
        <v>351</v>
      </c>
      <c r="I353" s="8" t="s">
        <v>810</v>
      </c>
      <c r="J353" s="10"/>
    </row>
    <row r="354" spans="1:10" hidden="1">
      <c r="A354" s="5">
        <v>352</v>
      </c>
      <c r="B354" t="str">
        <f>LEFT(Table3[[#This Row],[EPI_DGN_ANTIC]],1)</f>
        <v>G</v>
      </c>
      <c r="C354" t="str">
        <f>LEFT(Table3[[#This Row],[EPI_DGN_ANTIC]],2)</f>
        <v>Gl</v>
      </c>
      <c r="D354" s="8" t="s">
        <v>811</v>
      </c>
      <c r="E354" s="10">
        <v>1</v>
      </c>
      <c r="F354" s="22" t="s">
        <v>812</v>
      </c>
      <c r="G354" t="s">
        <v>90</v>
      </c>
      <c r="H354" s="16">
        <v>352</v>
      </c>
      <c r="I354" s="8" t="s">
        <v>813</v>
      </c>
      <c r="J354" s="10"/>
    </row>
    <row r="355" spans="1:10" hidden="1">
      <c r="A355" s="5">
        <v>353</v>
      </c>
      <c r="B355" t="str">
        <f>LEFT(Table3[[#This Row],[EPI_DGN_ANTIC]],1)</f>
        <v>G</v>
      </c>
      <c r="C355" t="str">
        <f>LEFT(Table3[[#This Row],[EPI_DGN_ANTIC]],2)</f>
        <v>Ga</v>
      </c>
      <c r="D355" s="8" t="s">
        <v>814</v>
      </c>
      <c r="E355" s="10">
        <v>1</v>
      </c>
      <c r="F355" s="22" t="s">
        <v>449</v>
      </c>
      <c r="G355" s="22"/>
      <c r="H355" s="16">
        <v>353</v>
      </c>
      <c r="I355" s="8" t="s">
        <v>815</v>
      </c>
      <c r="J355" s="10"/>
    </row>
    <row r="356" spans="1:10" hidden="1">
      <c r="A356" s="5">
        <v>354</v>
      </c>
      <c r="B356" t="str">
        <f>LEFT(Table3[[#This Row],[EPI_DGN_ANTIC]],1)</f>
        <v>G</v>
      </c>
      <c r="C356" t="str">
        <f>LEFT(Table3[[#This Row],[EPI_DGN_ANTIC]],2)</f>
        <v>Gl</v>
      </c>
      <c r="D356" s="8" t="s">
        <v>816</v>
      </c>
      <c r="E356" s="10">
        <v>1</v>
      </c>
      <c r="F356" s="22" t="s">
        <v>817</v>
      </c>
      <c r="G356" t="s">
        <v>90</v>
      </c>
      <c r="H356" s="16">
        <v>354</v>
      </c>
      <c r="I356" s="8" t="s">
        <v>815</v>
      </c>
      <c r="J356" s="10"/>
    </row>
    <row r="357" spans="1:10" hidden="1">
      <c r="A357" s="5">
        <v>355</v>
      </c>
      <c r="B357" t="str">
        <f>LEFT(Table3[[#This Row],[EPI_DGN_ANTIC]],1)</f>
        <v>G</v>
      </c>
      <c r="C357" t="str">
        <f>LEFT(Table3[[#This Row],[EPI_DGN_ANTIC]],2)</f>
        <v>Gl</v>
      </c>
      <c r="D357" s="8" t="s">
        <v>818</v>
      </c>
      <c r="E357" s="10">
        <v>1</v>
      </c>
      <c r="F357" s="22" t="s">
        <v>819</v>
      </c>
      <c r="G357" t="s">
        <v>90</v>
      </c>
      <c r="H357" s="16">
        <v>355</v>
      </c>
      <c r="I357" s="8" t="s">
        <v>820</v>
      </c>
      <c r="J357" s="10"/>
    </row>
    <row r="358" spans="1:10" hidden="1">
      <c r="A358" s="5">
        <v>356</v>
      </c>
      <c r="B358" t="str">
        <f>LEFT(Table3[[#This Row],[EPI_DGN_ANTIC]],1)</f>
        <v>D</v>
      </c>
      <c r="C358" t="str">
        <f>LEFT(Table3[[#This Row],[EPI_DGN_ANTIC]],2)</f>
        <v>Dd</v>
      </c>
      <c r="D358" s="8" t="s">
        <v>821</v>
      </c>
      <c r="E358" s="10">
        <v>1</v>
      </c>
      <c r="F358" s="22" t="s">
        <v>822</v>
      </c>
      <c r="G358" s="22"/>
      <c r="H358" s="16">
        <v>356</v>
      </c>
      <c r="I358" s="8" t="s">
        <v>820</v>
      </c>
      <c r="J358" s="10"/>
    </row>
    <row r="359" spans="1:10" hidden="1">
      <c r="A359" s="5">
        <v>357</v>
      </c>
      <c r="B359" t="str">
        <f>LEFT(Table3[[#This Row],[EPI_DGN_ANTIC]],1)</f>
        <v>D</v>
      </c>
      <c r="C359" t="str">
        <f>LEFT(Table3[[#This Row],[EPI_DGN_ANTIC]],2)</f>
        <v>Dg</v>
      </c>
      <c r="D359" s="8" t="s">
        <v>823</v>
      </c>
      <c r="E359" s="10">
        <v>1</v>
      </c>
      <c r="F359" s="22" t="s">
        <v>824</v>
      </c>
      <c r="G359" s="22"/>
      <c r="H359" s="16">
        <v>357</v>
      </c>
      <c r="I359" s="8" t="s">
        <v>825</v>
      </c>
      <c r="J359" s="10"/>
    </row>
    <row r="360" spans="1:10" hidden="1">
      <c r="A360" s="5">
        <v>358</v>
      </c>
      <c r="B360" t="str">
        <f>LEFT(Table3[[#This Row],[EPI_DGN_ANTIC]],1)</f>
        <v>E</v>
      </c>
      <c r="C360" t="str">
        <f>LEFT(Table3[[#This Row],[EPI_DGN_ANTIC]],3)</f>
        <v>EBc</v>
      </c>
      <c r="D360" s="8" t="s">
        <v>826</v>
      </c>
      <c r="E360" s="10">
        <v>0</v>
      </c>
      <c r="F360" s="22"/>
      <c r="G360" s="22"/>
      <c r="H360" s="16">
        <v>358</v>
      </c>
      <c r="I360" s="8" t="s">
        <v>827</v>
      </c>
      <c r="J360" s="10"/>
    </row>
    <row r="361" spans="1:10" hidden="1">
      <c r="A361" s="5">
        <v>359</v>
      </c>
      <c r="B361" t="str">
        <f>LEFT(Table3[[#This Row],[EPI_DGN_ANTIC]],1)</f>
        <v>E</v>
      </c>
      <c r="C361" t="str">
        <f>LEFT(Table3[[#This Row],[EPI_DGN_ANTIC]],3)</f>
        <v>ECg</v>
      </c>
      <c r="D361" s="8" t="s">
        <v>828</v>
      </c>
      <c r="E361" s="10">
        <v>1</v>
      </c>
      <c r="F361" s="22" t="s">
        <v>829</v>
      </c>
      <c r="G361" s="22"/>
      <c r="H361" s="16">
        <v>359</v>
      </c>
      <c r="I361" s="8" t="s">
        <v>830</v>
      </c>
      <c r="J361" s="10"/>
    </row>
    <row r="362" spans="1:10" hidden="1">
      <c r="A362" s="5">
        <v>360</v>
      </c>
      <c r="B362" t="str">
        <f>LEFT(Table3[[#This Row],[EPI_DGN_ANTIC]],1)</f>
        <v>E</v>
      </c>
      <c r="C362" t="str">
        <f>LEFT(Table3[[#This Row],[EPI_DGN_ANTIC]],3)</f>
        <v>ECL</v>
      </c>
      <c r="D362" s="8" t="s">
        <v>831</v>
      </c>
      <c r="E362" s="10">
        <v>1</v>
      </c>
      <c r="F362" s="22" t="s">
        <v>832</v>
      </c>
      <c r="G362" s="22"/>
      <c r="H362" s="16">
        <v>360</v>
      </c>
      <c r="I362" s="8" t="s">
        <v>833</v>
      </c>
      <c r="J362" s="10"/>
    </row>
    <row r="363" spans="1:10" hidden="1">
      <c r="A363" s="5">
        <v>361</v>
      </c>
      <c r="B363" t="str">
        <f>LEFT(Table3[[#This Row],[EPI_DGN_ANTIC]],1)</f>
        <v>E</v>
      </c>
      <c r="C363" t="str">
        <f>LEFT(Table3[[#This Row],[EPI_DGN_ANTIC]],3)</f>
        <v>ECL</v>
      </c>
      <c r="D363" s="8" t="s">
        <v>834</v>
      </c>
      <c r="E363" s="10">
        <v>1</v>
      </c>
      <c r="F363" s="22" t="s">
        <v>835</v>
      </c>
      <c r="G363" s="22"/>
      <c r="H363" s="16">
        <v>361</v>
      </c>
      <c r="I363" s="8" t="s">
        <v>836</v>
      </c>
      <c r="J363" s="10"/>
    </row>
    <row r="364" spans="1:10" hidden="1">
      <c r="A364" s="5">
        <v>362</v>
      </c>
      <c r="B364" t="str">
        <f>LEFT(Table3[[#This Row],[EPI_DGN_ANTIC]],1)</f>
        <v>E</v>
      </c>
      <c r="C364" t="str">
        <f>LEFT(Table3[[#This Row],[EPI_DGN_ANTIC]],2)</f>
        <v>EI</v>
      </c>
      <c r="D364" s="8" t="s">
        <v>837</v>
      </c>
      <c r="E364" s="10">
        <v>1</v>
      </c>
      <c r="F364" s="22" t="s">
        <v>838</v>
      </c>
      <c r="G364" s="22"/>
      <c r="H364" s="16">
        <v>362</v>
      </c>
      <c r="I364" s="8" t="s">
        <v>28</v>
      </c>
      <c r="J364" s="10"/>
    </row>
    <row r="365" spans="1:10" hidden="1">
      <c r="A365" s="5">
        <v>363</v>
      </c>
      <c r="B365" t="str">
        <f>LEFT(Table3[[#This Row],[EPI_DGN_ANTIC]],1)</f>
        <v>E</v>
      </c>
      <c r="C365" t="str">
        <f>LEFT(Table3[[#This Row],[EPI_DGN_ANTIC]],3)</f>
        <v>ECL</v>
      </c>
      <c r="D365" s="8" t="s">
        <v>839</v>
      </c>
      <c r="E365" s="10">
        <v>1</v>
      </c>
      <c r="F365" s="22" t="s">
        <v>840</v>
      </c>
      <c r="G365" s="22"/>
      <c r="H365" s="16">
        <v>363</v>
      </c>
      <c r="I365" s="8" t="s">
        <v>570</v>
      </c>
      <c r="J365" s="10"/>
    </row>
    <row r="366" spans="1:10" hidden="1">
      <c r="A366" s="5">
        <v>364</v>
      </c>
      <c r="B366" t="str">
        <f>LEFT(Table3[[#This Row],[EPI_DGN_ANTIC]],1)</f>
        <v>f</v>
      </c>
      <c r="C366" t="str">
        <f>LEFT(Table3[[#This Row],[EPI_DGN_ANTIC]],2)</f>
        <v>fq</v>
      </c>
      <c r="D366" s="8" t="s">
        <v>841</v>
      </c>
      <c r="E366" s="10">
        <v>0</v>
      </c>
      <c r="F366" s="22"/>
      <c r="G366" s="22"/>
      <c r="H366" s="16">
        <v>364</v>
      </c>
      <c r="I366" s="8" t="s">
        <v>842</v>
      </c>
      <c r="J366" s="10"/>
    </row>
    <row r="367" spans="1:10" hidden="1">
      <c r="A367" s="5">
        <v>365</v>
      </c>
      <c r="B367" t="str">
        <f>LEFT(Table3[[#This Row],[EPI_DGN_ANTIC]],1)</f>
        <v>K</v>
      </c>
      <c r="C367" t="str">
        <f>LEFT(Table3[[#This Row],[EPI_DGN_ANTIC]],3)</f>
        <v>KCm</v>
      </c>
      <c r="D367" s="8" t="s">
        <v>843</v>
      </c>
      <c r="E367" s="10">
        <v>1</v>
      </c>
      <c r="F367" s="22" t="s">
        <v>142</v>
      </c>
      <c r="G367" s="22"/>
      <c r="H367" s="16">
        <v>365</v>
      </c>
      <c r="I367" s="8" t="s">
        <v>845</v>
      </c>
      <c r="J367" s="10"/>
    </row>
    <row r="368" spans="1:10" hidden="1">
      <c r="A368" s="5">
        <v>366</v>
      </c>
      <c r="B368" t="s">
        <v>784</v>
      </c>
      <c r="C368" t="s">
        <v>806</v>
      </c>
      <c r="D368" s="8" t="s">
        <v>846</v>
      </c>
      <c r="E368" s="10">
        <v>1</v>
      </c>
      <c r="F368" s="22" t="s">
        <v>847</v>
      </c>
      <c r="G368" s="22" t="s">
        <v>486</v>
      </c>
      <c r="H368" s="16">
        <v>366</v>
      </c>
      <c r="I368" s="8" t="s">
        <v>848</v>
      </c>
      <c r="J368" s="10"/>
    </row>
    <row r="369" spans="1:10" hidden="1">
      <c r="A369" s="5">
        <v>367</v>
      </c>
      <c r="B369" t="str">
        <f>LEFT(Table3[[#This Row],[EPI_DGN_ANTIC]],1)</f>
        <v>Z</v>
      </c>
      <c r="C369" t="str">
        <f>LEFT(Table3[[#This Row],[EPI_DGN_ANTIC]],3)</f>
        <v>ZOb</v>
      </c>
      <c r="D369" s="8" t="s">
        <v>849</v>
      </c>
      <c r="E369" s="10">
        <v>0</v>
      </c>
      <c r="F369" s="22"/>
      <c r="G369" s="22"/>
      <c r="H369" s="16">
        <v>367</v>
      </c>
      <c r="I369" s="8" t="s">
        <v>845</v>
      </c>
      <c r="J369" s="10"/>
    </row>
    <row r="370" spans="1:10" hidden="1">
      <c r="A370" s="5">
        <v>368</v>
      </c>
      <c r="B370" t="str">
        <f>LEFT(Table3[[#This Row],[EPI_DGN_ANTIC]],1)</f>
        <v>Z</v>
      </c>
      <c r="C370" t="str">
        <f>LEFT(Table3[[#This Row],[EPI_DGN_ANTIC]],3)</f>
        <v>Zc</v>
      </c>
      <c r="D370" s="8" t="s">
        <v>850</v>
      </c>
      <c r="E370" s="10">
        <v>0</v>
      </c>
      <c r="F370" s="22"/>
      <c r="G370" s="22"/>
      <c r="H370" s="16">
        <v>368</v>
      </c>
      <c r="I370" s="8" t="s">
        <v>845</v>
      </c>
      <c r="J370" s="10"/>
    </row>
    <row r="371" spans="1:10" hidden="1">
      <c r="A371" s="5">
        <v>369</v>
      </c>
      <c r="B371" t="str">
        <f>LEFT(Table3[[#This Row],[EPI_DGN_ANTIC]],1)</f>
        <v>Z</v>
      </c>
      <c r="C371" t="str">
        <f>LEFT(Table3[[#This Row],[EPI_DGN_ANTIC]],3)</f>
        <v>ZOc</v>
      </c>
      <c r="D371" s="8" t="s">
        <v>354</v>
      </c>
      <c r="E371" s="10">
        <v>1</v>
      </c>
      <c r="F371" s="22" t="s">
        <v>552</v>
      </c>
      <c r="G371" s="22"/>
      <c r="H371" s="16">
        <v>369</v>
      </c>
      <c r="I371" s="8" t="s">
        <v>851</v>
      </c>
      <c r="J371" s="10"/>
    </row>
    <row r="372" spans="1:10" hidden="1">
      <c r="A372" s="5">
        <v>370</v>
      </c>
      <c r="B372" t="str">
        <f>LEFT(Table3[[#This Row],[EPI_DGN_ANTIC]],1)</f>
        <v>Z</v>
      </c>
      <c r="C372" t="str">
        <f>LEFT(Table3[[#This Row],[EPI_DGN_ANTIC]],3)</f>
        <v>Z</v>
      </c>
      <c r="D372" s="8" t="s">
        <v>350</v>
      </c>
      <c r="E372" s="10">
        <v>0</v>
      </c>
      <c r="F372" s="22"/>
      <c r="G372" s="22"/>
      <c r="H372" s="16">
        <v>370</v>
      </c>
      <c r="I372" s="8" t="s">
        <v>852</v>
      </c>
      <c r="J372" s="10"/>
    </row>
    <row r="373" spans="1:10" hidden="1">
      <c r="A373" s="5">
        <v>371</v>
      </c>
      <c r="B373" t="str">
        <f>LEFT(Table3[[#This Row],[EPI_DGN_ANTIC]],1)</f>
        <v>Z</v>
      </c>
      <c r="C373" t="str">
        <f>LEFT(Table3[[#This Row],[EPI_DGN_ANTIC]],3)</f>
        <v>ZOp</v>
      </c>
      <c r="D373" s="8" t="s">
        <v>853</v>
      </c>
      <c r="E373" s="10">
        <v>1</v>
      </c>
      <c r="F373" s="22" t="s">
        <v>854</v>
      </c>
      <c r="G373" s="22"/>
      <c r="H373" s="16">
        <v>371</v>
      </c>
      <c r="I373" s="8" t="s">
        <v>855</v>
      </c>
      <c r="J373" s="10"/>
    </row>
    <row r="374" spans="1:10" hidden="1">
      <c r="A374" s="5">
        <v>372</v>
      </c>
      <c r="B374" t="str">
        <f>LEFT(Table3[[#This Row],[EPI_DGN_ANTIC]],1)</f>
        <v>Z</v>
      </c>
      <c r="C374" t="str">
        <f>LEFT(Table3[[#This Row],[EPI_DGN_ANTIC]],3)</f>
        <v>ZOt</v>
      </c>
      <c r="D374" s="8" t="s">
        <v>856</v>
      </c>
      <c r="E374" s="10">
        <v>1</v>
      </c>
      <c r="F374" s="22" t="s">
        <v>857</v>
      </c>
      <c r="G374" s="22"/>
      <c r="H374" s="16">
        <v>372</v>
      </c>
      <c r="I374" s="8" t="s">
        <v>858</v>
      </c>
      <c r="J374" s="10"/>
    </row>
    <row r="375" spans="1:10" hidden="1">
      <c r="A375" s="5">
        <v>373</v>
      </c>
      <c r="B375" t="str">
        <f>LEFT(Table3[[#This Row],[EPI_DGN_ANTIC]],1)</f>
        <v>Z</v>
      </c>
      <c r="C375" t="str">
        <f>LEFT(Table3[[#This Row],[EPI_DGN_ANTIC]],3)</f>
        <v>ZOv</v>
      </c>
      <c r="D375" s="8" t="s">
        <v>859</v>
      </c>
      <c r="E375" s="10">
        <v>1</v>
      </c>
      <c r="F375" s="22" t="s">
        <v>860</v>
      </c>
      <c r="G375" s="22"/>
      <c r="H375" s="16">
        <v>373</v>
      </c>
      <c r="I375" s="8" t="s">
        <v>861</v>
      </c>
      <c r="J375" s="10"/>
    </row>
    <row r="376" spans="1:10" hidden="1">
      <c r="A376" s="5">
        <v>374</v>
      </c>
      <c r="B376" t="str">
        <f>LEFT(Table3[[#This Row],[EPI_DGN_ANTIC]],1)</f>
        <v>Z</v>
      </c>
      <c r="C376" t="str">
        <f>LEFT(Table3[[#This Row],[EPI_DGN_ANTIC]],3)</f>
        <v>ZOv</v>
      </c>
      <c r="D376" s="8" t="s">
        <v>862</v>
      </c>
      <c r="E376" s="10">
        <v>1</v>
      </c>
      <c r="F376" s="22" t="s">
        <v>863</v>
      </c>
      <c r="G376" s="22"/>
      <c r="H376" s="16">
        <v>374</v>
      </c>
      <c r="I376" s="8" t="s">
        <v>864</v>
      </c>
      <c r="J376" s="10"/>
    </row>
    <row r="377" spans="1:10" hidden="1">
      <c r="A377" s="5">
        <v>375</v>
      </c>
      <c r="B377" t="s">
        <v>350</v>
      </c>
      <c r="C377" t="s">
        <v>559</v>
      </c>
      <c r="D377" s="8" t="s">
        <v>865</v>
      </c>
      <c r="E377" s="10">
        <v>1</v>
      </c>
      <c r="F377" s="22" t="s">
        <v>854</v>
      </c>
      <c r="G377" s="22"/>
      <c r="H377" s="16">
        <v>375</v>
      </c>
      <c r="I377" s="8" t="s">
        <v>866</v>
      </c>
      <c r="J377" s="10"/>
    </row>
    <row r="378" spans="1:10" hidden="1">
      <c r="A378" s="5">
        <v>376</v>
      </c>
      <c r="B378" t="str">
        <f>LEFT(Table3[[#This Row],[EPI_DGN_ANTIC]],1)</f>
        <v>Z</v>
      </c>
      <c r="C378" t="str">
        <f>LEFT(Table3[[#This Row],[EPI_DGN_ANTIC]],3)</f>
        <v>ZOq</v>
      </c>
      <c r="D378" s="8" t="s">
        <v>867</v>
      </c>
      <c r="E378" s="10">
        <v>1</v>
      </c>
      <c r="F378" s="22" t="s">
        <v>868</v>
      </c>
      <c r="G378" s="22"/>
      <c r="H378" s="16">
        <v>376</v>
      </c>
      <c r="I378" s="8" t="s">
        <v>869</v>
      </c>
      <c r="J378" s="10"/>
    </row>
    <row r="379" spans="1:10" hidden="1">
      <c r="A379" s="5">
        <v>377</v>
      </c>
      <c r="B379" t="str">
        <f>LEFT(Table3[[#This Row],[EPI_DGN_ANTIC]],1)</f>
        <v>Z</v>
      </c>
      <c r="C379" t="str">
        <f>LEFT(Table3[[#This Row],[EPI_DGN_ANTIC]],3)</f>
        <v>ZOs</v>
      </c>
      <c r="D379" s="8" t="s">
        <v>870</v>
      </c>
      <c r="E379" s="10">
        <v>1</v>
      </c>
      <c r="F379" s="22" t="s">
        <v>871</v>
      </c>
      <c r="G379" s="22"/>
      <c r="H379" s="16">
        <v>377</v>
      </c>
      <c r="I379" s="8" t="s">
        <v>872</v>
      </c>
      <c r="J379" s="10"/>
    </row>
    <row r="380" spans="1:10" hidden="1">
      <c r="A380" s="5">
        <v>378</v>
      </c>
      <c r="B380" t="str">
        <f>LEFT(Table3[[#This Row],[EPI_DGN_ANTIC]],1)</f>
        <v>Z</v>
      </c>
      <c r="C380" t="str">
        <f>LEFT(Table3[[#This Row],[EPI_DGN_ANTIC]],3)</f>
        <v>ZOp</v>
      </c>
      <c r="D380" s="8" t="s">
        <v>873</v>
      </c>
      <c r="E380" s="10">
        <v>0</v>
      </c>
      <c r="F380" s="22"/>
      <c r="G380" s="22"/>
      <c r="H380" s="16">
        <v>378</v>
      </c>
      <c r="I380" s="8" t="s">
        <v>874</v>
      </c>
      <c r="J380" s="10"/>
    </row>
    <row r="381" spans="1:10" hidden="1">
      <c r="A381" s="5">
        <v>379</v>
      </c>
      <c r="B381" t="str">
        <f>LEFT(Table3[[#This Row],[EPI_DGN_ANTIC]],1)</f>
        <v>Z</v>
      </c>
      <c r="C381" t="str">
        <f>LEFT(Table3[[#This Row],[EPI_DGN_ANTIC]],3)</f>
        <v>ZOv</v>
      </c>
      <c r="D381" s="8" t="s">
        <v>875</v>
      </c>
      <c r="E381" s="10">
        <v>0</v>
      </c>
      <c r="F381" s="22"/>
      <c r="G381" s="22"/>
      <c r="H381" s="16">
        <v>379</v>
      </c>
      <c r="I381" s="8" t="s">
        <v>876</v>
      </c>
      <c r="J381" s="10"/>
    </row>
    <row r="382" spans="1:10" hidden="1">
      <c r="A382" s="5">
        <v>380</v>
      </c>
      <c r="B382" t="str">
        <f>LEFT(Table3[[#This Row],[EPI_DGN_ANTIC]],1)</f>
        <v>Z</v>
      </c>
      <c r="C382" t="str">
        <f>LEFT(Table3[[#This Row],[EPI_DGN_ANTIC]],3)</f>
        <v>ZOd</v>
      </c>
      <c r="D382" s="8" t="s">
        <v>877</v>
      </c>
      <c r="E382" s="10">
        <v>0</v>
      </c>
      <c r="F382" s="22"/>
      <c r="G382" s="22"/>
      <c r="H382" s="16">
        <v>380</v>
      </c>
      <c r="I382" s="8" t="s">
        <v>878</v>
      </c>
      <c r="J382" s="10"/>
    </row>
    <row r="383" spans="1:10" hidden="1">
      <c r="A383" s="5">
        <v>381</v>
      </c>
      <c r="B383" t="str">
        <f>LEFT(Table3[[#This Row],[EPI_DGN_ANTIC]],1)</f>
        <v>Z</v>
      </c>
      <c r="C383" t="str">
        <f>LEFT(Table3[[#This Row],[EPI_DGN_ANTIC]],3)</f>
        <v>ZOg</v>
      </c>
      <c r="D383" s="8" t="s">
        <v>559</v>
      </c>
      <c r="E383" s="10">
        <v>0</v>
      </c>
      <c r="F383" s="22"/>
      <c r="G383" s="22"/>
      <c r="H383" s="16">
        <v>381</v>
      </c>
      <c r="I383" s="8" t="s">
        <v>879</v>
      </c>
      <c r="J383" s="10"/>
    </row>
    <row r="384" spans="1:10" hidden="1">
      <c r="A384" s="5">
        <v>382</v>
      </c>
      <c r="B384" t="str">
        <f>LEFT(Table3[[#This Row],[EPI_DGN_ANTIC]],1)</f>
        <v>Z</v>
      </c>
      <c r="C384" t="str">
        <f>LEFT(Table3[[#This Row],[EPI_DGN_ANTIC]],3)</f>
        <v>ZOs</v>
      </c>
      <c r="D384" s="8" t="s">
        <v>880</v>
      </c>
      <c r="E384" s="10">
        <v>0</v>
      </c>
      <c r="F384" s="22"/>
      <c r="G384" s="22"/>
      <c r="H384" s="16">
        <v>382</v>
      </c>
      <c r="I384" s="8" t="s">
        <v>848</v>
      </c>
      <c r="J384" s="10"/>
    </row>
    <row r="385" spans="1:10" hidden="1">
      <c r="A385" s="5">
        <v>383</v>
      </c>
      <c r="B385" t="str">
        <f>LEFT(Table3[[#This Row],[EPI_DGN_ANTIC]],1)</f>
        <v>Z</v>
      </c>
      <c r="C385" t="str">
        <f>LEFT(Table3[[#This Row],[EPI_DGN_ANTIC]],3)</f>
        <v>ZOt</v>
      </c>
      <c r="D385" s="8" t="s">
        <v>881</v>
      </c>
      <c r="E385" s="10">
        <v>0</v>
      </c>
      <c r="F385" s="22"/>
      <c r="G385" s="22"/>
      <c r="H385" s="16">
        <v>383</v>
      </c>
      <c r="I385" s="8" t="s">
        <v>882</v>
      </c>
      <c r="J385" s="10"/>
    </row>
    <row r="386" spans="1:10" hidden="1">
      <c r="A386" s="5">
        <v>384</v>
      </c>
      <c r="B386" t="str">
        <f>LEFT(Table3[[#This Row],[EPI_DGN_ANTIC]],1)</f>
        <v>Z</v>
      </c>
      <c r="C386" t="str">
        <f>LEFT(Table3[[#This Row],[EPI_DGN_ANTIC]],3)</f>
        <v>ZOv</v>
      </c>
      <c r="D386" s="8" t="s">
        <v>875</v>
      </c>
      <c r="E386" s="10">
        <v>1</v>
      </c>
      <c r="F386" s="22" t="s">
        <v>883</v>
      </c>
      <c r="G386" s="22"/>
      <c r="H386" s="16">
        <v>384</v>
      </c>
      <c r="I386" s="8" t="s">
        <v>884</v>
      </c>
      <c r="J386" s="10"/>
    </row>
    <row r="387" spans="1:10" hidden="1">
      <c r="A387" s="5">
        <v>385</v>
      </c>
      <c r="B387" t="s">
        <v>350</v>
      </c>
      <c r="C387" t="s">
        <v>559</v>
      </c>
      <c r="D387" s="8" t="s">
        <v>885</v>
      </c>
      <c r="E387" s="10">
        <v>1</v>
      </c>
      <c r="F387" s="22" t="s">
        <v>360</v>
      </c>
      <c r="G387" s="22"/>
      <c r="H387" s="16">
        <v>385</v>
      </c>
      <c r="I387" s="8" t="s">
        <v>886</v>
      </c>
      <c r="J387" s="10"/>
    </row>
    <row r="388" spans="1:10" hidden="1">
      <c r="A388" s="5">
        <v>386</v>
      </c>
      <c r="B388" t="str">
        <f>LEFT(Table3[[#This Row],[EPI_DGN_ANTIC]],1)</f>
        <v>C</v>
      </c>
      <c r="C388" t="str">
        <f>LEFT(Table3[[#This Row],[EPI_DGN_ANTIC]],2)</f>
        <v>Ca</v>
      </c>
      <c r="D388" s="8" t="s">
        <v>636</v>
      </c>
      <c r="E388" s="10">
        <v>1</v>
      </c>
      <c r="F388" s="22" t="s">
        <v>744</v>
      </c>
      <c r="G388" s="22"/>
      <c r="H388" s="16">
        <v>386</v>
      </c>
      <c r="I388" s="8" t="s">
        <v>887</v>
      </c>
      <c r="J388" s="10"/>
    </row>
    <row r="389" spans="1:10" hidden="1">
      <c r="A389" s="5">
        <v>387</v>
      </c>
      <c r="B389" t="s">
        <v>292</v>
      </c>
      <c r="C389" t="s">
        <v>342</v>
      </c>
      <c r="D389" s="8" t="s">
        <v>888</v>
      </c>
      <c r="E389" s="10">
        <v>1</v>
      </c>
      <c r="F389" s="22" t="s">
        <v>641</v>
      </c>
      <c r="G389" s="22"/>
      <c r="H389" s="16">
        <v>387</v>
      </c>
      <c r="I389" s="8" t="s">
        <v>889</v>
      </c>
      <c r="J389" s="10"/>
    </row>
    <row r="390" spans="1:10" hidden="1">
      <c r="A390" s="5">
        <v>388</v>
      </c>
      <c r="B390" t="str">
        <f>LEFT(Table3[[#This Row],[EPI_DGN_ANTIC]],1)</f>
        <v>M</v>
      </c>
      <c r="C390" t="s">
        <v>787</v>
      </c>
      <c r="D390" s="8" t="s">
        <v>787</v>
      </c>
      <c r="E390" s="10">
        <v>1</v>
      </c>
      <c r="F390" s="22" t="s">
        <v>486</v>
      </c>
      <c r="G390" s="22" t="s">
        <v>704</v>
      </c>
      <c r="H390" s="16">
        <v>388</v>
      </c>
      <c r="I390" s="8" t="s">
        <v>890</v>
      </c>
      <c r="J390" s="10"/>
    </row>
    <row r="391" spans="1:10" hidden="1">
      <c r="A391" s="5">
        <v>389</v>
      </c>
      <c r="B391" t="s">
        <v>292</v>
      </c>
      <c r="C391" t="s">
        <v>342</v>
      </c>
      <c r="D391" s="8" t="s">
        <v>891</v>
      </c>
      <c r="E391" s="10">
        <v>1</v>
      </c>
      <c r="F391" s="22" t="s">
        <v>641</v>
      </c>
      <c r="G391" s="22"/>
      <c r="H391" s="16">
        <v>389</v>
      </c>
      <c r="I391" s="8" t="s">
        <v>892</v>
      </c>
      <c r="J391" s="10"/>
    </row>
    <row r="392" spans="1:10" hidden="1">
      <c r="A392" s="5">
        <v>390</v>
      </c>
      <c r="B392" t="s">
        <v>292</v>
      </c>
      <c r="C392" t="s">
        <v>342</v>
      </c>
      <c r="D392" s="8" t="s">
        <v>893</v>
      </c>
      <c r="E392" s="10">
        <v>1</v>
      </c>
      <c r="F392" s="22" t="s">
        <v>345</v>
      </c>
      <c r="G392" s="22"/>
      <c r="H392" s="16">
        <v>390</v>
      </c>
      <c r="I392" s="8" t="s">
        <v>892</v>
      </c>
      <c r="J392" s="10"/>
    </row>
    <row r="393" spans="1:10" hidden="1">
      <c r="A393" s="5">
        <v>391</v>
      </c>
      <c r="B393" t="s">
        <v>292</v>
      </c>
      <c r="C393" t="s">
        <v>342</v>
      </c>
      <c r="D393" s="8" t="s">
        <v>894</v>
      </c>
      <c r="E393" s="10">
        <v>1</v>
      </c>
      <c r="F393" s="22" t="s">
        <v>345</v>
      </c>
      <c r="G393" s="22"/>
      <c r="H393" s="16">
        <v>391</v>
      </c>
      <c r="I393" s="8" t="s">
        <v>892</v>
      </c>
      <c r="J393" s="10"/>
    </row>
    <row r="394" spans="1:10" hidden="1">
      <c r="A394" s="5">
        <v>392</v>
      </c>
      <c r="B394" t="str">
        <f>LEFT(Table3[[#This Row],[EPI_DGN_ANTIC]],1)</f>
        <v>M</v>
      </c>
      <c r="D394" s="8" t="s">
        <v>895</v>
      </c>
      <c r="E394" s="10">
        <v>0</v>
      </c>
      <c r="F394" s="22"/>
      <c r="G394" s="22"/>
      <c r="H394" s="16">
        <v>392</v>
      </c>
      <c r="I394" s="8" t="s">
        <v>896</v>
      </c>
      <c r="J394" s="10"/>
    </row>
    <row r="395" spans="1:10" hidden="1">
      <c r="A395" s="5">
        <v>393</v>
      </c>
      <c r="B395" t="str">
        <f>LEFT(Table3[[#This Row],[EPI_DGN_ANTIC]],1)</f>
        <v>M</v>
      </c>
      <c r="C395" t="s">
        <v>895</v>
      </c>
      <c r="D395" s="8" t="s">
        <v>895</v>
      </c>
      <c r="E395" s="10">
        <v>1</v>
      </c>
      <c r="F395" s="22" t="s">
        <v>486</v>
      </c>
      <c r="G395" s="22" t="s">
        <v>897</v>
      </c>
      <c r="H395" s="16">
        <v>393</v>
      </c>
      <c r="I395" s="8" t="s">
        <v>898</v>
      </c>
      <c r="J395" s="10"/>
    </row>
    <row r="396" spans="1:10" hidden="1">
      <c r="A396" s="5">
        <v>394</v>
      </c>
      <c r="B396" t="str">
        <f>LEFT(Table3[[#This Row],[EPI_DGN_ANTIC]],1)</f>
        <v>M</v>
      </c>
      <c r="C396" t="s">
        <v>895</v>
      </c>
      <c r="D396" s="8" t="s">
        <v>899</v>
      </c>
      <c r="E396" s="10">
        <v>1</v>
      </c>
      <c r="F396" s="22" t="s">
        <v>486</v>
      </c>
      <c r="G396" s="22" t="s">
        <v>897</v>
      </c>
      <c r="H396" s="16">
        <v>394</v>
      </c>
      <c r="I396" s="8" t="s">
        <v>900</v>
      </c>
      <c r="J396" s="10"/>
    </row>
    <row r="397" spans="1:10" hidden="1">
      <c r="A397" s="5">
        <v>395</v>
      </c>
      <c r="B397" t="str">
        <f>LEFT(Table3[[#This Row],[EPI_DGN_ANTIC]],1)</f>
        <v>M</v>
      </c>
      <c r="C397" t="s">
        <v>895</v>
      </c>
      <c r="D397" s="8" t="s">
        <v>901</v>
      </c>
      <c r="E397" s="10">
        <v>1</v>
      </c>
      <c r="F397" s="22" t="s">
        <v>486</v>
      </c>
      <c r="G397" s="22" t="s">
        <v>897</v>
      </c>
      <c r="H397" s="16">
        <v>395</v>
      </c>
      <c r="I397" s="8" t="s">
        <v>902</v>
      </c>
      <c r="J397" s="10"/>
    </row>
    <row r="398" spans="1:10" hidden="1">
      <c r="A398" s="5">
        <v>396</v>
      </c>
      <c r="B398" t="str">
        <f>LEFT(Table3[[#This Row],[EPI_DGN_ANTIC]],1)</f>
        <v>M</v>
      </c>
      <c r="C398" t="s">
        <v>895</v>
      </c>
      <c r="D398" s="8" t="s">
        <v>903</v>
      </c>
      <c r="E398" s="10">
        <v>1</v>
      </c>
      <c r="F398" s="22" t="s">
        <v>486</v>
      </c>
      <c r="G398" s="22" t="s">
        <v>897</v>
      </c>
      <c r="H398" s="16">
        <v>396</v>
      </c>
      <c r="I398" s="8" t="s">
        <v>904</v>
      </c>
      <c r="J398" s="10"/>
    </row>
    <row r="399" spans="1:10" hidden="1">
      <c r="A399" s="5">
        <v>397</v>
      </c>
      <c r="B399" t="s">
        <v>350</v>
      </c>
      <c r="C399" t="s">
        <v>352</v>
      </c>
      <c r="D399" s="8" t="s">
        <v>905</v>
      </c>
      <c r="E399" s="10">
        <v>1</v>
      </c>
      <c r="F399" s="22" t="s">
        <v>628</v>
      </c>
      <c r="G399" s="22"/>
      <c r="H399" s="16">
        <v>397</v>
      </c>
      <c r="I399" s="8" t="s">
        <v>183</v>
      </c>
      <c r="J399" s="10"/>
    </row>
    <row r="400" spans="1:10" hidden="1">
      <c r="A400" s="5">
        <v>398</v>
      </c>
      <c r="B400" t="s">
        <v>350</v>
      </c>
      <c r="C400" t="s">
        <v>354</v>
      </c>
      <c r="D400" s="8" t="s">
        <v>906</v>
      </c>
      <c r="E400" s="10">
        <v>1</v>
      </c>
      <c r="F400" s="22" t="s">
        <v>552</v>
      </c>
      <c r="G400" s="22"/>
      <c r="H400" s="16">
        <v>398</v>
      </c>
      <c r="I400" s="8" t="s">
        <v>907</v>
      </c>
      <c r="J400" s="10"/>
    </row>
    <row r="401" spans="1:10" hidden="1">
      <c r="A401" s="5">
        <v>399</v>
      </c>
      <c r="B401" t="s">
        <v>350</v>
      </c>
      <c r="C401" t="s">
        <v>352</v>
      </c>
      <c r="D401" s="8" t="s">
        <v>908</v>
      </c>
      <c r="E401" s="10">
        <v>1</v>
      </c>
      <c r="F401" s="22" t="s">
        <v>628</v>
      </c>
      <c r="G401" s="22"/>
      <c r="H401" s="16">
        <v>399</v>
      </c>
      <c r="I401" s="8" t="s">
        <v>909</v>
      </c>
      <c r="J401" s="10"/>
    </row>
    <row r="402" spans="1:10" hidden="1">
      <c r="A402" s="5">
        <v>400</v>
      </c>
      <c r="B402" t="s">
        <v>350</v>
      </c>
      <c r="C402" t="s">
        <v>352</v>
      </c>
      <c r="D402" s="8" t="s">
        <v>910</v>
      </c>
      <c r="E402" s="10">
        <v>1</v>
      </c>
      <c r="F402" s="22" t="s">
        <v>628</v>
      </c>
      <c r="G402" s="22"/>
      <c r="H402" s="16">
        <v>400</v>
      </c>
      <c r="I402" s="8" t="s">
        <v>911</v>
      </c>
      <c r="J402" s="10"/>
    </row>
    <row r="403" spans="1:10" hidden="1">
      <c r="A403" s="5">
        <v>401</v>
      </c>
      <c r="B403" t="s">
        <v>350</v>
      </c>
      <c r="C403" t="s">
        <v>352</v>
      </c>
      <c r="D403" s="8" t="s">
        <v>912</v>
      </c>
      <c r="E403" s="10">
        <v>1</v>
      </c>
      <c r="F403" s="22" t="s">
        <v>628</v>
      </c>
      <c r="G403" s="22"/>
      <c r="H403" s="16">
        <v>401</v>
      </c>
      <c r="I403" s="8" t="s">
        <v>913</v>
      </c>
      <c r="J403" s="10"/>
    </row>
    <row r="404" spans="1:10" hidden="1">
      <c r="A404" s="5">
        <v>402</v>
      </c>
      <c r="B404" t="s">
        <v>350</v>
      </c>
      <c r="C404" t="s">
        <v>352</v>
      </c>
      <c r="D404" s="8" t="s">
        <v>914</v>
      </c>
      <c r="E404" s="10">
        <v>1</v>
      </c>
      <c r="F404" s="22" t="s">
        <v>628</v>
      </c>
      <c r="G404" s="22"/>
      <c r="H404" s="16">
        <v>402</v>
      </c>
      <c r="I404" s="8" t="s">
        <v>915</v>
      </c>
      <c r="J404" s="10"/>
    </row>
    <row r="405" spans="1:10" hidden="1">
      <c r="A405" s="5">
        <v>403</v>
      </c>
      <c r="B405" t="str">
        <f>LEFT(Table3[[#This Row],[EPI_DGN_ANTIC]],1)</f>
        <v>M</v>
      </c>
      <c r="D405" s="8" t="s">
        <v>899</v>
      </c>
      <c r="E405" s="10">
        <v>0</v>
      </c>
      <c r="F405" s="22"/>
      <c r="G405" s="22"/>
      <c r="H405" s="16">
        <v>403</v>
      </c>
      <c r="I405" s="8" t="s">
        <v>911</v>
      </c>
      <c r="J405" s="10"/>
    </row>
    <row r="406" spans="1:10" hidden="1">
      <c r="A406" s="5">
        <v>404</v>
      </c>
      <c r="B406" t="str">
        <f>LEFT(Table3[[#This Row],[EPI_DGN_ANTIC]],1)</f>
        <v>Z</v>
      </c>
      <c r="C406" t="str">
        <f>LEFT(Table3[[#This Row],[EPI_DGN_ANTIC]],3)</f>
        <v>ZOg</v>
      </c>
      <c r="D406" s="8" t="s">
        <v>362</v>
      </c>
      <c r="E406" s="10">
        <v>1</v>
      </c>
      <c r="F406" s="22" t="s">
        <v>363</v>
      </c>
      <c r="G406" s="22"/>
      <c r="H406" s="16">
        <v>404</v>
      </c>
      <c r="I406" s="8" t="s">
        <v>916</v>
      </c>
      <c r="J406" s="10"/>
    </row>
    <row r="407" spans="1:10" hidden="1">
      <c r="A407" s="5">
        <v>405</v>
      </c>
      <c r="B407" t="str">
        <f>LEFT(Table3[[#This Row],[EPI_DGN_ANTIC]],1)</f>
        <v>M</v>
      </c>
      <c r="C407" t="s">
        <v>895</v>
      </c>
      <c r="D407" s="8" t="s">
        <v>903</v>
      </c>
      <c r="E407" s="10">
        <v>1</v>
      </c>
      <c r="F407" s="22" t="s">
        <v>486</v>
      </c>
      <c r="G407" s="22" t="s">
        <v>897</v>
      </c>
      <c r="H407" s="16">
        <v>405</v>
      </c>
      <c r="I407" s="8" t="s">
        <v>917</v>
      </c>
      <c r="J407" s="10"/>
    </row>
    <row r="408" spans="1:10" hidden="1">
      <c r="A408" s="5">
        <v>406</v>
      </c>
      <c r="B408" t="str">
        <f>LEFT(Table3[[#This Row],[EPI_DGN_ANTIC]],1)</f>
        <v>Z</v>
      </c>
      <c r="C408" t="str">
        <f>LEFT(Table3[[#This Row],[EPI_DGN_ANTIC]],3)</f>
        <v>ZOg</v>
      </c>
      <c r="D408" s="8" t="s">
        <v>362</v>
      </c>
      <c r="E408" s="10">
        <v>1</v>
      </c>
      <c r="F408" s="22" t="s">
        <v>363</v>
      </c>
      <c r="G408" s="22"/>
      <c r="H408" s="16">
        <v>406</v>
      </c>
      <c r="I408" s="8" t="s">
        <v>918</v>
      </c>
      <c r="J408" s="10"/>
    </row>
    <row r="409" spans="1:10" hidden="1">
      <c r="A409" s="5">
        <v>407</v>
      </c>
      <c r="B409" t="s">
        <v>350</v>
      </c>
      <c r="C409" t="s">
        <v>354</v>
      </c>
      <c r="D409" s="8" t="s">
        <v>919</v>
      </c>
      <c r="E409" s="10">
        <v>1</v>
      </c>
      <c r="F409" s="22" t="s">
        <v>552</v>
      </c>
      <c r="G409" s="22"/>
      <c r="H409" s="16">
        <v>407</v>
      </c>
      <c r="I409" s="8" t="s">
        <v>920</v>
      </c>
      <c r="J409" s="10"/>
    </row>
    <row r="410" spans="1:10" hidden="1">
      <c r="A410" s="5">
        <v>408</v>
      </c>
      <c r="B410" t="s">
        <v>350</v>
      </c>
      <c r="C410" t="s">
        <v>559</v>
      </c>
      <c r="D410" s="8" t="s">
        <v>921</v>
      </c>
      <c r="E410" s="10">
        <v>1</v>
      </c>
      <c r="F410" s="22" t="s">
        <v>360</v>
      </c>
      <c r="G410" s="22"/>
      <c r="H410" s="16">
        <v>408</v>
      </c>
      <c r="I410" s="8" t="s">
        <v>122</v>
      </c>
      <c r="J410" s="10"/>
    </row>
    <row r="411" spans="1:10" hidden="1">
      <c r="A411" s="5">
        <v>409</v>
      </c>
      <c r="B411" t="s">
        <v>350</v>
      </c>
      <c r="C411" t="s">
        <v>559</v>
      </c>
      <c r="D411" s="8" t="s">
        <v>922</v>
      </c>
      <c r="E411" s="10">
        <v>1</v>
      </c>
      <c r="F411" s="22" t="s">
        <v>360</v>
      </c>
      <c r="G411" s="22"/>
      <c r="H411" s="16">
        <v>409</v>
      </c>
      <c r="I411" s="8" t="s">
        <v>923</v>
      </c>
      <c r="J411" s="10"/>
    </row>
    <row r="412" spans="1:10" hidden="1">
      <c r="A412" s="5">
        <v>410</v>
      </c>
      <c r="B412" t="s">
        <v>350</v>
      </c>
      <c r="C412" t="s">
        <v>875</v>
      </c>
      <c r="D412" s="8" t="s">
        <v>924</v>
      </c>
      <c r="E412" s="10">
        <v>1</v>
      </c>
      <c r="F412" s="22" t="s">
        <v>863</v>
      </c>
      <c r="G412" s="22"/>
      <c r="H412" s="16">
        <v>410</v>
      </c>
      <c r="I412" s="8" t="s">
        <v>925</v>
      </c>
      <c r="J412" s="10"/>
    </row>
    <row r="413" spans="1:10" hidden="1">
      <c r="A413" s="5">
        <v>411</v>
      </c>
      <c r="B413" t="s">
        <v>350</v>
      </c>
      <c r="C413" t="s">
        <v>875</v>
      </c>
      <c r="D413" s="8" t="s">
        <v>926</v>
      </c>
      <c r="E413" s="10">
        <v>1</v>
      </c>
      <c r="F413" s="22" t="s">
        <v>863</v>
      </c>
      <c r="G413" s="22"/>
      <c r="H413" s="16">
        <v>411</v>
      </c>
      <c r="I413" s="8" t="s">
        <v>927</v>
      </c>
      <c r="J413" s="10"/>
    </row>
    <row r="414" spans="1:10" hidden="1">
      <c r="A414" s="5">
        <v>412</v>
      </c>
      <c r="B414" t="str">
        <f>LEFT(Table3[[#This Row],[EPI_DGN_ANTIC]],1)</f>
        <v>D</v>
      </c>
      <c r="D414" s="8" t="s">
        <v>621</v>
      </c>
      <c r="E414" s="10">
        <v>0</v>
      </c>
      <c r="F414" s="22"/>
      <c r="G414" s="22"/>
      <c r="H414" s="16">
        <v>412</v>
      </c>
      <c r="I414" s="8" t="s">
        <v>928</v>
      </c>
      <c r="J414" s="10"/>
    </row>
    <row r="415" spans="1:10" hidden="1">
      <c r="A415" s="5">
        <v>413</v>
      </c>
      <c r="B415" t="str">
        <f>LEFT(Table3[[#This Row],[EPI_DGN_ANTIC]],1)</f>
        <v>G</v>
      </c>
      <c r="C415" t="str">
        <f>LEFT(Table3[[#This Row],[EPI_DGN_ANTIC]],2)</f>
        <v>Gd</v>
      </c>
      <c r="D415" s="8" t="s">
        <v>639</v>
      </c>
      <c r="E415" s="10">
        <v>1</v>
      </c>
      <c r="F415" s="22" t="s">
        <v>929</v>
      </c>
      <c r="G415" s="22"/>
      <c r="H415" s="16">
        <v>413</v>
      </c>
      <c r="I415" s="8" t="s">
        <v>930</v>
      </c>
      <c r="J415" s="10"/>
    </row>
    <row r="416" spans="1:10" hidden="1">
      <c r="A416" s="5">
        <v>414</v>
      </c>
      <c r="B416" t="str">
        <f>LEFT(Table3[[#This Row],[EPI_DGN_ANTIC]],1)</f>
        <v>G</v>
      </c>
      <c r="C416" t="str">
        <f>LEFT(Table3[[#This Row],[EPI_DGN_ANTIC]],2)</f>
        <v>Gb</v>
      </c>
      <c r="D416" s="8" t="s">
        <v>931</v>
      </c>
      <c r="E416" s="10">
        <v>0</v>
      </c>
      <c r="F416" s="22"/>
      <c r="G416" s="22"/>
      <c r="H416" s="16">
        <v>414</v>
      </c>
      <c r="I416" s="8" t="s">
        <v>932</v>
      </c>
      <c r="J416" s="10"/>
    </row>
    <row r="417" spans="1:10" hidden="1">
      <c r="A417" s="5">
        <v>415</v>
      </c>
      <c r="B417" t="str">
        <f>LEFT(Table3[[#This Row],[EPI_DGN_ANTIC]],1)</f>
        <v>G</v>
      </c>
      <c r="C417" t="str">
        <f>LEFT(Table3[[#This Row],[EPI_DGN_ANTIC]],2)</f>
        <v>Gb</v>
      </c>
      <c r="D417" s="8" t="s">
        <v>931</v>
      </c>
      <c r="E417" s="10">
        <v>1</v>
      </c>
      <c r="F417" s="22" t="s">
        <v>933</v>
      </c>
      <c r="G417" s="22"/>
      <c r="H417" s="16">
        <v>415</v>
      </c>
      <c r="I417" s="8" t="s">
        <v>934</v>
      </c>
      <c r="J417" s="10"/>
    </row>
    <row r="418" spans="1:10">
      <c r="A418" s="5">
        <v>416</v>
      </c>
      <c r="B418" t="str">
        <f>LEFT(Table3[[#This Row],[EPI_DGN_ANTIC]],1)</f>
        <v>G</v>
      </c>
      <c r="C418" t="str">
        <f>LEFT(Table3[[#This Row],[EPI_DGN_ANTIC]],2)</f>
        <v>Gb</v>
      </c>
      <c r="D418" s="8" t="s">
        <v>935</v>
      </c>
      <c r="E418" s="10">
        <v>1</v>
      </c>
      <c r="F418" s="22" t="s">
        <v>936</v>
      </c>
      <c r="G418" s="22"/>
      <c r="H418" s="16">
        <v>416</v>
      </c>
      <c r="I418" s="8" t="s">
        <v>909</v>
      </c>
      <c r="J418" s="10"/>
    </row>
    <row r="419" spans="1:10" hidden="1">
      <c r="A419" s="5">
        <v>417</v>
      </c>
      <c r="B419" t="str">
        <f>LEFT(Table3[[#This Row],[EPI_DGN_ANTIC]],1)</f>
        <v>G</v>
      </c>
      <c r="C419" t="str">
        <f>LEFT(Table3[[#This Row],[EPI_DGN_ANTIC]],2)</f>
        <v>Gd</v>
      </c>
      <c r="D419" s="8" t="s">
        <v>937</v>
      </c>
      <c r="E419" s="10">
        <v>1</v>
      </c>
      <c r="F419" s="22" t="s">
        <v>938</v>
      </c>
      <c r="G419" s="22"/>
      <c r="H419" s="16">
        <v>417</v>
      </c>
      <c r="I419" s="8" t="s">
        <v>939</v>
      </c>
      <c r="J419" s="10"/>
    </row>
    <row r="420" spans="1:10" hidden="1">
      <c r="A420" s="5">
        <v>418</v>
      </c>
      <c r="B420" t="str">
        <f>LEFT(Table3[[#This Row],[EPI_DGN_ANTIC]],1)</f>
        <v>G</v>
      </c>
      <c r="C420" t="str">
        <f>LEFT(Table3[[#This Row],[EPI_DGN_ANTIC]],2)</f>
        <v>G</v>
      </c>
      <c r="D420" s="8" t="s">
        <v>292</v>
      </c>
      <c r="E420" s="10">
        <v>0</v>
      </c>
      <c r="F420" s="22"/>
      <c r="G420" s="22"/>
      <c r="H420" s="16">
        <v>418</v>
      </c>
      <c r="I420" s="8" t="s">
        <v>940</v>
      </c>
      <c r="J420" s="10"/>
    </row>
    <row r="421" spans="1:10" hidden="1">
      <c r="A421" s="5">
        <v>419</v>
      </c>
      <c r="B421" t="str">
        <f>LEFT(Table3[[#This Row],[EPI_DGN_ANTIC]],1)</f>
        <v>G</v>
      </c>
      <c r="C421" t="str">
        <f>LEFT(Table3[[#This Row],[EPI_DGN_ANTIC]],2)</f>
        <v>Gt</v>
      </c>
      <c r="D421" s="8" t="s">
        <v>941</v>
      </c>
      <c r="E421" s="10">
        <v>0</v>
      </c>
      <c r="F421" s="22"/>
      <c r="G421" s="22"/>
      <c r="H421" s="16">
        <v>419</v>
      </c>
      <c r="I421" s="8" t="s">
        <v>613</v>
      </c>
      <c r="J421" s="10"/>
    </row>
    <row r="422" spans="1:10" hidden="1">
      <c r="A422" s="5">
        <v>420</v>
      </c>
      <c r="B422" t="str">
        <f>LEFT(Table3[[#This Row],[EPI_DGN_ANTIC]],1)</f>
        <v>G</v>
      </c>
      <c r="C422" t="str">
        <f>LEFT(Table3[[#This Row],[EPI_DGN_ANTIC]],2)</f>
        <v>Gt</v>
      </c>
      <c r="D422" s="8" t="s">
        <v>942</v>
      </c>
      <c r="E422" s="10">
        <v>1</v>
      </c>
      <c r="F422" s="22" t="s">
        <v>943</v>
      </c>
      <c r="G422" t="s">
        <v>90</v>
      </c>
      <c r="H422" s="16">
        <v>420</v>
      </c>
      <c r="I422" s="8" t="s">
        <v>944</v>
      </c>
      <c r="J422" s="10"/>
    </row>
    <row r="423" spans="1:10" hidden="1">
      <c r="A423" s="5">
        <v>421</v>
      </c>
      <c r="B423" t="str">
        <f>LEFT(Table3[[#This Row],[EPI_DGN_ANTIC]],1)</f>
        <v>G</v>
      </c>
      <c r="C423" t="str">
        <f>LEFT(Table3[[#This Row],[EPI_DGN_ANTIC]],2)</f>
        <v>Gt</v>
      </c>
      <c r="D423" s="8" t="s">
        <v>942</v>
      </c>
      <c r="E423" s="10">
        <v>0</v>
      </c>
      <c r="F423" s="22"/>
      <c r="G423" s="22"/>
      <c r="H423" s="16">
        <v>421</v>
      </c>
      <c r="I423" s="8" t="s">
        <v>944</v>
      </c>
      <c r="J423" s="10"/>
    </row>
    <row r="424" spans="1:10" hidden="1">
      <c r="A424" s="5">
        <v>422</v>
      </c>
      <c r="B424" t="str">
        <f>LEFT(Table3[[#This Row],[EPI_DGN_ANTIC]],1)</f>
        <v>G</v>
      </c>
      <c r="C424" t="str">
        <f>LEFT(Table3[[#This Row],[EPI_DGN_ANTIC]],2)</f>
        <v>Gt</v>
      </c>
      <c r="D424" s="8" t="s">
        <v>945</v>
      </c>
      <c r="E424" s="10">
        <v>1</v>
      </c>
      <c r="F424" s="22" t="s">
        <v>946</v>
      </c>
      <c r="G424" s="22" t="s">
        <v>486</v>
      </c>
      <c r="H424" s="16">
        <v>422</v>
      </c>
      <c r="I424" s="8" t="s">
        <v>563</v>
      </c>
      <c r="J424" s="10"/>
    </row>
    <row r="425" spans="1:10" hidden="1">
      <c r="A425" s="5">
        <v>423</v>
      </c>
      <c r="B425" t="str">
        <f>LEFT(Table3[[#This Row],[EPI_DGN_ANTIC]],1)</f>
        <v>G</v>
      </c>
      <c r="C425" t="str">
        <f>LEFT(Table3[[#This Row],[EPI_DGN_ANTIC]],2)</f>
        <v>Gt</v>
      </c>
      <c r="D425" s="8" t="s">
        <v>941</v>
      </c>
      <c r="E425" s="10">
        <v>1</v>
      </c>
      <c r="F425" s="22" t="s">
        <v>943</v>
      </c>
      <c r="G425" t="s">
        <v>90</v>
      </c>
      <c r="H425" s="16">
        <v>423</v>
      </c>
      <c r="I425" s="8" t="s">
        <v>947</v>
      </c>
      <c r="J425" s="10"/>
    </row>
    <row r="426" spans="1:10" hidden="1">
      <c r="A426" s="5">
        <v>424</v>
      </c>
      <c r="B426" t="str">
        <f>LEFT(Table3[[#This Row],[EPI_DGN_ANTIC]],1)</f>
        <v>G</v>
      </c>
      <c r="C426" t="str">
        <f>LEFT(Table3[[#This Row],[EPI_DGN_ANTIC]],2)</f>
        <v>Gt</v>
      </c>
      <c r="D426" s="8" t="s">
        <v>942</v>
      </c>
      <c r="E426" s="10">
        <v>0</v>
      </c>
      <c r="F426" s="22"/>
      <c r="G426" s="22"/>
      <c r="H426" s="16">
        <v>424</v>
      </c>
      <c r="I426" s="8" t="s">
        <v>948</v>
      </c>
      <c r="J426" s="10"/>
    </row>
    <row r="427" spans="1:10" hidden="1">
      <c r="A427" s="5">
        <v>425</v>
      </c>
      <c r="B427" t="str">
        <f>LEFT(Table3[[#This Row],[EPI_DGN_ANTIC]],1)</f>
        <v>G</v>
      </c>
      <c r="C427" t="str">
        <f>LEFT(Table3[[#This Row],[EPI_DGN_ANTIC]],2)</f>
        <v>Gt</v>
      </c>
      <c r="D427" s="8" t="s">
        <v>949</v>
      </c>
      <c r="E427" s="10">
        <v>1</v>
      </c>
      <c r="F427" s="22" t="s">
        <v>946</v>
      </c>
      <c r="G427" s="22" t="s">
        <v>486</v>
      </c>
      <c r="H427" s="16">
        <v>425</v>
      </c>
      <c r="I427" s="8" t="s">
        <v>950</v>
      </c>
      <c r="J427" s="10"/>
    </row>
    <row r="428" spans="1:10" hidden="1">
      <c r="A428" s="5">
        <v>426</v>
      </c>
      <c r="B428" t="str">
        <f>LEFT(Table3[[#This Row],[EPI_DGN_ANTIC]],1)</f>
        <v>G</v>
      </c>
      <c r="C428" t="str">
        <f>LEFT(Table3[[#This Row],[EPI_DGN_ANTIC]],2)</f>
        <v>Gf</v>
      </c>
      <c r="D428" s="8" t="s">
        <v>951</v>
      </c>
      <c r="E428" s="10">
        <v>0</v>
      </c>
      <c r="F428" s="22"/>
      <c r="G428" s="22"/>
      <c r="H428" s="16">
        <v>426</v>
      </c>
      <c r="I428" s="8" t="s">
        <v>563</v>
      </c>
      <c r="J428" s="10"/>
    </row>
    <row r="429" spans="1:10" hidden="1">
      <c r="A429" s="5">
        <v>427</v>
      </c>
      <c r="B429" t="str">
        <f>LEFT(Table3[[#This Row],[EPI_DGN_ANTIC]],1)</f>
        <v>G</v>
      </c>
      <c r="C429" t="str">
        <f>LEFT(Table3[[#This Row],[EPI_DGN_ANTIC]],2)</f>
        <v>Gl</v>
      </c>
      <c r="D429" s="8" t="s">
        <v>952</v>
      </c>
      <c r="E429" s="10">
        <v>1</v>
      </c>
      <c r="F429" s="22" t="s">
        <v>953</v>
      </c>
      <c r="G429" t="s">
        <v>90</v>
      </c>
      <c r="H429" s="16">
        <v>427</v>
      </c>
      <c r="I429" s="8" t="s">
        <v>625</v>
      </c>
      <c r="J429" s="10"/>
    </row>
    <row r="430" spans="1:10" hidden="1">
      <c r="A430" s="5">
        <v>428</v>
      </c>
      <c r="B430" t="str">
        <f>LEFT(Table3[[#This Row],[EPI_DGN_ANTIC]],1)</f>
        <v>G</v>
      </c>
      <c r="C430" t="str">
        <f>LEFT(Table3[[#This Row],[EPI_DGN_ANTIC]],2)</f>
        <v>Gl</v>
      </c>
      <c r="D430" s="8" t="s">
        <v>954</v>
      </c>
      <c r="E430" s="10">
        <v>1</v>
      </c>
      <c r="F430" s="22" t="s">
        <v>955</v>
      </c>
      <c r="G430" t="s">
        <v>90</v>
      </c>
      <c r="H430" s="16">
        <v>428</v>
      </c>
      <c r="I430" s="8" t="s">
        <v>947</v>
      </c>
      <c r="J430" s="10"/>
    </row>
    <row r="431" spans="1:10" hidden="1">
      <c r="A431" s="5">
        <v>429</v>
      </c>
      <c r="B431" t="str">
        <f>LEFT(Table3[[#This Row],[EPI_DGN_ANTIC]],1)</f>
        <v>G</v>
      </c>
      <c r="C431" t="str">
        <f>LEFT(Table3[[#This Row],[EPI_DGN_ANTIC]],2)</f>
        <v>Gp</v>
      </c>
      <c r="D431" s="8" t="s">
        <v>956</v>
      </c>
      <c r="E431" s="10">
        <v>1</v>
      </c>
      <c r="F431" s="22" t="s">
        <v>957</v>
      </c>
      <c r="G431" t="s">
        <v>90</v>
      </c>
      <c r="H431" s="16">
        <v>429</v>
      </c>
      <c r="I431" s="8" t="s">
        <v>866</v>
      </c>
      <c r="J431" s="10"/>
    </row>
    <row r="432" spans="1:10" hidden="1">
      <c r="A432" s="5">
        <v>430</v>
      </c>
      <c r="B432" t="str">
        <f>LEFT(Table3[[#This Row],[EPI_DGN_ANTIC]],1)</f>
        <v>H</v>
      </c>
      <c r="C432" t="str">
        <f>LEFT(Table3[[#This Row],[EPI_DGN_ANTIC]],2)</f>
        <v>Hb</v>
      </c>
      <c r="D432" s="8" t="s">
        <v>958</v>
      </c>
      <c r="E432" s="10">
        <v>0</v>
      </c>
      <c r="F432" s="22"/>
      <c r="G432" s="22"/>
      <c r="H432" s="16">
        <v>430</v>
      </c>
      <c r="I432" s="8" t="s">
        <v>959</v>
      </c>
      <c r="J432" s="10"/>
    </row>
    <row r="433" spans="1:10" hidden="1">
      <c r="A433" s="5">
        <v>431</v>
      </c>
      <c r="B433" t="str">
        <f>LEFT(Table3[[#This Row],[EPI_DGN_ANTIC]],1)</f>
        <v>H</v>
      </c>
      <c r="C433" t="str">
        <f>LEFT(Table3[[#This Row],[EPI_DGN_ANTIC]],2)</f>
        <v>Hb</v>
      </c>
      <c r="D433" s="8" t="s">
        <v>958</v>
      </c>
      <c r="E433" s="10">
        <v>1</v>
      </c>
      <c r="F433" s="22" t="s">
        <v>960</v>
      </c>
      <c r="G433" s="22" t="s">
        <v>486</v>
      </c>
      <c r="H433" s="16">
        <v>431</v>
      </c>
      <c r="I433" s="8" t="s">
        <v>961</v>
      </c>
      <c r="J433" s="10"/>
    </row>
    <row r="434" spans="1:10" hidden="1">
      <c r="A434" s="5">
        <v>432</v>
      </c>
      <c r="B434" t="str">
        <f>LEFT(Table3[[#This Row],[EPI_DGN_ANTIC]],1)</f>
        <v>H</v>
      </c>
      <c r="C434" t="str">
        <f>LEFT(Table3[[#This Row],[EPI_DGN_ANTIC]],2)</f>
        <v>Hb</v>
      </c>
      <c r="D434" s="8" t="s">
        <v>962</v>
      </c>
      <c r="E434" s="10">
        <v>1</v>
      </c>
      <c r="F434" s="22" t="s">
        <v>963</v>
      </c>
      <c r="G434" s="22" t="s">
        <v>486</v>
      </c>
      <c r="H434" s="16">
        <v>432</v>
      </c>
      <c r="I434" s="8" t="s">
        <v>964</v>
      </c>
      <c r="J434" s="10"/>
    </row>
    <row r="435" spans="1:10" hidden="1">
      <c r="A435" s="5">
        <v>433</v>
      </c>
      <c r="B435" t="str">
        <f>LEFT(Table3[[#This Row],[EPI_DGN_ANTIC]],1)</f>
        <v>M</v>
      </c>
      <c r="C435" t="s">
        <v>895</v>
      </c>
      <c r="D435" s="8" t="s">
        <v>901</v>
      </c>
      <c r="E435" s="10">
        <v>1</v>
      </c>
      <c r="F435" s="22" t="s">
        <v>486</v>
      </c>
      <c r="G435" s="22" t="s">
        <v>897</v>
      </c>
      <c r="H435" s="16">
        <v>433</v>
      </c>
      <c r="I435" s="8" t="s">
        <v>965</v>
      </c>
      <c r="J435" s="10"/>
    </row>
    <row r="436" spans="1:10" hidden="1">
      <c r="A436" s="5">
        <v>434</v>
      </c>
      <c r="B436" t="str">
        <f>LEFT(Table3[[#This Row],[EPI_DGN_ANTIC]],1)</f>
        <v>Z</v>
      </c>
      <c r="C436" t="str">
        <f>LEFT(Table3[[#This Row],[EPI_DGN_ANTIC]],3)</f>
        <v>ZOg</v>
      </c>
      <c r="D436" s="8" t="s">
        <v>362</v>
      </c>
      <c r="E436" s="10">
        <v>0</v>
      </c>
      <c r="F436" s="22"/>
      <c r="G436" s="22"/>
      <c r="H436" s="16">
        <v>434</v>
      </c>
      <c r="I436" s="8" t="s">
        <v>966</v>
      </c>
      <c r="J436" s="10"/>
    </row>
    <row r="437" spans="1:10" hidden="1">
      <c r="A437" s="5">
        <v>435</v>
      </c>
      <c r="B437" t="s">
        <v>350</v>
      </c>
      <c r="C437" t="s">
        <v>352</v>
      </c>
      <c r="D437" s="8" t="s">
        <v>967</v>
      </c>
      <c r="E437" s="10">
        <v>1</v>
      </c>
      <c r="F437" s="22" t="s">
        <v>628</v>
      </c>
      <c r="G437" s="22"/>
      <c r="H437" s="16">
        <v>435</v>
      </c>
      <c r="I437" s="8" t="s">
        <v>637</v>
      </c>
      <c r="J437" s="10"/>
    </row>
    <row r="438" spans="1:10" hidden="1">
      <c r="A438" s="5">
        <v>436</v>
      </c>
      <c r="B438" t="str">
        <f>LEFT(Table3[[#This Row],[EPI_DGN_ANTIC]],1)</f>
        <v>C</v>
      </c>
      <c r="C438" t="str">
        <f>LEFT(Table3[[#This Row],[EPI_DGN_ANTIC]],2)</f>
        <v>C</v>
      </c>
      <c r="D438" s="8" t="s">
        <v>229</v>
      </c>
      <c r="E438" s="10">
        <v>0</v>
      </c>
      <c r="F438" s="22"/>
      <c r="G438" s="22"/>
      <c r="H438" s="16">
        <v>436</v>
      </c>
      <c r="I438" s="8" t="s">
        <v>820</v>
      </c>
      <c r="J438" s="10"/>
    </row>
    <row r="439" spans="1:10" hidden="1">
      <c r="A439" s="5">
        <v>437</v>
      </c>
      <c r="B439" t="str">
        <f>LEFT(Table3[[#This Row],[EPI_DGN_ANTIC]],1)</f>
        <v>C</v>
      </c>
      <c r="C439" t="str">
        <f>LEFT(Table3[[#This Row],[EPI_DGN_ANTIC]],2)</f>
        <v>CA</v>
      </c>
      <c r="D439" s="8" t="s">
        <v>968</v>
      </c>
      <c r="E439" s="10">
        <v>0</v>
      </c>
      <c r="F439" s="22"/>
      <c r="G439" s="22"/>
      <c r="H439" s="16">
        <v>437</v>
      </c>
      <c r="I439" s="8" t="s">
        <v>969</v>
      </c>
      <c r="J439" s="10"/>
    </row>
    <row r="440" spans="1:10" hidden="1">
      <c r="A440" s="5">
        <v>438</v>
      </c>
      <c r="B440" t="str">
        <f>LEFT(Table3[[#This Row],[EPI_DGN_ANTIC]],1)</f>
        <v>C</v>
      </c>
      <c r="C440" t="str">
        <f>LEFT(Table3[[#This Row],[EPI_DGN_ANTIC]],3)</f>
        <v>CAA</v>
      </c>
      <c r="D440" s="8" t="s">
        <v>970</v>
      </c>
      <c r="E440" s="10">
        <v>0</v>
      </c>
      <c r="F440" s="22"/>
      <c r="G440" s="22"/>
      <c r="H440" s="16">
        <v>438</v>
      </c>
      <c r="I440" s="8" t="s">
        <v>971</v>
      </c>
      <c r="J440" s="10"/>
    </row>
    <row r="441" spans="1:10" hidden="1">
      <c r="A441" s="5">
        <v>439</v>
      </c>
      <c r="B441" t="str">
        <f>LEFT(Table3[[#This Row],[EPI_DGN_ANTIC]],1)</f>
        <v>C</v>
      </c>
      <c r="C441" t="str">
        <f>LEFT(Table3[[#This Row],[EPI_DGN_ANTIC]],3)</f>
        <v>CAC</v>
      </c>
      <c r="D441" s="8" t="s">
        <v>261</v>
      </c>
      <c r="E441" s="10">
        <v>1</v>
      </c>
      <c r="F441" s="22" t="s">
        <v>972</v>
      </c>
      <c r="G441" s="22"/>
      <c r="H441" s="16">
        <v>439</v>
      </c>
      <c r="I441" s="8" t="s">
        <v>973</v>
      </c>
      <c r="J441" s="10"/>
    </row>
    <row r="442" spans="1:10" hidden="1">
      <c r="A442" s="5">
        <v>440</v>
      </c>
      <c r="B442" t="str">
        <f>LEFT(Table3[[#This Row],[EPI_DGN_ANTIC]],1)</f>
        <v>C</v>
      </c>
      <c r="C442" t="str">
        <f>LEFT(Table3[[#This Row],[EPI_DGN_ANTIC]],3)</f>
        <v>CAp</v>
      </c>
      <c r="D442" s="8" t="s">
        <v>241</v>
      </c>
      <c r="E442" s="10">
        <v>1</v>
      </c>
      <c r="F442" s="22" t="s">
        <v>974</v>
      </c>
      <c r="G442" s="22"/>
      <c r="H442" s="16">
        <v>440</v>
      </c>
      <c r="I442" s="8" t="s">
        <v>975</v>
      </c>
      <c r="J442" s="10"/>
    </row>
    <row r="443" spans="1:10" hidden="1">
      <c r="A443" s="5">
        <v>441</v>
      </c>
      <c r="B443" t="str">
        <f>LEFT(Table3[[#This Row],[EPI_DGN_ANTIC]],1)</f>
        <v>C</v>
      </c>
      <c r="C443" t="str">
        <f>LEFT(Table3[[#This Row],[EPI_DGN_ANTIC]],2)</f>
        <v>C</v>
      </c>
      <c r="D443" s="8" t="s">
        <v>229</v>
      </c>
      <c r="E443" s="10">
        <v>0</v>
      </c>
      <c r="F443" s="22"/>
      <c r="G443" s="22"/>
      <c r="H443" s="16">
        <v>441</v>
      </c>
      <c r="I443" s="8" t="s">
        <v>976</v>
      </c>
      <c r="J443" s="10"/>
    </row>
    <row r="444" spans="1:10" hidden="1">
      <c r="A444" s="5">
        <v>442</v>
      </c>
      <c r="B444" t="str">
        <f>LEFT(Table3[[#This Row],[EPI_DGN_ANTIC]],1)</f>
        <v>C</v>
      </c>
      <c r="C444" t="str">
        <f>LEFT(Table3[[#This Row],[EPI_DGN_ANTIC]],2)</f>
        <v>CB</v>
      </c>
      <c r="D444" s="8" t="s">
        <v>977</v>
      </c>
      <c r="E444" s="10">
        <v>0</v>
      </c>
      <c r="F444" s="22"/>
      <c r="G444" s="22"/>
      <c r="H444" s="16">
        <v>442</v>
      </c>
      <c r="I444" s="8" t="s">
        <v>373</v>
      </c>
      <c r="J444" s="10"/>
    </row>
    <row r="445" spans="1:10" hidden="1">
      <c r="A445" s="5">
        <v>443</v>
      </c>
      <c r="B445" t="str">
        <f>LEFT(Table3[[#This Row],[EPI_DGN_ANTIC]],1)</f>
        <v>C</v>
      </c>
      <c r="C445" t="str">
        <f>LEFT(Table3[[#This Row],[EPI_DGN_ANTIC]],2)</f>
        <v>CH</v>
      </c>
      <c r="D445" s="8" t="s">
        <v>978</v>
      </c>
      <c r="E445" s="10">
        <v>0</v>
      </c>
      <c r="F445" s="22"/>
      <c r="G445" s="22"/>
      <c r="H445" s="16">
        <v>443</v>
      </c>
      <c r="I445" s="8" t="s">
        <v>213</v>
      </c>
      <c r="J445" s="10"/>
    </row>
    <row r="446" spans="1:10" hidden="1">
      <c r="A446" s="5">
        <v>444</v>
      </c>
      <c r="B446" t="str">
        <f>LEFT(Table3[[#This Row],[EPI_DGN_ANTIC]],1)</f>
        <v>C</v>
      </c>
      <c r="C446" t="str">
        <f>LEFT(Table3[[#This Row],[EPI_DGN_ANTIC]],2)</f>
        <v>CK</v>
      </c>
      <c r="D446" s="8" t="s">
        <v>381</v>
      </c>
      <c r="E446" s="10">
        <v>1</v>
      </c>
      <c r="F446" s="22" t="s">
        <v>979</v>
      </c>
      <c r="G446" s="22"/>
      <c r="H446" s="16">
        <v>444</v>
      </c>
      <c r="I446" s="8" t="s">
        <v>980</v>
      </c>
      <c r="J446" s="10"/>
    </row>
    <row r="447" spans="1:10" hidden="1">
      <c r="A447" s="5">
        <v>445</v>
      </c>
      <c r="B447" t="str">
        <f>LEFT(Table3[[#This Row],[EPI_DGN_ANTIC]],1)</f>
        <v>C</v>
      </c>
      <c r="C447" t="str">
        <f>LEFT(Table3[[#This Row],[EPI_DGN_ANTIC]],3)</f>
        <v>CaM</v>
      </c>
      <c r="D447" s="8" t="s">
        <v>667</v>
      </c>
      <c r="E447" s="10">
        <v>0</v>
      </c>
      <c r="F447" s="22"/>
      <c r="G447" s="22"/>
      <c r="H447" s="16">
        <v>445</v>
      </c>
      <c r="I447" s="8" t="s">
        <v>848</v>
      </c>
      <c r="J447" s="10"/>
    </row>
    <row r="448" spans="1:10" hidden="1">
      <c r="A448" s="5">
        <v>446</v>
      </c>
      <c r="B448" t="str">
        <f>LEFT(Table3[[#This Row],[EPI_DGN_ANTIC]],1)</f>
        <v>E</v>
      </c>
      <c r="C448" t="str">
        <f>LEFT(Table3[[#This Row],[EPI_DGN_ANTIC]],2)</f>
        <v>Eb</v>
      </c>
      <c r="D448" s="8" t="s">
        <v>981</v>
      </c>
      <c r="E448" s="10">
        <v>0</v>
      </c>
      <c r="F448" s="22"/>
      <c r="G448" s="22"/>
      <c r="H448" s="16">
        <v>446</v>
      </c>
      <c r="I448" s="8" t="s">
        <v>982</v>
      </c>
      <c r="J448" s="10"/>
    </row>
    <row r="449" spans="1:10" hidden="1">
      <c r="A449" s="5">
        <v>447</v>
      </c>
      <c r="B449" t="str">
        <f>LEFT(Table3[[#This Row],[EPI_DGN_ANTIC]],1)</f>
        <v>E</v>
      </c>
      <c r="C449" t="str">
        <f>LEFT(Table3[[#This Row],[EPI_DGN_ANTIC]],3)</f>
        <v>EBb</v>
      </c>
      <c r="D449" s="8" t="s">
        <v>21</v>
      </c>
      <c r="E449" s="10">
        <v>1</v>
      </c>
      <c r="F449" s="22" t="s">
        <v>983</v>
      </c>
      <c r="G449" s="22"/>
      <c r="H449" s="16">
        <v>447</v>
      </c>
      <c r="I449" s="8" t="s">
        <v>984</v>
      </c>
      <c r="J449" s="10"/>
    </row>
    <row r="450" spans="1:10" hidden="1">
      <c r="A450" s="5">
        <v>448</v>
      </c>
      <c r="B450" t="str">
        <f>LEFT(Table3[[#This Row],[EPI_DGN_ANTIC]],1)</f>
        <v>E</v>
      </c>
      <c r="C450" t="str">
        <f>LEFT(Table3[[#This Row],[EPI_DGN_ANTIC]],3)</f>
        <v>EBc</v>
      </c>
      <c r="D450" s="8" t="s">
        <v>826</v>
      </c>
      <c r="E450" s="10">
        <v>1</v>
      </c>
      <c r="F450" s="22" t="s">
        <v>985</v>
      </c>
      <c r="G450" s="22"/>
      <c r="H450" s="16">
        <v>448</v>
      </c>
      <c r="I450" s="8" t="s">
        <v>986</v>
      </c>
      <c r="J450" s="10"/>
    </row>
    <row r="451" spans="1:10" hidden="1">
      <c r="A451" s="5">
        <v>449</v>
      </c>
      <c r="B451" t="str">
        <f>LEFT(Table3[[#This Row],[EPI_DGN_ANTIC]],1)</f>
        <v>E</v>
      </c>
      <c r="C451" t="str">
        <f>LEFT(Table3[[#This Row],[EPI_DGN_ANTIC]],3)</f>
        <v>EBl</v>
      </c>
      <c r="D451" s="8" t="s">
        <v>987</v>
      </c>
      <c r="E451" s="10">
        <v>0</v>
      </c>
      <c r="F451" s="22"/>
      <c r="G451" s="22"/>
      <c r="H451" s="16">
        <v>449</v>
      </c>
      <c r="I451" s="8" t="s">
        <v>988</v>
      </c>
      <c r="J451" s="10"/>
    </row>
    <row r="452" spans="1:10" hidden="1">
      <c r="A452" s="5">
        <v>450</v>
      </c>
      <c r="B452" t="str">
        <f>LEFT(Table3[[#This Row],[EPI_DGN_ANTIC]],1)</f>
        <v>E</v>
      </c>
      <c r="C452" t="str">
        <f>LEFT(Table3[[#This Row],[EPI_DGN_ANTIC]],3)</f>
        <v>EBm</v>
      </c>
      <c r="D452" s="8" t="s">
        <v>989</v>
      </c>
      <c r="E452" s="10">
        <v>0</v>
      </c>
      <c r="F452" s="22"/>
      <c r="G452" s="22"/>
      <c r="H452" s="16">
        <v>450</v>
      </c>
      <c r="I452" s="8" t="s">
        <v>990</v>
      </c>
      <c r="J452" s="10"/>
    </row>
    <row r="453" spans="1:10" hidden="1">
      <c r="A453" s="5">
        <v>451</v>
      </c>
      <c r="B453" t="str">
        <f>LEFT(Table3[[#This Row],[EPI_DGN_ANTIC]],1)</f>
        <v>E</v>
      </c>
      <c r="D453" s="8" t="s">
        <v>10</v>
      </c>
      <c r="E453" s="10">
        <v>0</v>
      </c>
      <c r="F453" s="22"/>
      <c r="G453" s="22"/>
      <c r="H453" s="16">
        <v>451</v>
      </c>
      <c r="I453" s="8" t="s">
        <v>991</v>
      </c>
      <c r="J453" s="10"/>
    </row>
    <row r="454" spans="1:10" hidden="1">
      <c r="A454" s="5">
        <v>452</v>
      </c>
      <c r="B454" t="str">
        <f>LEFT(Table3[[#This Row],[EPI_DGN_ANTIC]],1)</f>
        <v>E</v>
      </c>
      <c r="C454" t="str">
        <f>LEFT(Table3[[#This Row],[EPI_DGN_ANTIC]],3)</f>
        <v>ECc</v>
      </c>
      <c r="D454" s="8" t="s">
        <v>685</v>
      </c>
      <c r="E454" s="10">
        <v>1</v>
      </c>
      <c r="F454" s="22" t="s">
        <v>75</v>
      </c>
      <c r="G454" s="22"/>
      <c r="H454" s="16">
        <v>452</v>
      </c>
      <c r="I454" s="8" t="s">
        <v>992</v>
      </c>
      <c r="J454" s="10"/>
    </row>
    <row r="455" spans="1:10" hidden="1">
      <c r="A455" s="5">
        <v>453</v>
      </c>
      <c r="B455" t="str">
        <f>LEFT(Table3[[#This Row],[EPI_DGN_ANTIC]],1)</f>
        <v>E</v>
      </c>
      <c r="C455" t="str">
        <f>LEFT(Table3[[#This Row],[EPI_DGN_ANTIC]],3)</f>
        <v>ECd</v>
      </c>
      <c r="D455" s="8" t="s">
        <v>993</v>
      </c>
      <c r="E455" s="10">
        <v>0</v>
      </c>
      <c r="F455" s="22"/>
      <c r="G455" s="22"/>
      <c r="H455" s="16">
        <v>453</v>
      </c>
      <c r="I455" s="8" t="s">
        <v>994</v>
      </c>
      <c r="J455" s="10"/>
    </row>
    <row r="456" spans="1:10" hidden="1">
      <c r="A456" s="5">
        <v>454</v>
      </c>
      <c r="B456" t="str">
        <f>LEFT(Table3[[#This Row],[EPI_DGN_ANTIC]],1)</f>
        <v>E</v>
      </c>
      <c r="C456" t="str">
        <f>LEFT(Table3[[#This Row],[EPI_DGN_ANTIC]],3)</f>
        <v>ECg</v>
      </c>
      <c r="D456" s="8" t="s">
        <v>995</v>
      </c>
      <c r="E456" s="10">
        <v>0</v>
      </c>
      <c r="F456" s="22"/>
      <c r="G456" s="22"/>
      <c r="H456" s="16">
        <v>454</v>
      </c>
      <c r="I456" s="8" t="s">
        <v>996</v>
      </c>
      <c r="J456" s="10"/>
    </row>
    <row r="457" spans="1:10" hidden="1">
      <c r="A457" s="5">
        <v>455</v>
      </c>
      <c r="B457" t="str">
        <f>LEFT(Table3[[#This Row],[EPI_DGN_ANTIC]],1)</f>
        <v>E</v>
      </c>
      <c r="C457" t="str">
        <f>LEFT(Table3[[#This Row],[EPI_DGN_ANTIC]],3)</f>
        <v>ECl</v>
      </c>
      <c r="D457" s="8" t="s">
        <v>997</v>
      </c>
      <c r="E457" s="10">
        <v>0</v>
      </c>
      <c r="F457" s="22"/>
      <c r="G457" s="22"/>
      <c r="H457" s="16">
        <v>455</v>
      </c>
      <c r="I457" s="8" t="s">
        <v>998</v>
      </c>
      <c r="J457" s="10"/>
    </row>
    <row r="458" spans="1:10" hidden="1">
      <c r="A458" s="5">
        <v>456</v>
      </c>
      <c r="B458" t="str">
        <f>LEFT(Table3[[#This Row],[EPI_DGN_ANTIC]],1)</f>
        <v>E</v>
      </c>
      <c r="C458" t="str">
        <f>LEFT(Table3[[#This Row],[EPI_DGN_ANTIC]],3)</f>
        <v>ECL</v>
      </c>
      <c r="D458" s="8" t="s">
        <v>428</v>
      </c>
      <c r="E458" s="10">
        <v>1</v>
      </c>
      <c r="F458" s="22" t="s">
        <v>999</v>
      </c>
      <c r="G458" s="22"/>
      <c r="H458" s="16">
        <v>456</v>
      </c>
      <c r="I458" s="8" t="s">
        <v>1000</v>
      </c>
      <c r="J458" s="10"/>
    </row>
    <row r="459" spans="1:10" hidden="1">
      <c r="A459" s="5">
        <v>457</v>
      </c>
      <c r="B459" t="str">
        <f>LEFT(Table3[[#This Row],[EPI_DGN_ANTIC]],1)</f>
        <v>E</v>
      </c>
      <c r="C459" t="str">
        <f>LEFT(Table3[[#This Row],[EPI_DGN_ANTIC]],3)</f>
        <v>ECm</v>
      </c>
      <c r="D459" s="8" t="s">
        <v>1001</v>
      </c>
      <c r="E459" s="10">
        <v>0</v>
      </c>
      <c r="F459" s="22"/>
      <c r="G459" s="22"/>
      <c r="H459" s="16">
        <v>457</v>
      </c>
      <c r="I459" s="8" t="s">
        <v>1002</v>
      </c>
      <c r="J459" s="10"/>
    </row>
    <row r="460" spans="1:10" hidden="1">
      <c r="A460" s="5">
        <v>458</v>
      </c>
      <c r="B460" t="str">
        <f>LEFT(Table3[[#This Row],[EPI_DGN_ANTIC]],1)</f>
        <v>E</v>
      </c>
      <c r="C460" t="str">
        <f>LEFT(Table3[[#This Row],[EPI_DGN_ANTIC]],3)</f>
        <v>ECt</v>
      </c>
      <c r="D460" s="8" t="s">
        <v>104</v>
      </c>
      <c r="E460" s="10">
        <v>1</v>
      </c>
      <c r="F460" s="22" t="s">
        <v>1003</v>
      </c>
      <c r="G460" s="22"/>
      <c r="H460" s="16">
        <v>458</v>
      </c>
      <c r="I460" s="8" t="s">
        <v>1004</v>
      </c>
      <c r="J460" s="10"/>
    </row>
    <row r="461" spans="1:10" hidden="1">
      <c r="A461" s="5">
        <v>459</v>
      </c>
      <c r="B461" t="str">
        <f>LEFT(Table3[[#This Row],[EPI_DGN_ANTIC]],1)</f>
        <v>E</v>
      </c>
      <c r="C461" t="str">
        <f>LEFT(Table3[[#This Row],[EPI_DGN_ANTIC]],2)</f>
        <v>EP</v>
      </c>
      <c r="D461" s="8" t="s">
        <v>1005</v>
      </c>
      <c r="E461" s="10">
        <v>0</v>
      </c>
      <c r="F461" s="22"/>
      <c r="G461" s="22"/>
      <c r="H461" s="16">
        <v>459</v>
      </c>
      <c r="I461" s="8" t="s">
        <v>1006</v>
      </c>
      <c r="J461" s="10"/>
    </row>
    <row r="462" spans="1:10" hidden="1">
      <c r="A462" s="5">
        <v>460</v>
      </c>
      <c r="B462" t="str">
        <f>LEFT(Table3[[#This Row],[EPI_DGN_ANTIC]],1)</f>
        <v>E</v>
      </c>
      <c r="C462" t="str">
        <f>LEFT(Table3[[#This Row],[EPI_DGN_ANTIC]],3)</f>
        <v>ELc</v>
      </c>
      <c r="D462" s="8" t="s">
        <v>1007</v>
      </c>
      <c r="E462" s="10">
        <v>1</v>
      </c>
      <c r="F462" s="22" t="s">
        <v>1008</v>
      </c>
      <c r="G462" s="22"/>
      <c r="H462" s="16">
        <v>460</v>
      </c>
      <c r="I462" s="8" t="s">
        <v>1009</v>
      </c>
      <c r="J462" s="10"/>
    </row>
    <row r="463" spans="1:10" hidden="1">
      <c r="A463" s="5">
        <v>461</v>
      </c>
      <c r="B463" t="str">
        <f>LEFT(Table3[[#This Row],[EPI_DGN_ANTIC]],1)</f>
        <v>E</v>
      </c>
      <c r="C463" t="str">
        <f>LEFT(Table3[[#This Row],[EPI_DGN_ANTIC]],3)</f>
        <v>ELc</v>
      </c>
      <c r="D463" s="8" t="s">
        <v>1010</v>
      </c>
      <c r="E463" s="10">
        <v>1</v>
      </c>
      <c r="F463" s="22" t="s">
        <v>1011</v>
      </c>
      <c r="G463" s="22"/>
      <c r="H463" s="16">
        <v>461</v>
      </c>
      <c r="I463" s="8" t="s">
        <v>191</v>
      </c>
      <c r="J463" s="10"/>
    </row>
    <row r="464" spans="1:10" hidden="1">
      <c r="A464" s="5">
        <v>462</v>
      </c>
      <c r="B464" t="str">
        <f>LEFT(Table3[[#This Row],[EPI_DGN_ANTIC]],1)</f>
        <v>E</v>
      </c>
      <c r="C464" t="str">
        <f>LEFT(Table3[[#This Row],[EPI_DGN_ANTIC]],3)</f>
        <v>ELc</v>
      </c>
      <c r="D464" s="8" t="s">
        <v>1012</v>
      </c>
      <c r="E464" s="10">
        <v>1</v>
      </c>
      <c r="F464" s="22" t="s">
        <v>1013</v>
      </c>
      <c r="G464" s="22"/>
      <c r="H464" s="16">
        <v>462</v>
      </c>
      <c r="I464" s="8" t="s">
        <v>183</v>
      </c>
      <c r="J464" s="10"/>
    </row>
    <row r="465" spans="1:10" hidden="1">
      <c r="A465" s="5">
        <v>463</v>
      </c>
      <c r="B465" t="str">
        <f>LEFT(Table3[[#This Row],[EPI_DGN_ANTIC]],1)</f>
        <v>E</v>
      </c>
      <c r="C465" t="str">
        <f>LEFT(Table3[[#This Row],[EPI_DGN_ANTIC]],3)</f>
        <v>ELc</v>
      </c>
      <c r="D465" s="8" t="s">
        <v>1014</v>
      </c>
      <c r="E465" s="10">
        <v>1</v>
      </c>
      <c r="F465" s="22" t="s">
        <v>1011</v>
      </c>
      <c r="G465" s="22"/>
      <c r="H465" s="16">
        <v>463</v>
      </c>
      <c r="I465" s="8" t="s">
        <v>211</v>
      </c>
      <c r="J465" s="10"/>
    </row>
    <row r="466" spans="1:10" hidden="1">
      <c r="A466" s="5">
        <v>464</v>
      </c>
      <c r="B466" t="str">
        <f>LEFT(Table3[[#This Row],[EPI_DGN_ANTIC]],1)</f>
        <v>E</v>
      </c>
      <c r="C466" t="str">
        <f>LEFT(Table3[[#This Row],[EPI_DGN_ANTIC]],3)</f>
        <v>ELg</v>
      </c>
      <c r="D466" s="8" t="s">
        <v>1015</v>
      </c>
      <c r="E466" s="10">
        <v>1</v>
      </c>
      <c r="F466" s="22" t="s">
        <v>1016</v>
      </c>
      <c r="G466" s="22"/>
      <c r="H466" s="16">
        <v>464</v>
      </c>
      <c r="I466" s="8" t="s">
        <v>1017</v>
      </c>
      <c r="J466" s="10"/>
    </row>
    <row r="467" spans="1:10" hidden="1">
      <c r="A467" s="5">
        <v>465</v>
      </c>
      <c r="B467" t="str">
        <f>LEFT(Table3[[#This Row],[EPI_DGN_ANTIC]],1)</f>
        <v>E</v>
      </c>
      <c r="C467" t="str">
        <f>LEFT(Table3[[#This Row],[EPI_DGN_ANTIC]],3)</f>
        <v>ELg</v>
      </c>
      <c r="D467" s="8" t="s">
        <v>1018</v>
      </c>
      <c r="E467" s="10">
        <v>1</v>
      </c>
      <c r="F467" s="22" t="s">
        <v>1019</v>
      </c>
      <c r="G467" s="22"/>
      <c r="H467" s="16">
        <v>465</v>
      </c>
      <c r="I467" s="8" t="s">
        <v>876</v>
      </c>
      <c r="J467" s="10"/>
    </row>
    <row r="468" spans="1:10" hidden="1">
      <c r="A468" s="5">
        <v>466</v>
      </c>
      <c r="B468" t="str">
        <f>LEFT(Table3[[#This Row],[EPI_DGN_ANTIC]],1)</f>
        <v>E</v>
      </c>
      <c r="C468" t="str">
        <f>LEFT(Table3[[#This Row],[EPI_DGN_ANTIC]],3)</f>
        <v>ELg</v>
      </c>
      <c r="D468" s="8" t="s">
        <v>1020</v>
      </c>
      <c r="E468" s="10">
        <v>1</v>
      </c>
      <c r="F468" s="22" t="s">
        <v>1021</v>
      </c>
      <c r="G468" s="22"/>
      <c r="H468" s="16">
        <v>466</v>
      </c>
      <c r="I468" s="8" t="s">
        <v>1022</v>
      </c>
      <c r="J468" s="10"/>
    </row>
    <row r="469" spans="1:10" hidden="1">
      <c r="A469" s="5">
        <v>467</v>
      </c>
      <c r="B469" t="str">
        <f>LEFT(Table3[[#This Row],[EPI_DGN_ANTIC]],1)</f>
        <v>E</v>
      </c>
      <c r="C469" t="str">
        <f>LEFT(Table3[[#This Row],[EPI_DGN_ANTIC]],3)</f>
        <v>ELm</v>
      </c>
      <c r="D469" s="8" t="s">
        <v>1023</v>
      </c>
      <c r="E469" s="10">
        <v>1</v>
      </c>
      <c r="F469" s="22" t="s">
        <v>1024</v>
      </c>
      <c r="G469" s="22"/>
      <c r="H469" s="16">
        <v>467</v>
      </c>
      <c r="I469" s="8" t="s">
        <v>349</v>
      </c>
      <c r="J469" s="10"/>
    </row>
    <row r="470" spans="1:10" hidden="1">
      <c r="A470" s="5">
        <v>468</v>
      </c>
      <c r="B470" t="str">
        <f>LEFT(Table3[[#This Row],[EPI_DGN_ANTIC]],1)</f>
        <v>E</v>
      </c>
      <c r="C470" t="str">
        <f>LEFT(Table3[[#This Row],[EPI_DGN_ANTIC]],3)</f>
        <v>ELm</v>
      </c>
      <c r="D470" s="8" t="s">
        <v>1025</v>
      </c>
      <c r="E470" s="10">
        <v>1</v>
      </c>
      <c r="F470" s="22" t="s">
        <v>1008</v>
      </c>
      <c r="G470" s="22"/>
      <c r="H470" s="16">
        <v>468</v>
      </c>
      <c r="I470" s="8" t="s">
        <v>349</v>
      </c>
      <c r="J470" s="10"/>
    </row>
    <row r="471" spans="1:10" hidden="1">
      <c r="A471" s="5">
        <v>469</v>
      </c>
      <c r="B471" t="str">
        <f>LEFT(Table3[[#This Row],[EPI_DGN_ANTIC]],1)</f>
        <v>E</v>
      </c>
      <c r="C471" t="str">
        <f>LEFT(Table3[[#This Row],[EPI_DGN_ANTIC]],3)</f>
        <v>ELs</v>
      </c>
      <c r="D471" s="8" t="s">
        <v>1026</v>
      </c>
      <c r="E471" s="10">
        <v>1</v>
      </c>
      <c r="F471" s="22" t="s">
        <v>1027</v>
      </c>
      <c r="G471" s="22"/>
      <c r="H471" s="16">
        <v>469</v>
      </c>
      <c r="I471" s="8" t="s">
        <v>425</v>
      </c>
      <c r="J471" s="10"/>
    </row>
    <row r="472" spans="1:10" hidden="1">
      <c r="A472" s="5">
        <v>470</v>
      </c>
      <c r="B472" t="str">
        <f>LEFT(Table3[[#This Row],[EPI_DGN_ANTIC]],1)</f>
        <v>E</v>
      </c>
      <c r="C472" t="str">
        <f>LEFT(Table3[[#This Row],[EPI_DGN_ANTIC]],3)</f>
        <v>ELx</v>
      </c>
      <c r="D472" s="8" t="s">
        <v>1028</v>
      </c>
      <c r="E472" s="10">
        <v>0</v>
      </c>
      <c r="F472" s="22"/>
      <c r="G472" s="22"/>
      <c r="H472" s="16">
        <v>470</v>
      </c>
      <c r="I472" s="8" t="s">
        <v>425</v>
      </c>
      <c r="J472" s="10"/>
    </row>
    <row r="473" spans="1:10" hidden="1">
      <c r="A473" s="5">
        <v>471</v>
      </c>
      <c r="B473" t="str">
        <f>LEFT(Table3[[#This Row],[EPI_DGN_ANTIC]],1)</f>
        <v>E</v>
      </c>
      <c r="C473" t="str">
        <f>LEFT(Table3[[#This Row],[EPI_DGN_ANTIC]],3)</f>
        <v>ELB</v>
      </c>
      <c r="D473" s="8" t="s">
        <v>1029</v>
      </c>
      <c r="E473" s="10">
        <v>1</v>
      </c>
      <c r="F473" s="22" t="s">
        <v>1011</v>
      </c>
      <c r="G473" s="22"/>
      <c r="H473" s="16">
        <v>471</v>
      </c>
      <c r="I473" s="8" t="s">
        <v>460</v>
      </c>
      <c r="J473" s="10"/>
    </row>
    <row r="474" spans="1:10" hidden="1">
      <c r="A474" s="5">
        <v>472</v>
      </c>
      <c r="B474" t="str">
        <f>LEFT(Table3[[#This Row],[EPI_DGN_ANTIC]],1)</f>
        <v>E</v>
      </c>
      <c r="C474" t="str">
        <f>LEFT(Table3[[#This Row],[EPI_DGN_ANTIC]],3)</f>
        <v>EPc</v>
      </c>
      <c r="D474" s="8" t="s">
        <v>1030</v>
      </c>
      <c r="E474" s="10">
        <v>1</v>
      </c>
      <c r="F474" s="22" t="s">
        <v>1031</v>
      </c>
      <c r="G474" s="22"/>
      <c r="H474" s="16">
        <v>472</v>
      </c>
      <c r="I474" s="8" t="s">
        <v>467</v>
      </c>
      <c r="J474" s="10"/>
    </row>
    <row r="475" spans="1:10" hidden="1">
      <c r="A475" s="5">
        <v>473</v>
      </c>
      <c r="B475" t="str">
        <f>LEFT(Table3[[#This Row],[EPI_DGN_ANTIC]],1)</f>
        <v>E</v>
      </c>
      <c r="C475" t="str">
        <f>LEFT(Table3[[#This Row],[EPI_DGN_ANTIC]],3)</f>
        <v>ELg</v>
      </c>
      <c r="D475" s="8" t="s">
        <v>1032</v>
      </c>
      <c r="E475" s="10">
        <v>0</v>
      </c>
      <c r="F475" s="22"/>
      <c r="G475" s="22"/>
      <c r="H475" s="16">
        <v>473</v>
      </c>
      <c r="I475" s="8" t="s">
        <v>213</v>
      </c>
      <c r="J475" s="10"/>
    </row>
    <row r="476" spans="1:10" hidden="1">
      <c r="A476" s="5">
        <v>474</v>
      </c>
      <c r="B476" t="str">
        <f>LEFT(Table3[[#This Row],[EPI_DGN_ANTIC]],1)</f>
        <v>E</v>
      </c>
      <c r="C476" t="str">
        <f>LEFT(Table3[[#This Row],[EPI_DGN_ANTIC]],3)</f>
        <v>EPg</v>
      </c>
      <c r="D476" s="8" t="s">
        <v>1033</v>
      </c>
      <c r="E476" s="10">
        <v>1</v>
      </c>
      <c r="F476" s="22" t="s">
        <v>1034</v>
      </c>
      <c r="G476" s="22"/>
      <c r="H476" s="16">
        <v>474</v>
      </c>
      <c r="I476" s="8" t="s">
        <v>1035</v>
      </c>
      <c r="J476" s="10"/>
    </row>
    <row r="477" spans="1:10" hidden="1">
      <c r="A477" s="5">
        <v>475</v>
      </c>
      <c r="B477" t="str">
        <f>LEFT(Table3[[#This Row],[EPI_DGN_ANTIC]],1)</f>
        <v>E</v>
      </c>
      <c r="C477" t="s">
        <v>1036</v>
      </c>
      <c r="D477" s="8" t="s">
        <v>1037</v>
      </c>
      <c r="E477" s="10">
        <v>1</v>
      </c>
      <c r="F477" s="22" t="s">
        <v>1038</v>
      </c>
      <c r="G477" s="22"/>
      <c r="H477" s="16">
        <v>475</v>
      </c>
      <c r="I477" s="8" t="s">
        <v>1039</v>
      </c>
      <c r="J477" s="10"/>
    </row>
    <row r="478" spans="1:10" hidden="1">
      <c r="A478" s="5">
        <v>476</v>
      </c>
      <c r="B478" t="str">
        <f>LEFT(Table3[[#This Row],[EPI_DGN_ANTIC]],1)</f>
        <v>E</v>
      </c>
      <c r="C478" t="str">
        <f>LEFT(Table3[[#This Row],[EPI_DGN_ANTIC]],3)</f>
        <v>ELc</v>
      </c>
      <c r="D478" s="8" t="s">
        <v>1040</v>
      </c>
      <c r="E478" s="10">
        <v>1</v>
      </c>
      <c r="F478" s="22" t="s">
        <v>1041</v>
      </c>
      <c r="G478" s="22"/>
      <c r="H478" s="16">
        <v>476</v>
      </c>
      <c r="I478" s="8" t="s">
        <v>1042</v>
      </c>
      <c r="J478" s="10"/>
    </row>
    <row r="479" spans="1:10" hidden="1">
      <c r="A479" s="5">
        <v>477</v>
      </c>
      <c r="B479" t="str">
        <f>LEFT(Table3[[#This Row],[EPI_DGN_ANTIC]],1)</f>
        <v>E</v>
      </c>
      <c r="C479" t="str">
        <f>LEFT(Table3[[#This Row],[EPI_DGN_ANTIC]],3)</f>
        <v>ELc</v>
      </c>
      <c r="D479" s="8" t="s">
        <v>1043</v>
      </c>
      <c r="E479" s="10">
        <v>1</v>
      </c>
      <c r="F479" s="22" t="s">
        <v>1044</v>
      </c>
      <c r="G479" s="22"/>
      <c r="H479" s="16">
        <v>477</v>
      </c>
      <c r="I479" s="8" t="s">
        <v>1045</v>
      </c>
      <c r="J479" s="10"/>
    </row>
    <row r="480" spans="1:10" hidden="1">
      <c r="A480" s="5">
        <v>478</v>
      </c>
      <c r="B480" t="str">
        <f>LEFT(Table3[[#This Row],[EPI_DGN_ANTIC]],1)</f>
        <v>E</v>
      </c>
      <c r="C480" t="str">
        <f>LEFT(Table3[[#This Row],[EPI_DGN_ANTIC]],3)</f>
        <v>ELc</v>
      </c>
      <c r="D480" s="8" t="s">
        <v>1046</v>
      </c>
      <c r="E480" s="10">
        <v>1</v>
      </c>
      <c r="F480" s="22" t="s">
        <v>1047</v>
      </c>
      <c r="G480" s="22"/>
      <c r="H480" s="16">
        <v>478</v>
      </c>
      <c r="I480" s="8" t="s">
        <v>1048</v>
      </c>
      <c r="J480" s="10"/>
    </row>
    <row r="481" spans="1:10" hidden="1">
      <c r="A481" s="5">
        <v>479</v>
      </c>
      <c r="B481" t="str">
        <f>LEFT(Table3[[#This Row],[EPI_DGN_ANTIC]],1)</f>
        <v>E</v>
      </c>
      <c r="C481" t="str">
        <f>LEFT(Table3[[#This Row],[EPI_DGN_ANTIC]],3)</f>
        <v>ELc</v>
      </c>
      <c r="D481" s="8" t="s">
        <v>1049</v>
      </c>
      <c r="E481" s="10">
        <v>1</v>
      </c>
      <c r="F481" s="22" t="s">
        <v>1050</v>
      </c>
      <c r="G481" s="22"/>
      <c r="H481" s="16">
        <v>479</v>
      </c>
      <c r="I481" s="8" t="s">
        <v>1051</v>
      </c>
      <c r="J481" s="10"/>
    </row>
    <row r="482" spans="1:10" hidden="1">
      <c r="A482" s="5">
        <v>480</v>
      </c>
      <c r="B482" t="str">
        <f>LEFT(Table3[[#This Row],[EPI_DGN_ANTIC]],1)</f>
        <v>E</v>
      </c>
      <c r="C482" t="str">
        <f>LEFT(Table3[[#This Row],[EPI_DGN_ANTIC]],3)</f>
        <v>ELc</v>
      </c>
      <c r="D482" s="8" t="s">
        <v>1052</v>
      </c>
      <c r="E482" s="10">
        <v>1</v>
      </c>
      <c r="F482" s="22" t="s">
        <v>1053</v>
      </c>
      <c r="G482" s="22"/>
      <c r="H482" s="16">
        <v>480</v>
      </c>
      <c r="I482" s="8" t="s">
        <v>1054</v>
      </c>
      <c r="J482" s="10"/>
    </row>
    <row r="483" spans="1:10" hidden="1">
      <c r="A483" s="5">
        <v>481</v>
      </c>
      <c r="B483" t="str">
        <f>LEFT(Table3[[#This Row],[EPI_DGN_ANTIC]],1)</f>
        <v>E</v>
      </c>
      <c r="C483" t="str">
        <f>LEFT(Table3[[#This Row],[EPI_DGN_ANTIC]],3)</f>
        <v>ELc</v>
      </c>
      <c r="D483" s="8" t="s">
        <v>1055</v>
      </c>
      <c r="E483" s="10">
        <v>1</v>
      </c>
      <c r="F483" s="22" t="s">
        <v>1056</v>
      </c>
      <c r="G483" s="22"/>
      <c r="H483" s="16">
        <v>481</v>
      </c>
      <c r="I483" s="8" t="s">
        <v>11</v>
      </c>
      <c r="J483" s="10"/>
    </row>
    <row r="484" spans="1:10" hidden="1">
      <c r="A484" s="5">
        <v>482</v>
      </c>
      <c r="B484" t="str">
        <f>LEFT(Table3[[#This Row],[EPI_DGN_ANTIC]],1)</f>
        <v>E</v>
      </c>
      <c r="C484" t="str">
        <f>LEFT(Table3[[#This Row],[EPI_DGN_ANTIC]],3)</f>
        <v>ELl</v>
      </c>
      <c r="D484" s="8" t="s">
        <v>1057</v>
      </c>
      <c r="E484" s="10">
        <v>1</v>
      </c>
      <c r="F484" s="22" t="s">
        <v>1058</v>
      </c>
      <c r="G484" s="24"/>
      <c r="H484" s="16">
        <v>482</v>
      </c>
      <c r="I484" s="8" t="s">
        <v>1059</v>
      </c>
      <c r="J484" s="10"/>
    </row>
    <row r="485" spans="1:10" hidden="1">
      <c r="A485" s="5">
        <v>483</v>
      </c>
      <c r="B485" t="str">
        <f>LEFT(Table3[[#This Row],[EPI_DGN_ANTIC]],1)</f>
        <v>E</v>
      </c>
      <c r="C485" t="str">
        <f>LEFT(Table3[[#This Row],[EPI_DGN_ANTIC]],3)</f>
        <v>ELo</v>
      </c>
      <c r="D485" s="8" t="s">
        <v>1060</v>
      </c>
      <c r="E485" s="10">
        <v>1</v>
      </c>
      <c r="F485" s="22" t="s">
        <v>1061</v>
      </c>
      <c r="G485" s="22"/>
      <c r="H485" s="16">
        <v>483</v>
      </c>
      <c r="I485" s="8" t="s">
        <v>1062</v>
      </c>
      <c r="J485" s="10"/>
    </row>
    <row r="486" spans="1:10" hidden="1">
      <c r="A486" s="5">
        <v>484</v>
      </c>
      <c r="B486" t="str">
        <f>LEFT(Table3[[#This Row],[EPI_DGN_ANTIC]],1)</f>
        <v>E</v>
      </c>
      <c r="C486" t="str">
        <f>LEFT(Table3[[#This Row],[EPI_DGN_ANTIC]],3)</f>
        <v>EPb</v>
      </c>
      <c r="D486" s="8" t="s">
        <v>1063</v>
      </c>
      <c r="E486" s="10">
        <v>1</v>
      </c>
      <c r="F486" s="22" t="s">
        <v>1064</v>
      </c>
      <c r="G486" s="22"/>
      <c r="H486" s="16">
        <v>484</v>
      </c>
      <c r="I486" s="8" t="s">
        <v>1065</v>
      </c>
      <c r="J486" s="10"/>
    </row>
    <row r="487" spans="1:10" hidden="1">
      <c r="A487" s="5">
        <v>485</v>
      </c>
      <c r="B487" t="str">
        <f>LEFT(Table3[[#This Row],[EPI_DGN_ANTIC]],1)</f>
        <v>E</v>
      </c>
      <c r="C487" t="str">
        <f>LEFT(Table3[[#This Row],[EPI_DGN_ANTIC]],3)</f>
        <v>EPb</v>
      </c>
      <c r="D487" s="8" t="s">
        <v>1066</v>
      </c>
      <c r="E487" s="10">
        <v>1</v>
      </c>
      <c r="F487" s="22" t="s">
        <v>1067</v>
      </c>
      <c r="G487" s="22"/>
      <c r="H487" s="16">
        <v>485</v>
      </c>
      <c r="I487" s="8" t="s">
        <v>1068</v>
      </c>
      <c r="J487" s="10"/>
    </row>
    <row r="488" spans="1:10" hidden="1">
      <c r="A488" s="5">
        <v>486</v>
      </c>
      <c r="B488" t="str">
        <f>LEFT(Table3[[#This Row],[EPI_DGN_ANTIC]],1)</f>
        <v>E</v>
      </c>
      <c r="C488" t="str">
        <f>LEFT(Table3[[#This Row],[EPI_DGN_ANTIC]],3)</f>
        <v>EPc</v>
      </c>
      <c r="D488" s="8" t="s">
        <v>1069</v>
      </c>
      <c r="E488" s="10">
        <v>1</v>
      </c>
      <c r="F488" s="22" t="s">
        <v>1070</v>
      </c>
      <c r="G488" s="22"/>
      <c r="H488" s="16">
        <v>486</v>
      </c>
      <c r="I488" s="8" t="s">
        <v>1068</v>
      </c>
      <c r="J488" s="10"/>
    </row>
    <row r="489" spans="1:10" hidden="1">
      <c r="A489" s="5">
        <v>487</v>
      </c>
      <c r="B489" t="str">
        <f>LEFT(Table3[[#This Row],[EPI_DGN_ANTIC]],1)</f>
        <v>E</v>
      </c>
      <c r="C489" t="str">
        <f>LEFT(Table3[[#This Row],[EPI_DGN_ANTIC]],3)</f>
        <v>EPg</v>
      </c>
      <c r="D489" s="8" t="s">
        <v>1071</v>
      </c>
      <c r="E489" s="10">
        <v>1</v>
      </c>
      <c r="F489" s="22" t="s">
        <v>1070</v>
      </c>
      <c r="G489" s="22"/>
      <c r="H489" s="16">
        <v>487</v>
      </c>
      <c r="I489" s="8" t="s">
        <v>1068</v>
      </c>
      <c r="J489" s="10"/>
    </row>
    <row r="490" spans="1:10" hidden="1">
      <c r="A490" s="5">
        <v>488</v>
      </c>
      <c r="B490" t="str">
        <f>LEFT(Table3[[#This Row],[EPI_DGN_ANTIC]],1)</f>
        <v>E</v>
      </c>
      <c r="C490" t="str">
        <f>LEFT(Table3[[#This Row],[EPI_DGN_ANTIC]],3)</f>
        <v>EPg</v>
      </c>
      <c r="D490" s="8" t="s">
        <v>1072</v>
      </c>
      <c r="E490" s="10">
        <v>1</v>
      </c>
      <c r="F490" s="22" t="s">
        <v>1070</v>
      </c>
      <c r="G490" s="22"/>
      <c r="H490" s="16">
        <v>488</v>
      </c>
      <c r="I490" s="8" t="s">
        <v>1073</v>
      </c>
      <c r="J490" s="10"/>
    </row>
    <row r="491" spans="1:10" hidden="1">
      <c r="A491" s="5">
        <v>489</v>
      </c>
      <c r="B491" t="str">
        <f>LEFT(Table3[[#This Row],[EPI_DGN_ANTIC]],1)</f>
        <v>E</v>
      </c>
      <c r="C491" t="str">
        <f>LEFT(Table3[[#This Row],[EPI_DGN_ANTIC]],3)</f>
        <v>ELc</v>
      </c>
      <c r="D491" s="8" t="s">
        <v>1074</v>
      </c>
      <c r="E491" s="10">
        <v>1</v>
      </c>
      <c r="F491" s="22" t="s">
        <v>1075</v>
      </c>
      <c r="G491" s="22"/>
      <c r="H491" s="16">
        <v>489</v>
      </c>
      <c r="I491" s="8" t="s">
        <v>1076</v>
      </c>
      <c r="J491" s="10"/>
    </row>
    <row r="492" spans="1:10" hidden="1">
      <c r="A492" s="5">
        <v>490</v>
      </c>
      <c r="B492" t="str">
        <f>LEFT(Table3[[#This Row],[EPI_DGN_ANTIC]],1)</f>
        <v>E</v>
      </c>
      <c r="C492" t="str">
        <f>LEFT(Table3[[#This Row],[EPI_DGN_ANTIC]],3)</f>
        <v>ELc</v>
      </c>
      <c r="D492" s="8" t="s">
        <v>1077</v>
      </c>
      <c r="E492" s="10">
        <v>1</v>
      </c>
      <c r="F492" s="22" t="s">
        <v>1075</v>
      </c>
      <c r="G492" s="22"/>
      <c r="H492" s="16">
        <v>490</v>
      </c>
      <c r="I492" s="8" t="s">
        <v>1078</v>
      </c>
      <c r="J492" s="10"/>
    </row>
    <row r="493" spans="1:10" hidden="1">
      <c r="A493" s="5">
        <v>491</v>
      </c>
      <c r="B493" t="str">
        <f>LEFT(Table3[[#This Row],[EPI_DGN_ANTIC]],1)</f>
        <v>E</v>
      </c>
      <c r="C493" t="str">
        <f>LEFT(Table3[[#This Row],[EPI_DGN_ANTIC]],3)</f>
        <v>ELc</v>
      </c>
      <c r="D493" s="8" t="s">
        <v>1079</v>
      </c>
      <c r="E493" s="10">
        <v>1</v>
      </c>
      <c r="F493" s="22" t="s">
        <v>1080</v>
      </c>
      <c r="G493" s="22"/>
      <c r="H493" s="16">
        <v>491</v>
      </c>
      <c r="I493" s="8" t="s">
        <v>1035</v>
      </c>
      <c r="J493" s="10"/>
    </row>
    <row r="494" spans="1:10" hidden="1">
      <c r="A494" s="5">
        <v>492</v>
      </c>
      <c r="B494" t="str">
        <f>LEFT(Table3[[#This Row],[EPI_DGN_ANTIC]],1)</f>
        <v>E</v>
      </c>
      <c r="C494" t="str">
        <f>LEFT(Table3[[#This Row],[EPI_DGN_ANTIC]],3)</f>
        <v>ELc</v>
      </c>
      <c r="D494" s="8" t="s">
        <v>1081</v>
      </c>
      <c r="E494" s="10">
        <v>1</v>
      </c>
      <c r="F494" s="22" t="s">
        <v>1082</v>
      </c>
      <c r="G494" s="22"/>
      <c r="H494" s="16">
        <v>492</v>
      </c>
      <c r="I494" s="8" t="s">
        <v>1083</v>
      </c>
      <c r="J494" s="10"/>
    </row>
    <row r="495" spans="1:10" hidden="1">
      <c r="A495" s="5">
        <v>493</v>
      </c>
      <c r="B495" t="str">
        <f>LEFT(Table3[[#This Row],[EPI_DGN_ANTIC]],1)</f>
        <v>E</v>
      </c>
      <c r="C495" t="str">
        <f>LEFT(Table3[[#This Row],[EPI_DGN_ANTIC]],3)</f>
        <v>ELc</v>
      </c>
      <c r="D495" s="8" t="s">
        <v>1084</v>
      </c>
      <c r="E495" s="10">
        <v>1</v>
      </c>
      <c r="F495" s="22" t="s">
        <v>1085</v>
      </c>
      <c r="G495" s="22"/>
      <c r="H495" s="16">
        <v>493</v>
      </c>
      <c r="I495" s="8" t="s">
        <v>1086</v>
      </c>
      <c r="J495" s="10"/>
    </row>
    <row r="496" spans="1:10" hidden="1">
      <c r="A496" s="5">
        <v>494</v>
      </c>
      <c r="B496" t="str">
        <f>LEFT(Table3[[#This Row],[EPI_DGN_ANTIC]],1)</f>
        <v>E</v>
      </c>
      <c r="C496" t="str">
        <f>LEFT(Table3[[#This Row],[EPI_DGN_ANTIC]],2)</f>
        <v>EO</v>
      </c>
      <c r="D496" s="8" t="s">
        <v>1087</v>
      </c>
      <c r="E496" s="10">
        <v>1</v>
      </c>
      <c r="F496" s="22" t="s">
        <v>93</v>
      </c>
      <c r="G496" s="22"/>
      <c r="H496" s="16">
        <v>494</v>
      </c>
      <c r="I496" s="8" t="s">
        <v>1088</v>
      </c>
      <c r="J496" s="10"/>
    </row>
    <row r="497" spans="1:10" hidden="1">
      <c r="A497" s="5">
        <v>495</v>
      </c>
      <c r="B497" t="str">
        <f>LEFT(Table3[[#This Row],[EPI_DGN_ANTIC]],1)</f>
        <v>E</v>
      </c>
      <c r="C497" t="str">
        <f>LEFT(Table3[[#This Row],[EPI_DGN_ANTIC]],3)</f>
        <v>EPa</v>
      </c>
      <c r="D497" s="8" t="s">
        <v>1089</v>
      </c>
      <c r="E497" s="10">
        <v>1</v>
      </c>
      <c r="F497" s="22" t="s">
        <v>1090</v>
      </c>
      <c r="G497" s="22"/>
      <c r="H497" s="16">
        <v>495</v>
      </c>
      <c r="I497" s="8" t="s">
        <v>1091</v>
      </c>
      <c r="J497" s="10"/>
    </row>
    <row r="498" spans="1:10" hidden="1">
      <c r="A498" s="5">
        <v>496</v>
      </c>
      <c r="B498" t="str">
        <f>LEFT(Table3[[#This Row],[EPI_DGN_ANTIC]],1)</f>
        <v>E</v>
      </c>
      <c r="C498" t="str">
        <f>LEFT(Table3[[#This Row],[EPI_DGN_ANTIC]],3)</f>
        <v>ELt</v>
      </c>
      <c r="D498" s="8" t="s">
        <v>1092</v>
      </c>
      <c r="E498" s="10">
        <v>1</v>
      </c>
      <c r="F498" s="22" t="s">
        <v>1093</v>
      </c>
      <c r="G498" s="22"/>
      <c r="H498" s="16">
        <v>496</v>
      </c>
      <c r="I498" s="8" t="s">
        <v>109</v>
      </c>
      <c r="J498" s="10"/>
    </row>
    <row r="499" spans="1:10" hidden="1">
      <c r="A499" s="5">
        <v>497</v>
      </c>
      <c r="B499" t="str">
        <f>LEFT(Table3[[#This Row],[EPI_DGN_ANTIC]],1)</f>
        <v>E</v>
      </c>
      <c r="C499" t="str">
        <f>LEFT(Table3[[#This Row],[EPI_DGN_ANTIC]],2)</f>
        <v>EO</v>
      </c>
      <c r="D499" s="8" t="s">
        <v>1094</v>
      </c>
      <c r="E499" s="10">
        <v>0</v>
      </c>
      <c r="F499" s="22"/>
      <c r="G499" s="22"/>
      <c r="H499" s="16">
        <v>497</v>
      </c>
      <c r="I499" s="8" t="s">
        <v>1095</v>
      </c>
      <c r="J499" s="10"/>
    </row>
    <row r="500" spans="1:10" hidden="1">
      <c r="A500" s="5">
        <v>498</v>
      </c>
      <c r="B500" t="str">
        <f>LEFT(Table3[[#This Row],[EPI_DGN_ANTIC]],1)</f>
        <v>E</v>
      </c>
      <c r="C500" t="str">
        <f>LEFT(Table3[[#This Row],[EPI_DGN_ANTIC]],2)</f>
        <v>EO</v>
      </c>
      <c r="D500" s="8" t="s">
        <v>1094</v>
      </c>
      <c r="E500" s="10">
        <v>1</v>
      </c>
      <c r="F500" s="22" t="s">
        <v>1096</v>
      </c>
      <c r="G500" s="22"/>
      <c r="H500" s="16">
        <v>498</v>
      </c>
      <c r="I500" s="8" t="s">
        <v>1097</v>
      </c>
      <c r="J500" s="10"/>
    </row>
    <row r="501" spans="1:10" hidden="1">
      <c r="A501" s="5">
        <v>499</v>
      </c>
      <c r="B501" t="str">
        <f>LEFT(Table3[[#This Row],[EPI_DGN_ANTIC]],1)</f>
        <v>E</v>
      </c>
      <c r="C501" t="str">
        <f>LEFT(Table3[[#This Row],[EPI_DGN_ANTIC]],2)</f>
        <v>EO</v>
      </c>
      <c r="D501" s="8" t="s">
        <v>1098</v>
      </c>
      <c r="E501" s="10">
        <v>1</v>
      </c>
      <c r="F501" s="22" t="s">
        <v>1099</v>
      </c>
      <c r="G501" s="22"/>
      <c r="H501" s="16">
        <v>499</v>
      </c>
      <c r="I501" s="8" t="s">
        <v>1100</v>
      </c>
      <c r="J501" s="10"/>
    </row>
    <row r="502" spans="1:10" hidden="1">
      <c r="A502" s="5">
        <v>500</v>
      </c>
      <c r="B502" t="str">
        <f>LEFT(Table3[[#This Row],[EPI_DGN_ANTIC]],1)</f>
        <v>E</v>
      </c>
      <c r="C502" t="str">
        <f>LEFT(Table3[[#This Row],[EPI_DGN_ANTIC]],3)</f>
        <v>EPl</v>
      </c>
      <c r="D502" s="8" t="s">
        <v>1101</v>
      </c>
      <c r="E502" s="10">
        <v>1</v>
      </c>
      <c r="F502" s="22" t="s">
        <v>1102</v>
      </c>
      <c r="G502" s="22"/>
      <c r="H502" s="16">
        <v>500</v>
      </c>
      <c r="I502" s="8" t="s">
        <v>1103</v>
      </c>
      <c r="J502" s="10"/>
    </row>
    <row r="503" spans="1:10" hidden="1">
      <c r="A503" s="5">
        <v>501</v>
      </c>
      <c r="B503" t="str">
        <f>LEFT(Table3[[#This Row],[EPI_DGN_ANTIC]],1)</f>
        <v>E</v>
      </c>
      <c r="C503" t="str">
        <f>LEFT(Table3[[#This Row],[EPI_DGN_ANTIC]],3)</f>
        <v>EPO</v>
      </c>
      <c r="D503" s="8" t="s">
        <v>1104</v>
      </c>
      <c r="E503" s="10">
        <v>0</v>
      </c>
      <c r="F503" s="22"/>
      <c r="G503" s="24"/>
      <c r="H503" s="16">
        <v>501</v>
      </c>
      <c r="I503" s="8" t="s">
        <v>1105</v>
      </c>
      <c r="J503" s="10"/>
    </row>
    <row r="504" spans="1:10" hidden="1">
      <c r="A504" s="5">
        <v>502</v>
      </c>
      <c r="B504" t="str">
        <f>LEFT(Table3[[#This Row],[EPI_DGN_ANTIC]],1)</f>
        <v>E</v>
      </c>
      <c r="C504" t="str">
        <f>LEFT(Table3[[#This Row],[EPI_DGN_ANTIC]],2)</f>
        <v>Es</v>
      </c>
      <c r="D504" s="8" t="s">
        <v>1106</v>
      </c>
      <c r="E504" s="10">
        <v>1</v>
      </c>
      <c r="F504" s="22" t="s">
        <v>1107</v>
      </c>
      <c r="G504" s="22"/>
      <c r="H504" s="16">
        <v>502</v>
      </c>
      <c r="I504" s="8" t="s">
        <v>1108</v>
      </c>
      <c r="J504" s="10"/>
    </row>
    <row r="505" spans="1:10" hidden="1">
      <c r="A505" s="5">
        <v>503</v>
      </c>
      <c r="B505" t="str">
        <f>LEFT(Table3[[#This Row],[EPI_DGN_ANTIC]],1)</f>
        <v>E</v>
      </c>
      <c r="C505" t="str">
        <f>LEFT(Table3[[#This Row],[EPI_DGN_ANTIC]],3)</f>
        <v>EPl</v>
      </c>
      <c r="D505" s="8" t="s">
        <v>1109</v>
      </c>
      <c r="E505" s="10">
        <v>1</v>
      </c>
      <c r="F505" s="22" t="s">
        <v>1110</v>
      </c>
      <c r="G505" s="22"/>
      <c r="H505" s="16">
        <v>503</v>
      </c>
      <c r="I505" s="8" t="s">
        <v>1111</v>
      </c>
      <c r="J505" s="10"/>
    </row>
    <row r="506" spans="1:10" hidden="1">
      <c r="A506" s="5">
        <v>504</v>
      </c>
      <c r="B506" t="str">
        <f>LEFT(Table3[[#This Row],[EPI_DGN_ANTIC]],1)</f>
        <v>E</v>
      </c>
      <c r="C506" t="str">
        <f>LEFT(Table3[[#This Row],[EPI_DGN_ANTIC]],3)</f>
        <v>EPc</v>
      </c>
      <c r="D506" s="8" t="s">
        <v>1112</v>
      </c>
      <c r="E506" s="10">
        <v>1</v>
      </c>
      <c r="F506" s="22" t="s">
        <v>1113</v>
      </c>
      <c r="G506" s="22"/>
      <c r="H506" s="16">
        <v>504</v>
      </c>
      <c r="I506" s="8" t="s">
        <v>1114</v>
      </c>
      <c r="J506" s="10"/>
    </row>
    <row r="507" spans="1:10" hidden="1">
      <c r="A507" s="5">
        <v>505</v>
      </c>
      <c r="B507" t="str">
        <f>LEFT(Table3[[#This Row],[EPI_DGN_ANTIC]],1)</f>
        <v>E</v>
      </c>
      <c r="C507" t="str">
        <f>LEFT(Table3[[#This Row],[EPI_DGN_ANTIC]],3)</f>
        <v>EPl</v>
      </c>
      <c r="D507" s="8" t="s">
        <v>1115</v>
      </c>
      <c r="E507" s="10">
        <v>1</v>
      </c>
      <c r="F507" s="22" t="s">
        <v>1116</v>
      </c>
      <c r="G507" s="22"/>
      <c r="H507" s="16">
        <v>505</v>
      </c>
      <c r="I507" s="8" t="s">
        <v>1117</v>
      </c>
      <c r="J507" s="10"/>
    </row>
    <row r="508" spans="1:10" hidden="1">
      <c r="A508" s="5">
        <v>506</v>
      </c>
      <c r="B508" t="str">
        <f>LEFT(Table3[[#This Row],[EPI_DGN_ANTIC]],1)</f>
        <v>E</v>
      </c>
      <c r="C508" t="str">
        <f>LEFT(Table3[[#This Row],[EPI_DGN_ANTIC]],3)</f>
        <v>EPl</v>
      </c>
      <c r="D508" s="8" t="s">
        <v>1118</v>
      </c>
      <c r="E508" s="10">
        <v>1</v>
      </c>
      <c r="F508" s="22" t="s">
        <v>30</v>
      </c>
      <c r="G508" s="22"/>
      <c r="H508" s="16">
        <v>506</v>
      </c>
      <c r="I508" s="8" t="s">
        <v>584</v>
      </c>
      <c r="J508" s="10"/>
    </row>
    <row r="509" spans="1:10" hidden="1">
      <c r="A509" s="5">
        <v>507</v>
      </c>
      <c r="B509" t="str">
        <f>LEFT(Table3[[#This Row],[EPI_DGN_ANTIC]],1)</f>
        <v>E</v>
      </c>
      <c r="C509" t="str">
        <f>LEFT(Table3[[#This Row],[EPI_DGN_ANTIC]],3)</f>
        <v>ELg</v>
      </c>
      <c r="D509" s="8" t="s">
        <v>1119</v>
      </c>
      <c r="E509" s="10">
        <v>1</v>
      </c>
      <c r="F509" s="22" t="s">
        <v>1120</v>
      </c>
      <c r="G509" s="22"/>
      <c r="H509" s="16">
        <v>507</v>
      </c>
      <c r="I509" s="8" t="s">
        <v>964</v>
      </c>
      <c r="J509" s="10"/>
    </row>
    <row r="510" spans="1:10" hidden="1">
      <c r="A510" s="5">
        <v>508</v>
      </c>
      <c r="B510" t="str">
        <f>LEFT(Table3[[#This Row],[EPI_DGN_ANTIC]],1)</f>
        <v>E</v>
      </c>
      <c r="D510" s="8" t="s">
        <v>10</v>
      </c>
      <c r="E510" s="7">
        <v>0</v>
      </c>
      <c r="F510" s="22"/>
      <c r="G510" s="22"/>
      <c r="H510" s="9"/>
      <c r="I510" s="10"/>
      <c r="J510" s="7"/>
    </row>
    <row r="511" spans="1:10" hidden="1">
      <c r="A511" s="5">
        <v>509</v>
      </c>
      <c r="B511" t="str">
        <f>LEFT(Table3[[#This Row],[EPI_DGN_ANTIC]],1)</f>
        <v>E</v>
      </c>
      <c r="C511" t="str">
        <f>LEFT(Table3[[#This Row],[EPI_DGN_ANTIC]],3)</f>
        <v>ELB</v>
      </c>
      <c r="D511" s="8" t="s">
        <v>1121</v>
      </c>
      <c r="E511" s="7">
        <v>1</v>
      </c>
      <c r="F511" s="24" t="s">
        <v>1122</v>
      </c>
      <c r="G511" s="24"/>
      <c r="H511" s="10"/>
      <c r="I511" s="10"/>
      <c r="J511" s="7"/>
    </row>
    <row r="512" spans="1:10" hidden="1">
      <c r="A512" s="5">
        <v>510</v>
      </c>
      <c r="B512" t="str">
        <f>LEFT(Table3[[#This Row],[EPI_DGN_ANTIC]],1)</f>
        <v>E</v>
      </c>
      <c r="C512" t="str">
        <f>LEFT(Table3[[#This Row],[EPI_DGN_ANTIC]],3)</f>
        <v>ELB</v>
      </c>
      <c r="D512" s="8" t="s">
        <v>1123</v>
      </c>
      <c r="E512" s="7">
        <v>1</v>
      </c>
      <c r="F512" s="24" t="s">
        <v>1124</v>
      </c>
      <c r="G512" s="24"/>
      <c r="H512" s="10"/>
      <c r="I512" s="10"/>
      <c r="J512" s="7"/>
    </row>
    <row r="513" spans="1:10" hidden="1">
      <c r="A513" s="5">
        <v>511</v>
      </c>
      <c r="B513" t="str">
        <f>LEFT(Table3[[#This Row],[EPI_DGN_ANTIC]],1)</f>
        <v>E</v>
      </c>
      <c r="C513" t="str">
        <f>LEFT(Table3[[#This Row],[EPI_DGN_ANTIC]],3)</f>
        <v>ELB</v>
      </c>
      <c r="D513" s="8" t="s">
        <v>1125</v>
      </c>
      <c r="E513" s="7">
        <v>1</v>
      </c>
      <c r="F513" s="24" t="s">
        <v>1126</v>
      </c>
      <c r="G513" s="24"/>
      <c r="H513" s="10"/>
      <c r="I513" s="10"/>
      <c r="J513" s="7"/>
    </row>
    <row r="514" spans="1:10" hidden="1">
      <c r="A514" s="5">
        <v>512</v>
      </c>
      <c r="B514" t="str">
        <f>LEFT(Table3[[#This Row],[EPI_DGN_ANTIC]],1)</f>
        <v>E</v>
      </c>
      <c r="C514" t="str">
        <f>LEFT(Table3[[#This Row],[EPI_DGN_ANTIC]],3)</f>
        <v>ELc</v>
      </c>
      <c r="D514" s="8" t="s">
        <v>1127</v>
      </c>
      <c r="E514" s="7">
        <v>1</v>
      </c>
      <c r="F514" s="24" t="s">
        <v>1128</v>
      </c>
      <c r="G514" s="24"/>
      <c r="H514" s="10"/>
      <c r="I514" s="10"/>
      <c r="J514" s="7"/>
    </row>
    <row r="515" spans="1:10" hidden="1">
      <c r="A515" s="5">
        <v>513</v>
      </c>
      <c r="B515" t="str">
        <f>LEFT(Table3[[#This Row],[EPI_DGN_ANTIC]],1)</f>
        <v>E</v>
      </c>
      <c r="C515" t="s">
        <v>1036</v>
      </c>
      <c r="D515" s="8" t="s">
        <v>1129</v>
      </c>
      <c r="E515" s="7">
        <v>1</v>
      </c>
      <c r="F515" s="24" t="s">
        <v>1130</v>
      </c>
      <c r="G515" s="24"/>
      <c r="H515" s="10"/>
      <c r="I515" s="10"/>
      <c r="J515" s="7"/>
    </row>
    <row r="516" spans="1:10" hidden="1">
      <c r="A516" s="5">
        <v>514</v>
      </c>
      <c r="B516" t="str">
        <f>LEFT(Table3[[#This Row],[EPI_DGN_ANTIC]],1)</f>
        <v>E</v>
      </c>
      <c r="C516" t="str">
        <f>LEFT(Table3[[#This Row],[EPI_DGN_ANTIC]],3)</f>
        <v>ELm</v>
      </c>
      <c r="D516" s="8" t="s">
        <v>1131</v>
      </c>
      <c r="E516" s="7">
        <v>1</v>
      </c>
      <c r="F516" s="24" t="s">
        <v>1132</v>
      </c>
      <c r="G516" s="24"/>
      <c r="H516" s="10"/>
      <c r="I516" s="10"/>
      <c r="J516" s="7"/>
    </row>
    <row r="517" spans="1:10" hidden="1">
      <c r="A517" s="5">
        <v>515</v>
      </c>
      <c r="B517" t="str">
        <f>LEFT(Table3[[#This Row],[EPI_DGN_ANTIC]],1)</f>
        <v>E</v>
      </c>
      <c r="C517" t="str">
        <f>LEFT(Table3[[#This Row],[EPI_DGN_ANTIC]],3)</f>
        <v>ELt</v>
      </c>
      <c r="D517" s="8" t="s">
        <v>1133</v>
      </c>
      <c r="E517" s="7">
        <v>1</v>
      </c>
      <c r="F517" s="24" t="s">
        <v>1093</v>
      </c>
      <c r="G517" s="24"/>
      <c r="H517" s="10"/>
      <c r="I517" s="10"/>
      <c r="J517" s="7"/>
    </row>
    <row r="518" spans="1:10" hidden="1">
      <c r="A518" s="5">
        <v>516</v>
      </c>
      <c r="B518" t="str">
        <f>LEFT(Table3[[#This Row],[EPI_DGN_ANTIC]],1)</f>
        <v>E</v>
      </c>
      <c r="C518" t="str">
        <f>LEFT(Table3[[#This Row],[EPI_DGN_ANTIC]],3)</f>
        <v>EIC</v>
      </c>
      <c r="D518" s="8" t="s">
        <v>1134</v>
      </c>
      <c r="E518" s="7">
        <v>0</v>
      </c>
      <c r="F518" s="24"/>
      <c r="G518" s="24"/>
      <c r="H518" s="10"/>
      <c r="I518" s="10"/>
      <c r="J518" s="7"/>
    </row>
    <row r="519" spans="1:10" hidden="1">
      <c r="A519" s="5">
        <v>517</v>
      </c>
      <c r="B519" t="str">
        <f>LEFT(Table3[[#This Row],[EPI_DGN_ANTIC]],1)</f>
        <v>E</v>
      </c>
      <c r="C519" t="str">
        <f>LEFT(Table3[[#This Row],[EPI_DGN_ANTIC]],3)</f>
        <v>ELB</v>
      </c>
      <c r="D519" s="8" t="s">
        <v>1036</v>
      </c>
      <c r="E519" s="7">
        <v>0</v>
      </c>
      <c r="F519" s="24"/>
      <c r="G519" s="24"/>
      <c r="H519" s="10"/>
      <c r="I519" s="10"/>
      <c r="J519" s="7"/>
    </row>
    <row r="520" spans="1:10" hidden="1">
      <c r="A520" s="5">
        <v>518</v>
      </c>
      <c r="B520" t="str">
        <f>LEFT(Table3[[#This Row],[EPI_DGN_ANTIC]],1)</f>
        <v>E</v>
      </c>
      <c r="C520" t="str">
        <f>LEFT(Table3[[#This Row],[EPI_DGN_ANTIC]],3)</f>
        <v>ELc</v>
      </c>
      <c r="D520" s="8" t="s">
        <v>1135</v>
      </c>
      <c r="E520" s="7">
        <v>0</v>
      </c>
      <c r="F520" s="24"/>
      <c r="G520" s="24"/>
      <c r="H520" s="10"/>
      <c r="I520" s="10"/>
      <c r="J520" s="7"/>
    </row>
    <row r="521" spans="1:10" hidden="1">
      <c r="A521" s="5">
        <v>519</v>
      </c>
      <c r="B521" t="str">
        <f>LEFT(Table3[[#This Row],[EPI_DGN_ANTIC]],1)</f>
        <v>E</v>
      </c>
      <c r="C521" t="str">
        <f>LEFT(Table3[[#This Row],[EPI_DGN_ANTIC]],3)</f>
        <v>ELl</v>
      </c>
      <c r="D521" s="8" t="s">
        <v>1136</v>
      </c>
      <c r="E521" s="7">
        <v>0</v>
      </c>
      <c r="F521" s="24"/>
      <c r="G521" s="24"/>
      <c r="H521" s="10"/>
      <c r="I521" s="10"/>
      <c r="J521" s="7"/>
    </row>
    <row r="522" spans="1:10" hidden="1">
      <c r="A522" s="5">
        <v>520</v>
      </c>
      <c r="B522" t="str">
        <f>LEFT(Table3[[#This Row],[EPI_DGN_ANTIC]],1)</f>
        <v>E</v>
      </c>
      <c r="C522" t="str">
        <f>LEFT(Table3[[#This Row],[EPI_DGN_ANTIC]],3)</f>
        <v>ELm</v>
      </c>
      <c r="D522" s="8" t="s">
        <v>1137</v>
      </c>
      <c r="E522" s="7">
        <v>0</v>
      </c>
      <c r="F522" s="24"/>
      <c r="G522" s="24"/>
      <c r="H522" s="10"/>
      <c r="I522" s="10"/>
      <c r="J522" s="7"/>
    </row>
    <row r="523" spans="1:10" hidden="1">
      <c r="A523" s="5">
        <v>521</v>
      </c>
      <c r="B523" t="str">
        <f>LEFT(Table3[[#This Row],[EPI_DGN_ANTIC]],1)</f>
        <v>E</v>
      </c>
      <c r="D523" s="8" t="s">
        <v>10</v>
      </c>
      <c r="E523" s="7">
        <v>0</v>
      </c>
      <c r="F523" s="24"/>
      <c r="G523" s="24"/>
      <c r="H523" s="10"/>
      <c r="I523" s="10"/>
      <c r="J523" s="7"/>
    </row>
    <row r="524" spans="1:10" hidden="1">
      <c r="A524" s="5">
        <v>522</v>
      </c>
      <c r="B524" t="str">
        <f>LEFT(Table3[[#This Row],[EPI_DGN_ANTIC]],1)</f>
        <v>E</v>
      </c>
      <c r="C524" t="str">
        <f>LEFT(Table3[[#This Row],[EPI_DGN_ANTIC]],3)</f>
        <v>ELo</v>
      </c>
      <c r="D524" s="8" t="s">
        <v>1138</v>
      </c>
      <c r="E524" s="7">
        <v>0</v>
      </c>
      <c r="F524" s="24"/>
      <c r="G524" s="24"/>
      <c r="H524" s="10"/>
      <c r="I524" s="10"/>
      <c r="J524" s="7"/>
    </row>
    <row r="525" spans="1:10" hidden="1">
      <c r="A525" s="5">
        <v>523</v>
      </c>
      <c r="B525" t="str">
        <f>LEFT(Table3[[#This Row],[EPI_DGN_ANTIC]],1)</f>
        <v>E</v>
      </c>
      <c r="C525" t="str">
        <f>LEFT(Table3[[#This Row],[EPI_DGN_ANTIC]],3)</f>
        <v>ELp</v>
      </c>
      <c r="D525" s="8" t="s">
        <v>1139</v>
      </c>
      <c r="E525" s="7">
        <v>0</v>
      </c>
      <c r="F525" s="24"/>
      <c r="G525" s="24"/>
      <c r="H525" s="10"/>
      <c r="I525" s="10"/>
      <c r="J525" s="7"/>
    </row>
    <row r="526" spans="1:10" hidden="1">
      <c r="A526" s="5">
        <v>524</v>
      </c>
      <c r="B526" t="str">
        <f>LEFT(Table3[[#This Row],[EPI_DGN_ANTIC]],1)</f>
        <v>E</v>
      </c>
      <c r="C526" t="str">
        <f>LEFT(Table3[[#This Row],[EPI_DGN_ANTIC]],3)</f>
        <v>ELs</v>
      </c>
      <c r="D526" s="8" t="s">
        <v>1140</v>
      </c>
      <c r="E526" s="7">
        <v>0</v>
      </c>
      <c r="F526" s="24"/>
      <c r="G526" s="24"/>
      <c r="H526" s="10"/>
      <c r="I526" s="10"/>
      <c r="J526" s="7"/>
    </row>
    <row r="527" spans="1:10" hidden="1">
      <c r="A527" s="5">
        <v>525</v>
      </c>
      <c r="B527" t="str">
        <f>LEFT(Table3[[#This Row],[EPI_DGN_ANTIC]],1)</f>
        <v>E</v>
      </c>
      <c r="C527" t="str">
        <f>LEFT(Table3[[#This Row],[EPI_DGN_ANTIC]],3)</f>
        <v>ELt</v>
      </c>
      <c r="D527" s="8" t="s">
        <v>1141</v>
      </c>
      <c r="E527" s="7">
        <v>0</v>
      </c>
      <c r="F527" s="24"/>
      <c r="G527" s="24"/>
      <c r="H527" s="10"/>
      <c r="I527" s="10"/>
      <c r="J527" s="7"/>
    </row>
    <row r="528" spans="1:10" hidden="1">
      <c r="A528" s="5">
        <v>526</v>
      </c>
      <c r="B528" t="str">
        <f>LEFT(Table3[[#This Row],[EPI_DGN_ANTIC]],1)</f>
        <v>E</v>
      </c>
      <c r="C528" t="str">
        <f>LEFT(Table3[[#This Row],[EPI_DGN_ANTIC]],3)</f>
        <v>ELx</v>
      </c>
      <c r="D528" s="8" t="s">
        <v>1028</v>
      </c>
      <c r="E528" s="7">
        <v>1</v>
      </c>
      <c r="F528" s="24" t="s">
        <v>1142</v>
      </c>
      <c r="G528" s="24"/>
      <c r="H528" s="10"/>
      <c r="I528" s="10"/>
      <c r="J528" s="7"/>
    </row>
    <row r="529" spans="1:10" hidden="1">
      <c r="A529" s="5">
        <v>527</v>
      </c>
      <c r="B529" t="str">
        <f>LEFT(Table3[[#This Row],[EPI_DGN_ANTIC]],1)</f>
        <v>E</v>
      </c>
      <c r="C529" t="str">
        <f>LEFT(Table3[[#This Row],[EPI_DGN_ANTIC]],3)</f>
        <v>EPa</v>
      </c>
      <c r="D529" s="8" t="s">
        <v>1143</v>
      </c>
      <c r="E529" s="7">
        <v>0</v>
      </c>
      <c r="F529" s="24"/>
      <c r="G529" s="24"/>
      <c r="H529" s="10"/>
      <c r="I529" s="10"/>
      <c r="J529" s="7"/>
    </row>
    <row r="530" spans="1:10" hidden="1">
      <c r="A530" s="5">
        <v>528</v>
      </c>
      <c r="B530" t="str">
        <f>LEFT(Table3[[#This Row],[EPI_DGN_ANTIC]],1)</f>
        <v>E</v>
      </c>
      <c r="C530" t="str">
        <f>LEFT(Table3[[#This Row],[EPI_DGN_ANTIC]],3)</f>
        <v>EPb</v>
      </c>
      <c r="D530" s="8" t="s">
        <v>1144</v>
      </c>
      <c r="E530" s="7">
        <v>0</v>
      </c>
      <c r="F530" s="24"/>
      <c r="G530" s="24"/>
      <c r="H530" s="10"/>
      <c r="I530" s="10"/>
      <c r="J530" s="7"/>
    </row>
    <row r="531" spans="1:10" hidden="1">
      <c r="A531" s="5">
        <v>529</v>
      </c>
      <c r="B531" t="str">
        <f>LEFT(Table3[[#This Row],[EPI_DGN_ANTIC]],1)</f>
        <v>E</v>
      </c>
      <c r="C531" t="str">
        <f>LEFT(Table3[[#This Row],[EPI_DGN_ANTIC]],2)</f>
        <v>E</v>
      </c>
      <c r="D531" s="8" t="s">
        <v>10</v>
      </c>
      <c r="E531" s="7">
        <v>1</v>
      </c>
      <c r="F531" s="24" t="s">
        <v>81</v>
      </c>
      <c r="G531" s="24"/>
      <c r="H531" s="10"/>
      <c r="I531" s="10"/>
      <c r="J531" s="7"/>
    </row>
    <row r="532" spans="1:10" hidden="1">
      <c r="A532" s="5">
        <v>530</v>
      </c>
      <c r="B532" t="str">
        <f>LEFT(Table3[[#This Row],[EPI_DGN_ANTIC]],1)</f>
        <v>E</v>
      </c>
      <c r="C532" t="str">
        <f>LEFT(Table3[[#This Row],[EPI_DGN_ANTIC]],3)</f>
        <v>EPc</v>
      </c>
      <c r="D532" s="8" t="s">
        <v>1145</v>
      </c>
      <c r="E532" s="7">
        <v>0</v>
      </c>
      <c r="F532" s="24"/>
      <c r="G532" s="24"/>
      <c r="H532" s="10"/>
      <c r="I532" s="10"/>
      <c r="J532" s="7"/>
    </row>
    <row r="533" spans="1:10" hidden="1">
      <c r="A533" s="5">
        <v>531</v>
      </c>
      <c r="B533" t="str">
        <f>LEFT(Table3[[#This Row],[EPI_DGN_ANTIC]],1)</f>
        <v>E</v>
      </c>
      <c r="C533" t="str">
        <f>LEFT(Table3[[#This Row],[EPI_DGN_ANTIC]],3)</f>
        <v>EPg</v>
      </c>
      <c r="D533" s="8" t="s">
        <v>1146</v>
      </c>
      <c r="E533" s="7">
        <v>0</v>
      </c>
      <c r="F533" s="24"/>
      <c r="G533" s="24"/>
      <c r="H533" s="10"/>
      <c r="I533" s="10"/>
      <c r="J533" s="7"/>
    </row>
    <row r="534" spans="1:10" hidden="1">
      <c r="A534" s="5">
        <v>532</v>
      </c>
      <c r="B534" t="str">
        <f>LEFT(Table3[[#This Row],[EPI_DGN_ANTIC]],1)</f>
        <v>E</v>
      </c>
      <c r="C534" t="str">
        <f>LEFT(Table3[[#This Row],[EPI_DGN_ANTIC]],3)</f>
        <v>EPl</v>
      </c>
      <c r="D534" s="8" t="s">
        <v>1147</v>
      </c>
      <c r="E534" s="7">
        <v>0</v>
      </c>
      <c r="F534" s="24"/>
      <c r="G534" s="24"/>
      <c r="H534" s="10"/>
      <c r="I534" s="10"/>
      <c r="J534" s="7"/>
    </row>
    <row r="535" spans="1:10" hidden="1">
      <c r="A535" s="5">
        <v>533</v>
      </c>
      <c r="B535" t="str">
        <f>LEFT(Table3[[#This Row],[EPI_DGN_ANTIC]],1)</f>
        <v>E</v>
      </c>
      <c r="C535" t="str">
        <f>LEFT(Table3[[#This Row],[EPI_DGN_ANTIC]],3)</f>
        <v>EPm</v>
      </c>
      <c r="D535" s="8" t="s">
        <v>1148</v>
      </c>
      <c r="E535" s="7">
        <v>0</v>
      </c>
      <c r="F535" s="24"/>
      <c r="G535" s="24"/>
      <c r="H535" s="10"/>
      <c r="I535" s="10"/>
      <c r="J535" s="7"/>
    </row>
    <row r="536" spans="1:10" hidden="1">
      <c r="A536" s="5">
        <v>534</v>
      </c>
      <c r="B536" t="str">
        <f>LEFT(Table3[[#This Row],[EPI_DGN_ANTIC]],1)</f>
        <v>E</v>
      </c>
      <c r="C536" t="str">
        <f>LEFT(Table3[[#This Row],[EPI_DGN_ANTIC]],3)</f>
        <v>EPO</v>
      </c>
      <c r="D536" s="8" t="s">
        <v>1104</v>
      </c>
      <c r="E536" s="7">
        <v>1</v>
      </c>
      <c r="F536" s="24" t="s">
        <v>1096</v>
      </c>
      <c r="G536" s="24"/>
      <c r="H536" s="10"/>
      <c r="I536" s="10"/>
      <c r="J536" s="7"/>
    </row>
    <row r="537" spans="1:10" hidden="1">
      <c r="A537" s="5">
        <v>535</v>
      </c>
      <c r="B537" t="str">
        <f>LEFT(Table3[[#This Row],[EPI_DGN_ANTIC]],1)</f>
        <v>E</v>
      </c>
      <c r="C537" t="str">
        <f>LEFT(Table3[[#This Row],[EPI_DGN_ANTIC]],2)</f>
        <v>ES</v>
      </c>
      <c r="D537" s="8" t="s">
        <v>1149</v>
      </c>
      <c r="E537" s="7">
        <v>0</v>
      </c>
      <c r="F537" s="24"/>
      <c r="G537" s="24"/>
      <c r="H537" s="10"/>
      <c r="I537" s="10"/>
      <c r="J537" s="7"/>
    </row>
    <row r="538" spans="1:10" hidden="1">
      <c r="A538" s="5">
        <v>536</v>
      </c>
      <c r="B538" t="str">
        <f>LEFT(Table3[[#This Row],[EPI_DGN_ANTIC]],1)</f>
        <v>A</v>
      </c>
      <c r="C538" t="str">
        <f>LEFT(Table3[[#This Row],[EPI_DGN_ANTIC]],2)</f>
        <v>A</v>
      </c>
      <c r="D538" s="8" t="s">
        <v>1150</v>
      </c>
      <c r="E538" s="7">
        <v>0</v>
      </c>
      <c r="F538" s="24"/>
      <c r="G538" s="24"/>
      <c r="H538" s="10"/>
      <c r="I538" s="10"/>
      <c r="J538" s="7"/>
    </row>
    <row r="539" spans="1:10" hidden="1">
      <c r="A539" s="5">
        <v>537</v>
      </c>
      <c r="B539" t="str">
        <f>LEFT(Table3[[#This Row],[EPI_DGN_ANTIC]],1)</f>
        <v>a</v>
      </c>
      <c r="C539" t="str">
        <f>LEFT(Table3[[#This Row],[EPI_DGN_ANTIC]],2)</f>
        <v>ah</v>
      </c>
      <c r="D539" s="8" t="s">
        <v>1151</v>
      </c>
      <c r="E539" s="7">
        <v>0</v>
      </c>
      <c r="F539" s="24"/>
      <c r="G539" s="24"/>
      <c r="H539" s="10"/>
      <c r="I539" s="10"/>
      <c r="J539" s="7"/>
    </row>
    <row r="540" spans="1:10" hidden="1">
      <c r="A540" s="5">
        <v>538</v>
      </c>
      <c r="B540" t="s">
        <v>1150</v>
      </c>
      <c r="C540" t="str">
        <f>LEFT(Table3[[#This Row],[EPI_DGN_ANTIC]],2)</f>
        <v>ah</v>
      </c>
      <c r="D540" s="8" t="s">
        <v>1151</v>
      </c>
      <c r="E540" s="7">
        <v>1</v>
      </c>
      <c r="F540" s="24" t="s">
        <v>1152</v>
      </c>
      <c r="G540" s="24"/>
      <c r="H540" s="10"/>
      <c r="I540" s="10"/>
      <c r="J540" s="7"/>
    </row>
    <row r="541" spans="1:10" hidden="1">
      <c r="A541" s="5">
        <v>539</v>
      </c>
      <c r="B541" t="str">
        <f>LEFT(Table3[[#This Row],[EPI_DGN_ANTIC]],1)</f>
        <v>J</v>
      </c>
      <c r="C541" t="str">
        <f>LEFT(Table3[[#This Row],[EPI_DGN_ANTIC]],2)</f>
        <v>JL</v>
      </c>
      <c r="D541" s="8" t="s">
        <v>1153</v>
      </c>
      <c r="E541" s="7">
        <v>1</v>
      </c>
      <c r="F541" s="24" t="s">
        <v>1154</v>
      </c>
      <c r="G541" s="24"/>
      <c r="H541" s="10"/>
      <c r="I541" s="10"/>
      <c r="J541" s="7"/>
    </row>
    <row r="542" spans="1:10" hidden="1">
      <c r="A542" s="5">
        <v>540</v>
      </c>
      <c r="B542" t="str">
        <f>LEFT(Table3[[#This Row],[EPI_DGN_ANTIC]],1)</f>
        <v>C</v>
      </c>
      <c r="C542" t="str">
        <f>LEFT(Table3[[#This Row],[EPI_DGN_ANTIC]],3)</f>
        <v>CaM</v>
      </c>
      <c r="D542" s="8" t="s">
        <v>1155</v>
      </c>
      <c r="E542" s="7">
        <v>1</v>
      </c>
      <c r="F542" s="24" t="s">
        <v>669</v>
      </c>
      <c r="G542" s="24"/>
      <c r="H542" s="10"/>
      <c r="I542" s="10"/>
      <c r="J542" s="7"/>
    </row>
    <row r="543" spans="1:10" hidden="1">
      <c r="A543" s="5">
        <v>541</v>
      </c>
      <c r="B543" t="str">
        <f>LEFT(Table3[[#This Row],[EPI_DGN_ANTIC]],1)</f>
        <v>D</v>
      </c>
      <c r="C543" t="s">
        <v>622</v>
      </c>
      <c r="D543" s="8" t="s">
        <v>622</v>
      </c>
      <c r="E543" s="7">
        <v>1</v>
      </c>
      <c r="F543" s="24" t="s">
        <v>1156</v>
      </c>
      <c r="G543" s="24"/>
      <c r="H543" s="10"/>
      <c r="I543" s="10"/>
      <c r="J543" s="7"/>
    </row>
    <row r="544" spans="1:10" hidden="1">
      <c r="A544" s="5">
        <v>542</v>
      </c>
      <c r="B544" t="str">
        <f>LEFT(Table3[[#This Row],[EPI_DGN_ANTIC]],1)</f>
        <v>D</v>
      </c>
      <c r="C544" t="str">
        <f>LEFT(Table3[[#This Row],[EPI_DGN_ANTIC]],2)</f>
        <v>Dg</v>
      </c>
      <c r="D544" s="8" t="s">
        <v>1157</v>
      </c>
      <c r="E544" s="7">
        <v>0</v>
      </c>
      <c r="F544" s="24"/>
      <c r="G544" s="24"/>
      <c r="H544" s="10"/>
      <c r="I544" s="10"/>
      <c r="J544" s="7"/>
    </row>
    <row r="545" spans="1:10" hidden="1">
      <c r="A545" s="5">
        <v>543</v>
      </c>
      <c r="B545" t="str">
        <f>LEFT(Table3[[#This Row],[EPI_DGN_ANTIC]],1)</f>
        <v>D</v>
      </c>
      <c r="C545" t="str">
        <f>LEFT(Table3[[#This Row],[EPI_DGN_ANTIC]],2)</f>
        <v>Dm</v>
      </c>
      <c r="D545" s="8" t="s">
        <v>1158</v>
      </c>
      <c r="E545" s="7">
        <v>0</v>
      </c>
      <c r="F545" s="24"/>
      <c r="G545" s="24"/>
      <c r="H545" s="10"/>
      <c r="I545" s="10"/>
      <c r="J545" s="7"/>
    </row>
    <row r="546" spans="1:10" hidden="1">
      <c r="A546" s="5">
        <v>544</v>
      </c>
      <c r="B546" t="str">
        <f>LEFT(Table3[[#This Row],[EPI_DGN_ANTIC]],1)</f>
        <v>D</v>
      </c>
      <c r="C546" t="s">
        <v>378</v>
      </c>
      <c r="D546" s="8" t="s">
        <v>378</v>
      </c>
      <c r="E546" s="7">
        <v>1</v>
      </c>
      <c r="F546" s="24" t="s">
        <v>1159</v>
      </c>
      <c r="G546" s="24"/>
      <c r="H546" s="10"/>
      <c r="I546" s="10"/>
      <c r="J546" s="7"/>
    </row>
    <row r="547" spans="1:10" hidden="1">
      <c r="A547" s="5">
        <v>545</v>
      </c>
      <c r="B547" t="str">
        <f>LEFT(Table3[[#This Row],[EPI_DGN_ANTIC]],1)</f>
        <v>D</v>
      </c>
      <c r="C547" t="str">
        <f>LEFT(Table3[[#This Row],[EPI_DGN_ANTIC]],2)</f>
        <v>Dp</v>
      </c>
      <c r="D547" s="8" t="s">
        <v>1160</v>
      </c>
      <c r="E547" s="7">
        <v>1</v>
      </c>
      <c r="F547" s="24" t="s">
        <v>1161</v>
      </c>
      <c r="G547" s="24"/>
      <c r="H547" s="10"/>
      <c r="I547" s="10"/>
      <c r="J547" s="7"/>
    </row>
    <row r="548" spans="1:10" hidden="1">
      <c r="A548" s="5">
        <v>546</v>
      </c>
      <c r="B548" t="str">
        <f>LEFT(Table3[[#This Row],[EPI_DGN_ANTIC]],1)</f>
        <v>D</v>
      </c>
      <c r="C548" t="str">
        <f>LEFT(Table3[[#This Row],[EPI_DGN_ANTIC]],2)</f>
        <v>Dp</v>
      </c>
      <c r="D548" s="8" t="s">
        <v>1162</v>
      </c>
      <c r="E548" s="7">
        <v>1</v>
      </c>
      <c r="F548" s="24" t="s">
        <v>1161</v>
      </c>
      <c r="G548" s="24"/>
      <c r="H548" s="10"/>
      <c r="I548" s="10"/>
      <c r="J548" s="7"/>
    </row>
    <row r="549" spans="1:10" hidden="1">
      <c r="A549" s="5">
        <v>547</v>
      </c>
      <c r="B549" t="str">
        <f>LEFT(Table3[[#This Row],[EPI_DGN_ANTIC]],1)</f>
        <v>D</v>
      </c>
      <c r="D549" s="8" t="s">
        <v>1163</v>
      </c>
      <c r="E549" s="7">
        <v>1</v>
      </c>
      <c r="F549" s="24" t="s">
        <v>624</v>
      </c>
      <c r="G549" s="24"/>
      <c r="H549" s="10"/>
      <c r="I549" s="10"/>
      <c r="J549" s="7"/>
    </row>
    <row r="550" spans="1:10" hidden="1">
      <c r="A550" s="5">
        <v>548</v>
      </c>
      <c r="B550" t="str">
        <f>LEFT(Table3[[#This Row],[EPI_DGN_ANTIC]],1)</f>
        <v>D</v>
      </c>
      <c r="C550" t="str">
        <f>LEFT(Table3[[#This Row],[EPI_DGN_ANTIC]],2)</f>
        <v>Dp</v>
      </c>
      <c r="D550" s="8" t="s">
        <v>1164</v>
      </c>
      <c r="E550" s="7">
        <v>0</v>
      </c>
      <c r="F550" s="24"/>
      <c r="G550" s="24"/>
      <c r="H550" s="10"/>
      <c r="I550" s="10"/>
      <c r="J550" s="7"/>
    </row>
    <row r="551" spans="1:10" hidden="1">
      <c r="A551" s="5">
        <v>549</v>
      </c>
      <c r="B551" t="str">
        <f>LEFT(Table3[[#This Row],[EPI_DGN_ANTIC]],1)</f>
        <v>D</v>
      </c>
      <c r="C551" t="str">
        <f>LEFT(Table3[[#This Row],[EPI_DGN_ANTIC]],2)</f>
        <v>Dq</v>
      </c>
      <c r="D551" s="8" t="s">
        <v>1165</v>
      </c>
      <c r="E551" s="7">
        <v>0</v>
      </c>
      <c r="F551" s="24"/>
      <c r="G551" s="24"/>
      <c r="H551" s="10"/>
      <c r="I551" s="10"/>
      <c r="J551" s="7"/>
    </row>
    <row r="552" spans="1:10" hidden="1">
      <c r="A552" s="5">
        <v>550</v>
      </c>
      <c r="B552" t="str">
        <f>LEFT(Table3[[#This Row],[EPI_DGN_ANTIC]],1)</f>
        <v>D</v>
      </c>
      <c r="C552" t="str">
        <f>LEFT(Table3[[#This Row],[EPI_DGN_ANTIC]],2)</f>
        <v>De</v>
      </c>
      <c r="D552" s="8" t="s">
        <v>1166</v>
      </c>
      <c r="E552" s="7">
        <v>1</v>
      </c>
      <c r="F552" s="24" t="s">
        <v>1167</v>
      </c>
      <c r="G552" s="24"/>
      <c r="H552" s="10"/>
      <c r="I552" s="10"/>
      <c r="J552" s="7"/>
    </row>
    <row r="553" spans="1:10" hidden="1">
      <c r="A553" s="5">
        <v>551</v>
      </c>
      <c r="B553" t="str">
        <f>LEFT(Table3[[#This Row],[EPI_DGN_ANTIC]],1)</f>
        <v>D</v>
      </c>
      <c r="C553" t="str">
        <f>LEFT(Table3[[#This Row],[EPI_DGN_ANTIC]],2)</f>
        <v>Dp</v>
      </c>
      <c r="D553" s="8" t="s">
        <v>1168</v>
      </c>
      <c r="E553" s="7">
        <v>1</v>
      </c>
      <c r="F553" s="24" t="s">
        <v>1169</v>
      </c>
      <c r="G553" s="24"/>
      <c r="H553" s="10"/>
      <c r="I553" s="10"/>
      <c r="J553" s="7"/>
    </row>
    <row r="554" spans="1:10" hidden="1">
      <c r="A554" s="5">
        <v>552</v>
      </c>
      <c r="B554" t="str">
        <f>LEFT(Table3[[#This Row],[EPI_DGN_ANTIC]],1)</f>
        <v>D</v>
      </c>
      <c r="C554" t="str">
        <f>LEFT(Table3[[#This Row],[EPI_DGN_ANTIC]],2)</f>
        <v>Dp</v>
      </c>
      <c r="D554" s="8" t="s">
        <v>1170</v>
      </c>
      <c r="E554" s="7">
        <v>1</v>
      </c>
      <c r="F554" s="24" t="s">
        <v>1171</v>
      </c>
      <c r="G554" s="24"/>
      <c r="H554" s="10"/>
      <c r="I554" s="10"/>
      <c r="J554" s="7"/>
    </row>
    <row r="555" spans="1:10" hidden="1">
      <c r="A555" s="5">
        <v>553</v>
      </c>
      <c r="B555" t="str">
        <f>LEFT(Table3[[#This Row],[EPI_DGN_ANTIC]],1)</f>
        <v>D</v>
      </c>
      <c r="C555" t="str">
        <f>LEFT(Table3[[#This Row],[EPI_DGN_ANTIC]],2)</f>
        <v>Dq</v>
      </c>
      <c r="D555" s="8" t="s">
        <v>1172</v>
      </c>
      <c r="E555" s="7">
        <v>1</v>
      </c>
      <c r="F555" s="24" t="s">
        <v>624</v>
      </c>
      <c r="G555" s="24"/>
      <c r="H555" s="10"/>
      <c r="I555" s="10"/>
      <c r="J555" s="7"/>
    </row>
    <row r="556" spans="1:10" hidden="1">
      <c r="A556" s="5">
        <v>554</v>
      </c>
      <c r="B556" t="s">
        <v>229</v>
      </c>
      <c r="C556" t="s">
        <v>667</v>
      </c>
      <c r="D556" s="8" t="s">
        <v>1173</v>
      </c>
      <c r="E556" s="7">
        <v>1</v>
      </c>
      <c r="F556" s="24" t="s">
        <v>683</v>
      </c>
      <c r="G556" s="24"/>
      <c r="H556" s="10"/>
      <c r="I556" s="10"/>
      <c r="J556" s="7"/>
    </row>
    <row r="557" spans="1:10" hidden="1">
      <c r="A557" s="5">
        <v>555</v>
      </c>
      <c r="B557" t="s">
        <v>378</v>
      </c>
      <c r="C557" t="s">
        <v>1174</v>
      </c>
      <c r="D557" s="8" t="s">
        <v>1175</v>
      </c>
      <c r="E557" s="7">
        <v>1</v>
      </c>
      <c r="F557" s="24" t="s">
        <v>1167</v>
      </c>
      <c r="G557" s="24"/>
      <c r="H557" s="10"/>
      <c r="I557" s="10"/>
      <c r="J557" s="7"/>
    </row>
    <row r="558" spans="1:10" hidden="1">
      <c r="A558" s="5">
        <v>556</v>
      </c>
      <c r="B558" t="str">
        <f>LEFT(Table3[[#This Row],[EPI_DGN_ANTIC]],1)</f>
        <v>E</v>
      </c>
      <c r="C558" t="str">
        <f>LEFT(Table3[[#This Row],[EPI_DGN_ANTIC]],3)</f>
        <v>EBc</v>
      </c>
      <c r="D558" s="8" t="s">
        <v>1176</v>
      </c>
      <c r="E558" s="7">
        <v>1</v>
      </c>
      <c r="F558" s="24" t="s">
        <v>1053</v>
      </c>
      <c r="G558" s="24"/>
      <c r="H558" s="10"/>
      <c r="I558" s="10"/>
      <c r="J558" s="7"/>
    </row>
    <row r="559" spans="1:10" hidden="1">
      <c r="A559" s="5">
        <v>557</v>
      </c>
      <c r="B559" t="str">
        <f>LEFT(Table3[[#This Row],[EPI_DGN_ANTIC]],1)</f>
        <v>E</v>
      </c>
      <c r="C559" t="str">
        <f>LEFT(Table3[[#This Row],[EPI_DGN_ANTIC]],3)</f>
        <v>EBg</v>
      </c>
      <c r="D559" s="8" t="s">
        <v>1177</v>
      </c>
      <c r="E559" s="7">
        <v>1</v>
      </c>
      <c r="F559" s="24" t="s">
        <v>1178</v>
      </c>
      <c r="G559" s="24"/>
      <c r="H559" s="10"/>
      <c r="I559" s="10"/>
      <c r="J559" s="7"/>
    </row>
    <row r="560" spans="1:10" hidden="1">
      <c r="A560" s="5">
        <v>558</v>
      </c>
      <c r="B560" t="str">
        <f>LEFT(Table3[[#This Row],[EPI_DGN_ANTIC]],1)</f>
        <v>E</v>
      </c>
      <c r="C560" t="str">
        <f>LEFT(Table3[[#This Row],[EPI_DGN_ANTIC]],3)</f>
        <v>EBg</v>
      </c>
      <c r="D560" s="8" t="s">
        <v>1179</v>
      </c>
      <c r="E560" s="7">
        <v>1</v>
      </c>
      <c r="F560" s="24" t="s">
        <v>1180</v>
      </c>
      <c r="G560" s="24"/>
      <c r="H560" s="10"/>
      <c r="I560" s="10"/>
      <c r="J560" s="7"/>
    </row>
    <row r="561" spans="1:10" hidden="1">
      <c r="A561" s="5">
        <v>559</v>
      </c>
      <c r="B561" t="str">
        <f>LEFT(Table3[[#This Row],[EPI_DGN_ANTIC]],1)</f>
        <v>G</v>
      </c>
      <c r="C561" t="str">
        <f>LEFT(Table3[[#This Row],[EPI_DGN_ANTIC]],2)</f>
        <v>Gg</v>
      </c>
      <c r="D561" s="8" t="s">
        <v>1181</v>
      </c>
      <c r="E561" s="7">
        <v>1</v>
      </c>
      <c r="F561" s="24" t="s">
        <v>1182</v>
      </c>
      <c r="G561" s="24"/>
      <c r="H561" s="10"/>
      <c r="I561" s="10"/>
      <c r="J561" s="7"/>
    </row>
    <row r="562" spans="1:10" hidden="1">
      <c r="A562" s="5">
        <v>560</v>
      </c>
      <c r="B562" t="str">
        <f>LEFT(Table3[[#This Row],[EPI_DGN_ANTIC]],1)</f>
        <v>G</v>
      </c>
      <c r="C562" t="str">
        <f>LEFT(Table3[[#This Row],[EPI_DGN_ANTIC]],2)</f>
        <v>Gg</v>
      </c>
      <c r="D562" s="8" t="s">
        <v>1183</v>
      </c>
      <c r="E562" s="7">
        <v>1</v>
      </c>
      <c r="F562" s="24" t="s">
        <v>1184</v>
      </c>
      <c r="G562" s="24"/>
      <c r="H562" s="10"/>
      <c r="I562" s="10"/>
      <c r="J562" s="7"/>
    </row>
    <row r="563" spans="1:10" hidden="1">
      <c r="A563" s="5">
        <v>561</v>
      </c>
      <c r="B563" t="str">
        <f>LEFT(Table3[[#This Row],[EPI_DGN_ANTIC]],1)</f>
        <v>G</v>
      </c>
      <c r="C563" t="str">
        <f>LEFT(Table3[[#This Row],[EPI_DGN_ANTIC]],2)</f>
        <v>Gg</v>
      </c>
      <c r="D563" s="8" t="s">
        <v>1185</v>
      </c>
      <c r="E563" s="7">
        <v>1</v>
      </c>
      <c r="F563" s="24" t="s">
        <v>1186</v>
      </c>
      <c r="G563" s="24"/>
      <c r="H563" s="10"/>
      <c r="I563" s="10"/>
      <c r="J563" s="7"/>
    </row>
    <row r="564" spans="1:10" hidden="1">
      <c r="A564" s="5">
        <v>562</v>
      </c>
      <c r="B564" t="str">
        <f>LEFT(Table3[[#This Row],[EPI_DGN_ANTIC]],1)</f>
        <v>G</v>
      </c>
      <c r="C564" t="str">
        <f>LEFT(Table3[[#This Row],[EPI_DGN_ANTIC]],2)</f>
        <v>Gm</v>
      </c>
      <c r="D564" s="8" t="s">
        <v>1187</v>
      </c>
      <c r="E564" s="7">
        <v>1</v>
      </c>
      <c r="F564" s="24" t="s">
        <v>706</v>
      </c>
      <c r="G564" s="10" t="s">
        <v>90</v>
      </c>
      <c r="H564" s="10"/>
      <c r="I564" s="10"/>
      <c r="J564" s="7"/>
    </row>
    <row r="565" spans="1:10" hidden="1">
      <c r="A565" s="5">
        <v>563</v>
      </c>
      <c r="B565" t="str">
        <f>LEFT(Table3[[#This Row],[EPI_DGN_ANTIC]],1)</f>
        <v>G</v>
      </c>
      <c r="C565" t="str">
        <f>LEFT(Table3[[#This Row],[EPI_DGN_ANTIC]],2)</f>
        <v>Gt</v>
      </c>
      <c r="D565" s="8" t="s">
        <v>1188</v>
      </c>
      <c r="E565" s="7">
        <v>1</v>
      </c>
      <c r="F565" s="24" t="s">
        <v>946</v>
      </c>
      <c r="G565" s="24"/>
      <c r="H565" s="10"/>
      <c r="I565" s="10"/>
      <c r="J565" s="7"/>
    </row>
    <row r="566" spans="1:10" hidden="1">
      <c r="A566" s="5">
        <v>564</v>
      </c>
      <c r="B566" t="str">
        <f>LEFT(Table3[[#This Row],[EPI_DGN_ANTIC]],1)</f>
        <v>G</v>
      </c>
      <c r="C566" t="str">
        <f>LEFT(Table3[[#This Row],[EPI_DGN_ANTIC]],2)</f>
        <v>Gt</v>
      </c>
      <c r="D566" s="8" t="s">
        <v>1189</v>
      </c>
      <c r="E566" s="7">
        <v>1</v>
      </c>
      <c r="F566" s="24" t="s">
        <v>1190</v>
      </c>
      <c r="G566" s="24" t="s">
        <v>486</v>
      </c>
      <c r="H566" s="10"/>
      <c r="I566" s="10"/>
      <c r="J566" s="7"/>
    </row>
    <row r="567" spans="1:10" hidden="1">
      <c r="A567" s="5">
        <v>565</v>
      </c>
      <c r="B567" t="str">
        <f>LEFT(Table3[[#This Row],[EPI_DGN_ANTIC]],1)</f>
        <v>C</v>
      </c>
      <c r="C567" t="str">
        <f>LEFT(Table3[[#This Row],[EPI_DGN_ANTIC]],3)</f>
        <v>CAp</v>
      </c>
      <c r="D567" s="8" t="s">
        <v>1191</v>
      </c>
      <c r="E567" s="7">
        <v>1</v>
      </c>
      <c r="F567" s="24" t="s">
        <v>1192</v>
      </c>
      <c r="G567" s="24"/>
      <c r="H567" s="10"/>
      <c r="I567" s="10"/>
      <c r="J567" s="7"/>
    </row>
    <row r="568" spans="1:10" hidden="1">
      <c r="A568" s="5">
        <v>566</v>
      </c>
      <c r="B568" t="str">
        <f>LEFT(Table3[[#This Row],[EPI_DGN_ANTIC]],1)</f>
        <v>C</v>
      </c>
      <c r="C568" t="str">
        <f>LEFT(Table3[[#This Row],[EPI_DGN_ANTIC]],2)</f>
        <v>CA</v>
      </c>
      <c r="D568" s="8" t="s">
        <v>968</v>
      </c>
      <c r="E568" s="7">
        <v>1</v>
      </c>
      <c r="F568" s="24" t="s">
        <v>1193</v>
      </c>
      <c r="G568" s="24"/>
      <c r="H568" s="10"/>
      <c r="I568" s="10"/>
      <c r="J568" s="7"/>
    </row>
    <row r="569" spans="1:10" hidden="1">
      <c r="A569" s="5">
        <v>567</v>
      </c>
      <c r="B569" t="str">
        <f>LEFT(Table3[[#This Row],[EPI_DGN_ANTIC]],1)</f>
        <v>E</v>
      </c>
      <c r="C569" t="str">
        <f>LEFT(Table3[[#This Row],[EPI_DGN_ANTIC]],3)</f>
        <v>EBc</v>
      </c>
      <c r="D569" s="8" t="s">
        <v>1194</v>
      </c>
      <c r="E569" s="7">
        <v>1</v>
      </c>
      <c r="F569" s="24" t="s">
        <v>1195</v>
      </c>
      <c r="G569" s="24"/>
      <c r="H569" s="10"/>
      <c r="I569" s="10"/>
      <c r="J569" s="7"/>
    </row>
    <row r="570" spans="1:10" hidden="1">
      <c r="A570" s="5">
        <v>568</v>
      </c>
      <c r="B570" t="str">
        <f>LEFT(Table3[[#This Row],[EPI_DGN_ANTIC]],1)</f>
        <v>G</v>
      </c>
      <c r="C570" t="str">
        <f>LEFT(Table3[[#This Row],[EPI_DGN_ANTIC]],2)</f>
        <v>Gl</v>
      </c>
      <c r="D570" s="8" t="s">
        <v>1196</v>
      </c>
      <c r="E570" s="7">
        <v>1</v>
      </c>
      <c r="F570" s="24" t="s">
        <v>1197</v>
      </c>
      <c r="G570" s="10" t="s">
        <v>90</v>
      </c>
      <c r="H570" s="10"/>
      <c r="I570" s="10"/>
      <c r="J570" s="7"/>
    </row>
    <row r="571" spans="1:10" hidden="1">
      <c r="A571" s="5">
        <v>569</v>
      </c>
      <c r="B571" t="str">
        <f>LEFT(Table3[[#This Row],[EPI_DGN_ANTIC]],1)</f>
        <v>K</v>
      </c>
      <c r="C571" t="str">
        <f>LEFT(Table3[[#This Row],[EPI_DGN_ANTIC]],3)</f>
        <v>KCo</v>
      </c>
      <c r="D571" s="8" t="s">
        <v>1198</v>
      </c>
      <c r="E571" s="7">
        <v>1</v>
      </c>
      <c r="F571" s="24" t="s">
        <v>506</v>
      </c>
      <c r="G571" s="10" t="s">
        <v>90</v>
      </c>
      <c r="H571" s="10"/>
      <c r="I571" s="10"/>
      <c r="J571" s="7"/>
    </row>
    <row r="572" spans="1:10" hidden="1">
      <c r="A572" s="5">
        <v>570</v>
      </c>
      <c r="B572" t="str">
        <f>LEFT(Table3[[#This Row],[EPI_DGN_ANTIC]],1)</f>
        <v>K</v>
      </c>
      <c r="C572" t="str">
        <f>LEFT(Table3[[#This Row],[EPI_DGN_ANTIC]],2)</f>
        <v>KS</v>
      </c>
      <c r="D572" s="8" t="s">
        <v>1199</v>
      </c>
      <c r="E572" s="7">
        <v>1</v>
      </c>
      <c r="F572" s="10" t="s">
        <v>213</v>
      </c>
      <c r="G572" s="10" t="s">
        <v>90</v>
      </c>
      <c r="H572" s="10"/>
      <c r="I572" s="10"/>
      <c r="J572" s="7"/>
    </row>
    <row r="573" spans="1:10" hidden="1">
      <c r="A573" s="5">
        <v>571</v>
      </c>
      <c r="B573" t="str">
        <f>LEFT(Table3[[#This Row],[EPI_DGN_ANTIC]],1)</f>
        <v>E</v>
      </c>
      <c r="C573" t="str">
        <f>LEFT(Table3[[#This Row],[EPI_DGN_ANTIC]],3)</f>
        <v>EBc</v>
      </c>
      <c r="D573" s="8" t="s">
        <v>1200</v>
      </c>
      <c r="E573" s="7">
        <v>1</v>
      </c>
      <c r="F573" s="24" t="s">
        <v>1201</v>
      </c>
      <c r="G573" s="24"/>
      <c r="H573" s="10"/>
      <c r="I573" s="10"/>
      <c r="J573" s="7"/>
    </row>
    <row r="574" spans="1:10" hidden="1">
      <c r="A574" s="5">
        <v>572</v>
      </c>
      <c r="B574" t="str">
        <f>LEFT(Table3[[#This Row],[EPI_DGN_ANTIC]],1)</f>
        <v>E</v>
      </c>
      <c r="C574" t="s">
        <v>1036</v>
      </c>
      <c r="D574" s="8" t="s">
        <v>1202</v>
      </c>
      <c r="E574" s="7">
        <v>1</v>
      </c>
      <c r="F574" s="24" t="s">
        <v>1008</v>
      </c>
      <c r="G574" s="24"/>
      <c r="H574" s="10"/>
      <c r="I574" s="10"/>
      <c r="J574" s="7"/>
    </row>
    <row r="575" spans="1:10" hidden="1">
      <c r="A575" s="5">
        <v>573</v>
      </c>
      <c r="B575" t="str">
        <f>LEFT(Table3[[#This Row],[EPI_DGN_ANTIC]],1)</f>
        <v>E</v>
      </c>
      <c r="C575" t="str">
        <f>LEFT(Table3[[#This Row],[EPI_DGN_ANTIC]],3)</f>
        <v>ELc</v>
      </c>
      <c r="D575" s="8" t="s">
        <v>1203</v>
      </c>
      <c r="E575" s="7">
        <v>1</v>
      </c>
      <c r="F575" s="24" t="s">
        <v>1204</v>
      </c>
      <c r="G575" s="24"/>
      <c r="H575" s="10"/>
      <c r="I575" s="10"/>
      <c r="J575" s="7"/>
    </row>
    <row r="576" spans="1:10" hidden="1">
      <c r="A576" s="5">
        <v>574</v>
      </c>
      <c r="B576" t="str">
        <f>LEFT(Table3[[#This Row],[EPI_DGN_ANTIC]],1)</f>
        <v>E</v>
      </c>
      <c r="C576" t="str">
        <f>LEFT(Table3[[#This Row],[EPI_DGN_ANTIC]],3)</f>
        <v>ELm</v>
      </c>
      <c r="D576" s="8" t="s">
        <v>1205</v>
      </c>
      <c r="E576" s="7">
        <v>1</v>
      </c>
      <c r="F576" s="24" t="s">
        <v>1206</v>
      </c>
      <c r="G576" s="24"/>
      <c r="H576" s="10"/>
      <c r="I576" s="10"/>
      <c r="J576" s="7"/>
    </row>
    <row r="577" spans="1:10" hidden="1">
      <c r="A577" s="5">
        <v>575</v>
      </c>
      <c r="B577" t="str">
        <f>LEFT(Table3[[#This Row],[EPI_DGN_ANTIC]],1)</f>
        <v>E</v>
      </c>
      <c r="C577" t="str">
        <f>LEFT(Table3[[#This Row],[EPI_DGN_ANTIC]],3)</f>
        <v>EPg</v>
      </c>
      <c r="D577" s="8" t="s">
        <v>1207</v>
      </c>
      <c r="E577" s="7">
        <v>1</v>
      </c>
      <c r="F577" s="24" t="s">
        <v>1208</v>
      </c>
      <c r="G577" s="24"/>
      <c r="H577" s="10"/>
      <c r="I577" s="10"/>
      <c r="J577" s="7"/>
    </row>
    <row r="578" spans="1:10" hidden="1">
      <c r="A578" s="5">
        <v>576</v>
      </c>
      <c r="B578" t="str">
        <f>LEFT(Table3[[#This Row],[EPI_DGN_ANTIC]],1)</f>
        <v>E</v>
      </c>
      <c r="C578" t="str">
        <f>LEFT(Table3[[#This Row],[EPI_DGN_ANTIC]],3)</f>
        <v>EPl</v>
      </c>
      <c r="D578" s="8" t="s">
        <v>1147</v>
      </c>
      <c r="E578" s="7">
        <v>1</v>
      </c>
      <c r="F578" s="24" t="s">
        <v>1209</v>
      </c>
      <c r="G578" s="24"/>
      <c r="H578" s="10"/>
      <c r="I578" s="10"/>
      <c r="J578" s="7"/>
    </row>
    <row r="579" spans="1:10" hidden="1">
      <c r="A579" s="5">
        <v>577</v>
      </c>
      <c r="B579" t="str">
        <f>LEFT(Table3[[#This Row],[EPI_DGN_ANTIC]],1)</f>
        <v>E</v>
      </c>
      <c r="C579" t="str">
        <f>LEFT(Table3[[#This Row],[EPI_DGN_ANTIC]],3)</f>
        <v>EPl</v>
      </c>
      <c r="D579" s="8" t="s">
        <v>1210</v>
      </c>
      <c r="E579" s="7">
        <v>1</v>
      </c>
      <c r="F579" s="24" t="s">
        <v>1211</v>
      </c>
      <c r="G579" s="24"/>
      <c r="H579" s="10"/>
      <c r="I579" s="10"/>
      <c r="J579" s="7"/>
    </row>
    <row r="580" spans="1:10" hidden="1">
      <c r="A580" s="5">
        <v>578</v>
      </c>
      <c r="B580" t="str">
        <f>LEFT(Table3[[#This Row],[EPI_DGN_ANTIC]],1)</f>
        <v>D</v>
      </c>
      <c r="C580" t="str">
        <f>LEFT(Table3[[#This Row],[EPI_DGN_ANTIC]],2)</f>
        <v>Dd</v>
      </c>
      <c r="D580" s="8" t="s">
        <v>1212</v>
      </c>
      <c r="E580" s="7">
        <v>1</v>
      </c>
      <c r="F580" s="24" t="s">
        <v>1213</v>
      </c>
      <c r="G580" s="24"/>
      <c r="H580" s="10"/>
      <c r="I580" s="10"/>
      <c r="J580" s="7"/>
    </row>
    <row r="581" spans="1:10" hidden="1">
      <c r="A581" s="5">
        <v>579</v>
      </c>
      <c r="B581" t="str">
        <f>LEFT(Table3[[#This Row],[EPI_DGN_ANTIC]],1)</f>
        <v>C</v>
      </c>
      <c r="C581" t="str">
        <f>LEFT(Table3[[#This Row],[EPI_DGN_ANTIC]],2)</f>
        <v>CI</v>
      </c>
      <c r="D581" s="8" t="s">
        <v>1214</v>
      </c>
      <c r="E581" s="7">
        <v>0</v>
      </c>
      <c r="F581" s="24"/>
      <c r="G581" s="24"/>
      <c r="H581" s="10"/>
      <c r="I581" s="10"/>
      <c r="J581" s="7"/>
    </row>
    <row r="582" spans="1:10" hidden="1">
      <c r="A582" s="5">
        <v>580</v>
      </c>
      <c r="B582" t="str">
        <f>LEFT(Table3[[#This Row],[EPI_DGN_ANTIC]],1)</f>
        <v>C</v>
      </c>
      <c r="C582" t="str">
        <f>LEFT(Table3[[#This Row],[EPI_DGN_ANTIC]],2)</f>
        <v>CI</v>
      </c>
      <c r="D582" s="8" t="s">
        <v>1215</v>
      </c>
      <c r="E582" s="7">
        <v>1</v>
      </c>
      <c r="F582" s="24" t="s">
        <v>1216</v>
      </c>
      <c r="G582" s="24"/>
      <c r="H582" s="10"/>
      <c r="I582" s="10"/>
      <c r="J582" s="7"/>
    </row>
    <row r="583" spans="1:10" hidden="1">
      <c r="A583" s="5">
        <v>581</v>
      </c>
      <c r="B583" t="str">
        <f>LEFT(Table3[[#This Row],[EPI_DGN_ANTIC]],1)</f>
        <v>C</v>
      </c>
      <c r="C583" t="str">
        <f>LEFT(Table3[[#This Row],[EPI_DGN_ANTIC]],2)</f>
        <v>CI</v>
      </c>
      <c r="D583" s="8" t="s">
        <v>1217</v>
      </c>
      <c r="E583" s="7">
        <v>1</v>
      </c>
      <c r="F583" s="23" t="s">
        <v>1218</v>
      </c>
      <c r="G583" s="24"/>
      <c r="H583" s="10"/>
      <c r="I583" s="10"/>
      <c r="J583" s="7"/>
    </row>
    <row r="584" spans="1:10" hidden="1">
      <c r="A584" s="5">
        <v>582</v>
      </c>
      <c r="B584" t="str">
        <f>LEFT(Table3[[#This Row],[EPI_DGN_ANTIC]],1)</f>
        <v>C</v>
      </c>
      <c r="C584" t="str">
        <f>LEFT(Table3[[#This Row],[EPI_DGN_ANTIC]],2)</f>
        <v>CI</v>
      </c>
      <c r="D584" s="8" t="s">
        <v>1219</v>
      </c>
      <c r="E584" s="7">
        <v>1</v>
      </c>
      <c r="F584" s="23" t="s">
        <v>1220</v>
      </c>
      <c r="G584" s="24"/>
      <c r="H584" s="10"/>
      <c r="I584" s="10"/>
      <c r="J584" s="7"/>
    </row>
    <row r="585" spans="1:10" hidden="1">
      <c r="A585" s="5">
        <v>583</v>
      </c>
      <c r="B585" t="str">
        <f>LEFT(Table3[[#This Row],[EPI_DGN_ANTIC]],1)</f>
        <v>C</v>
      </c>
      <c r="C585" t="str">
        <f>LEFT(Table3[[#This Row],[EPI_DGN_ANTIC]],2)</f>
        <v>CI</v>
      </c>
      <c r="D585" s="8" t="s">
        <v>1221</v>
      </c>
      <c r="E585" s="7">
        <v>1</v>
      </c>
      <c r="F585" s="24" t="s">
        <v>1222</v>
      </c>
      <c r="G585" s="24"/>
      <c r="H585" s="10"/>
      <c r="I585" s="10"/>
      <c r="J585" s="7"/>
    </row>
    <row r="586" spans="1:10" hidden="1">
      <c r="A586" s="5">
        <v>584</v>
      </c>
      <c r="B586" t="str">
        <f>LEFT(Table3[[#This Row],[EPI_DGN_ANTIC]],1)</f>
        <v>C</v>
      </c>
      <c r="C586" t="str">
        <f>LEFT(Table3[[#This Row],[EPI_DGN_ANTIC]],2)</f>
        <v>CI</v>
      </c>
      <c r="D586" s="8" t="s">
        <v>1223</v>
      </c>
      <c r="E586" s="7">
        <v>1</v>
      </c>
      <c r="F586" s="24" t="s">
        <v>1224</v>
      </c>
      <c r="G586" s="24"/>
      <c r="H586" s="10"/>
      <c r="I586" s="10"/>
      <c r="J586" s="7"/>
    </row>
    <row r="587" spans="1:10" hidden="1">
      <c r="A587" s="5">
        <v>585</v>
      </c>
      <c r="B587" t="str">
        <f>LEFT(Table3[[#This Row],[EPI_DGN_ANTIC]],1)</f>
        <v>J</v>
      </c>
      <c r="C587" t="str">
        <f>LEFT(Table3[[#This Row],[EPI_DGN_ANTIC]],2)</f>
        <v>JM</v>
      </c>
      <c r="D587" s="8" t="s">
        <v>1225</v>
      </c>
      <c r="E587" s="7">
        <v>1</v>
      </c>
      <c r="F587" s="24" t="s">
        <v>1226</v>
      </c>
      <c r="G587" s="24"/>
      <c r="H587" s="10"/>
      <c r="I587" s="10"/>
      <c r="J587" s="7"/>
    </row>
    <row r="588" spans="1:10" hidden="1">
      <c r="A588" s="5">
        <v>586</v>
      </c>
      <c r="B588" t="str">
        <f>LEFT(Table3[[#This Row],[EPI_DGN_ANTIC]],1)</f>
        <v>C</v>
      </c>
      <c r="C588" t="str">
        <f>LEFT(Table3[[#This Row],[EPI_DGN_ANTIC]],2)</f>
        <v>CI</v>
      </c>
      <c r="D588" s="8" t="s">
        <v>1227</v>
      </c>
      <c r="E588" s="7">
        <v>1</v>
      </c>
      <c r="F588" s="24" t="s">
        <v>1228</v>
      </c>
      <c r="G588" s="24"/>
      <c r="H588" s="10"/>
      <c r="I588" s="10"/>
      <c r="J588" s="7"/>
    </row>
    <row r="589" spans="1:10" hidden="1">
      <c r="A589" s="5">
        <v>587</v>
      </c>
      <c r="B589" t="str">
        <f>LEFT(Table3[[#This Row],[EPI_DGN_ANTIC]],1)</f>
        <v>J</v>
      </c>
      <c r="C589" t="str">
        <f>LEFT(Table3[[#This Row],[EPI_DGN_ANTIC]],2)</f>
        <v>JC</v>
      </c>
      <c r="D589" s="8" t="s">
        <v>1229</v>
      </c>
      <c r="E589" s="7">
        <v>1</v>
      </c>
      <c r="F589" s="24" t="s">
        <v>1230</v>
      </c>
      <c r="G589" s="24"/>
      <c r="H589" s="10"/>
      <c r="I589" s="10"/>
      <c r="J589" s="7"/>
    </row>
    <row r="590" spans="1:10" hidden="1">
      <c r="A590" s="5">
        <v>588</v>
      </c>
      <c r="B590" t="str">
        <f>LEFT(Table3[[#This Row],[EPI_DGN_ANTIC]],1)</f>
        <v>J</v>
      </c>
      <c r="C590" t="str">
        <f>LEFT(Table3[[#This Row],[EPI_DGN_ANTIC]],2)</f>
        <v>JS</v>
      </c>
      <c r="D590" s="8" t="s">
        <v>1231</v>
      </c>
      <c r="E590" s="7">
        <v>1</v>
      </c>
      <c r="F590" s="24" t="s">
        <v>1232</v>
      </c>
      <c r="G590" s="24"/>
      <c r="H590" s="10"/>
      <c r="I590" s="10"/>
      <c r="J590" s="7"/>
    </row>
    <row r="591" spans="1:10" hidden="1">
      <c r="A591" s="5">
        <v>589</v>
      </c>
      <c r="B591" t="str">
        <f>LEFT(Table3[[#This Row],[EPI_DGN_ANTIC]],1)</f>
        <v>E</v>
      </c>
      <c r="C591" t="str">
        <f>LEFT(Table3[[#This Row],[EPI_DGN_ANTIC]],3)</f>
        <v>ECl</v>
      </c>
      <c r="D591" s="8" t="s">
        <v>1233</v>
      </c>
      <c r="E591" s="7">
        <v>1</v>
      </c>
      <c r="F591" s="24" t="s">
        <v>98</v>
      </c>
      <c r="G591" s="24"/>
      <c r="H591" s="10"/>
      <c r="I591" s="10"/>
      <c r="J591" s="7"/>
    </row>
    <row r="592" spans="1:10" hidden="1">
      <c r="A592" s="5">
        <v>590</v>
      </c>
      <c r="B592" t="str">
        <f>LEFT(Table3[[#This Row],[EPI_DGN_ANTIC]],1)</f>
        <v>E</v>
      </c>
      <c r="C592" t="str">
        <f>LEFT(Table3[[#This Row],[EPI_DGN_ANTIC]],3)</f>
        <v>ECL</v>
      </c>
      <c r="D592" s="8" t="s">
        <v>1234</v>
      </c>
      <c r="E592" s="7">
        <v>1</v>
      </c>
      <c r="F592" s="24" t="s">
        <v>93</v>
      </c>
      <c r="G592" s="24"/>
      <c r="H592" s="10"/>
      <c r="I592" s="10"/>
      <c r="J592" s="7"/>
    </row>
    <row r="593" spans="1:10" hidden="1">
      <c r="A593" s="5">
        <v>591</v>
      </c>
      <c r="B593" t="str">
        <f>LEFT(Table3[[#This Row],[EPI_DGN_ANTIC]],1)</f>
        <v>E</v>
      </c>
      <c r="C593" t="str">
        <f>LEFT(Table3[[#This Row],[EPI_DGN_ANTIC]],3)</f>
        <v>ECt</v>
      </c>
      <c r="D593" s="8" t="s">
        <v>1235</v>
      </c>
      <c r="E593" s="7">
        <v>1</v>
      </c>
      <c r="F593" s="24" t="s">
        <v>1003</v>
      </c>
      <c r="G593" s="24"/>
      <c r="H593" s="10"/>
      <c r="I593" s="10"/>
      <c r="J593" s="7"/>
    </row>
    <row r="594" spans="1:10" hidden="1">
      <c r="A594" s="5">
        <v>592</v>
      </c>
      <c r="B594" t="str">
        <f>LEFT(Table3[[#This Row],[EPI_DGN_ANTIC]],1)</f>
        <v>E</v>
      </c>
      <c r="C594" t="s">
        <v>1036</v>
      </c>
      <c r="D594" s="8" t="s">
        <v>1236</v>
      </c>
      <c r="E594" s="7">
        <v>1</v>
      </c>
      <c r="F594" s="24" t="s">
        <v>1237</v>
      </c>
      <c r="G594" s="24"/>
      <c r="H594" s="10"/>
      <c r="I594" s="10"/>
      <c r="J594" s="7"/>
    </row>
    <row r="595" spans="1:10" hidden="1">
      <c r="A595" s="5">
        <v>593</v>
      </c>
      <c r="B595" t="str">
        <f>LEFT(Table3[[#This Row],[EPI_DGN_ANTIC]],1)</f>
        <v>E</v>
      </c>
      <c r="C595" t="str">
        <f>LEFT(Table3[[#This Row],[EPI_DGN_ANTIC]],3)</f>
        <v>ELg</v>
      </c>
      <c r="D595" s="8" t="s">
        <v>1238</v>
      </c>
      <c r="E595" s="7">
        <v>1</v>
      </c>
      <c r="F595" s="24" t="s">
        <v>1019</v>
      </c>
      <c r="G595" s="24"/>
      <c r="H595" s="10"/>
      <c r="I595" s="10"/>
      <c r="J595" s="7"/>
    </row>
    <row r="596" spans="1:10" hidden="1">
      <c r="A596" s="5">
        <v>594</v>
      </c>
      <c r="B596" t="str">
        <f>LEFT(Table3[[#This Row],[EPI_DGN_ANTIC]],1)</f>
        <v>E</v>
      </c>
      <c r="C596" t="str">
        <f>LEFT(Table3[[#This Row],[EPI_DGN_ANTIC]],3)</f>
        <v>ELp</v>
      </c>
      <c r="D596" s="8" t="s">
        <v>1239</v>
      </c>
      <c r="E596" s="7">
        <v>1</v>
      </c>
      <c r="F596" s="24" t="s">
        <v>1240</v>
      </c>
      <c r="G596" s="24"/>
      <c r="H596" s="10"/>
      <c r="I596" s="10"/>
      <c r="J596" s="7"/>
    </row>
    <row r="597" spans="1:10" hidden="1">
      <c r="A597" s="5">
        <v>595</v>
      </c>
      <c r="B597" t="str">
        <f>LEFT(Table3[[#This Row],[EPI_DGN_ANTIC]],1)</f>
        <v>K</v>
      </c>
      <c r="C597" t="str">
        <f>LEFT(Table3[[#This Row],[EPI_DGN_ANTIC]],3)</f>
        <v>KCM</v>
      </c>
      <c r="D597" s="8" t="s">
        <v>1241</v>
      </c>
      <c r="E597" s="7">
        <v>1</v>
      </c>
      <c r="F597" s="24" t="s">
        <v>139</v>
      </c>
      <c r="G597" s="10" t="s">
        <v>90</v>
      </c>
      <c r="H597" s="10"/>
      <c r="I597" s="10"/>
      <c r="J597" s="7"/>
    </row>
    <row r="598" spans="1:10" hidden="1">
      <c r="A598" s="5">
        <v>596</v>
      </c>
      <c r="B598" t="str">
        <f>LEFT(Table3[[#This Row],[EPI_DGN_ANTIC]],1)</f>
        <v>K</v>
      </c>
      <c r="C598" t="str">
        <f>LEFT(Table3[[#This Row],[EPI_DGN_ANTIC]],3)</f>
        <v>KCM</v>
      </c>
      <c r="D598" s="8" t="s">
        <v>1242</v>
      </c>
      <c r="E598" s="7">
        <v>1</v>
      </c>
      <c r="F598" s="24" t="s">
        <v>139</v>
      </c>
      <c r="G598" s="10" t="s">
        <v>90</v>
      </c>
      <c r="H598" s="10"/>
      <c r="I598" s="10"/>
      <c r="J598" s="7"/>
    </row>
    <row r="599" spans="1:10" hidden="1">
      <c r="A599" s="5">
        <v>597</v>
      </c>
      <c r="B599" t="str">
        <f>LEFT(Table3[[#This Row],[EPI_DGN_ANTIC]],1)</f>
        <v>K</v>
      </c>
      <c r="C599" t="str">
        <f>LEFT(Table3[[#This Row],[EPI_DGN_ANTIC]],2)</f>
        <v>KM</v>
      </c>
      <c r="D599" s="8" t="s">
        <v>1243</v>
      </c>
      <c r="E599" s="7">
        <v>1</v>
      </c>
      <c r="F599" s="24" t="s">
        <v>185</v>
      </c>
      <c r="G599" s="10" t="s">
        <v>90</v>
      </c>
      <c r="H599" s="10"/>
      <c r="I599" s="10"/>
      <c r="J599" s="7"/>
    </row>
    <row r="600" spans="1:10" hidden="1">
      <c r="A600" s="5">
        <v>598</v>
      </c>
      <c r="B600" t="str">
        <f>LEFT(Table3[[#This Row],[EPI_DGN_ANTIC]],1)</f>
        <v>K</v>
      </c>
      <c r="C600" t="str">
        <f>LEFT(Table3[[#This Row],[EPI_DGN_ANTIC]],2)</f>
        <v>KM</v>
      </c>
      <c r="D600" s="8" t="s">
        <v>1244</v>
      </c>
      <c r="E600" s="7">
        <v>1</v>
      </c>
      <c r="F600" s="24" t="s">
        <v>185</v>
      </c>
      <c r="G600" s="10" t="s">
        <v>90</v>
      </c>
      <c r="H600" s="10"/>
      <c r="I600" s="10"/>
      <c r="J600" s="7"/>
    </row>
    <row r="601" spans="1:10" hidden="1">
      <c r="A601" s="5">
        <v>599</v>
      </c>
      <c r="B601" t="str">
        <f>LEFT(Table3[[#This Row],[EPI_DGN_ANTIC]],1)</f>
        <v>K</v>
      </c>
      <c r="C601" t="str">
        <f>LEFT(Table3[[#This Row],[EPI_DGN_ANTIC]],2)</f>
        <v>KS</v>
      </c>
      <c r="D601" s="8" t="s">
        <v>1245</v>
      </c>
      <c r="E601" s="7">
        <v>1</v>
      </c>
      <c r="F601" s="24" t="s">
        <v>216</v>
      </c>
      <c r="G601" s="10" t="s">
        <v>90</v>
      </c>
      <c r="H601" s="10"/>
      <c r="I601" s="10"/>
      <c r="J601" s="7"/>
    </row>
    <row r="602" spans="1:10" hidden="1">
      <c r="A602" s="5">
        <v>600</v>
      </c>
      <c r="B602" t="str">
        <f>LEFT(Table3[[#This Row],[EPI_DGN_ANTIC]],1)</f>
        <v>K</v>
      </c>
      <c r="C602" t="str">
        <f>LEFT(Table3[[#This Row],[EPI_DGN_ANTIC]],2)</f>
        <v>KS</v>
      </c>
      <c r="D602" s="8" t="s">
        <v>1246</v>
      </c>
      <c r="E602" s="7">
        <v>1</v>
      </c>
      <c r="F602" s="24" t="s">
        <v>210</v>
      </c>
      <c r="G602" s="24" t="s">
        <v>90</v>
      </c>
      <c r="H602" s="10"/>
      <c r="I602" s="10"/>
      <c r="J602" s="7"/>
    </row>
    <row r="603" spans="1:10" hidden="1">
      <c r="A603" s="5">
        <v>601</v>
      </c>
      <c r="B603" t="str">
        <f>LEFT(Table3[[#This Row],[EPI_DGN_ANTIC]],1)</f>
        <v>K</v>
      </c>
      <c r="C603" t="str">
        <f>LEFT(Table3[[#This Row],[EPI_DGN_ANTIC]],2)</f>
        <v>KS</v>
      </c>
      <c r="D603" s="8" t="s">
        <v>1247</v>
      </c>
      <c r="E603" s="7">
        <v>1</v>
      </c>
      <c r="F603" s="10" t="s">
        <v>213</v>
      </c>
      <c r="G603" s="10" t="s">
        <v>90</v>
      </c>
      <c r="H603" s="10"/>
      <c r="I603" s="10"/>
      <c r="J603" s="7"/>
    </row>
    <row r="604" spans="1:10" hidden="1">
      <c r="A604" s="5">
        <v>602</v>
      </c>
      <c r="B604" t="str">
        <f>LEFT(Table3[[#This Row],[EPI_DGN_ANTIC]],1)</f>
        <v>K</v>
      </c>
      <c r="C604" t="str">
        <f>LEFT(Table3[[#This Row],[EPI_DGN_ANTIC]],2)</f>
        <v>KS</v>
      </c>
      <c r="D604" s="8" t="s">
        <v>1248</v>
      </c>
      <c r="E604" s="7">
        <v>1</v>
      </c>
      <c r="F604" s="10" t="s">
        <v>1249</v>
      </c>
      <c r="G604" s="10" t="s">
        <v>90</v>
      </c>
      <c r="H604" s="10"/>
      <c r="I604" s="10"/>
      <c r="J604" s="7"/>
    </row>
    <row r="605" spans="1:10" hidden="1">
      <c r="A605" s="5">
        <v>603</v>
      </c>
      <c r="B605" t="str">
        <f>LEFT(Table3[[#This Row],[EPI_DGN_ANTIC]],1)</f>
        <v>J</v>
      </c>
      <c r="C605" t="str">
        <f>LEFT(Table3[[#This Row],[EPI_DGN_ANTIC]],2)</f>
        <v>JC</v>
      </c>
      <c r="D605" s="8" t="s">
        <v>1250</v>
      </c>
      <c r="E605" s="7">
        <v>0</v>
      </c>
      <c r="F605" s="24"/>
      <c r="G605" s="24"/>
      <c r="H605" s="10"/>
      <c r="I605" s="10"/>
      <c r="J605" s="7"/>
    </row>
    <row r="606" spans="1:10" hidden="1">
      <c r="A606" s="5">
        <v>604</v>
      </c>
      <c r="B606" t="str">
        <f>LEFT(Table3[[#This Row],[EPI_DGN_ANTIC]],1)</f>
        <v>J</v>
      </c>
      <c r="C606" t="str">
        <f>LEFT(Table3[[#This Row],[EPI_DGN_ANTIC]],2)</f>
        <v>JD</v>
      </c>
      <c r="D606" s="8" t="s">
        <v>1251</v>
      </c>
      <c r="E606" s="7">
        <v>0</v>
      </c>
      <c r="F606" s="24"/>
      <c r="G606" s="24"/>
      <c r="H606" s="10"/>
      <c r="I606" s="10"/>
      <c r="J606" s="7"/>
    </row>
    <row r="607" spans="1:10" hidden="1">
      <c r="A607" s="5">
        <v>605</v>
      </c>
      <c r="B607" t="str">
        <f>LEFT(Table3[[#This Row],[EPI_DGN_ANTIC]],1)</f>
        <v>J</v>
      </c>
      <c r="C607" t="str">
        <f>LEFT(Table3[[#This Row],[EPI_DGN_ANTIC]],2)</f>
        <v>JL</v>
      </c>
      <c r="D607" s="8" t="s">
        <v>275</v>
      </c>
      <c r="E607" s="7">
        <v>1</v>
      </c>
      <c r="F607" s="24" t="s">
        <v>1252</v>
      </c>
      <c r="G607" s="24"/>
      <c r="H607" s="10"/>
      <c r="I607" s="10"/>
      <c r="J607" s="7"/>
    </row>
    <row r="608" spans="1:10" hidden="1">
      <c r="A608" s="5">
        <v>606</v>
      </c>
      <c r="B608" t="str">
        <f>LEFT(Table3[[#This Row],[EPI_DGN_ANTIC]],1)</f>
        <v>J</v>
      </c>
      <c r="C608" t="str">
        <f>LEFT(Table3[[#This Row],[EPI_DGN_ANTIC]],2)</f>
        <v>JM</v>
      </c>
      <c r="D608" s="8" t="s">
        <v>488</v>
      </c>
      <c r="E608" s="7">
        <v>1</v>
      </c>
      <c r="F608" s="24" t="s">
        <v>1253</v>
      </c>
      <c r="G608" s="24"/>
      <c r="H608" s="10"/>
      <c r="I608" s="10"/>
      <c r="J608" s="7"/>
    </row>
    <row r="609" spans="1:10" hidden="1">
      <c r="A609" s="5">
        <v>607</v>
      </c>
      <c r="B609" t="str">
        <f>LEFT(Table3[[#This Row],[EPI_DGN_ANTIC]],1)</f>
        <v>J</v>
      </c>
      <c r="C609" t="str">
        <f>LEFT(Table3[[#This Row],[EPI_DGN_ANTIC]],2)</f>
        <v>JS</v>
      </c>
      <c r="D609" s="8" t="s">
        <v>1254</v>
      </c>
      <c r="E609" s="7">
        <v>0</v>
      </c>
      <c r="F609" s="24"/>
      <c r="G609" s="24"/>
      <c r="H609" s="10"/>
      <c r="I609" s="10"/>
      <c r="J609" s="7"/>
    </row>
    <row r="610" spans="1:10" hidden="1">
      <c r="A610" s="5">
        <v>608</v>
      </c>
      <c r="B610" t="str">
        <f>LEFT(Table3[[#This Row],[EPI_DGN_ANTIC]],1)</f>
        <v>Z</v>
      </c>
      <c r="C610" t="str">
        <f>LEFT(Table3[[#This Row],[EPI_DGN_ANTIC]],3)</f>
        <v>Z</v>
      </c>
      <c r="D610" s="8" t="s">
        <v>350</v>
      </c>
      <c r="E610" s="7">
        <v>1</v>
      </c>
      <c r="F610" s="24" t="s">
        <v>1255</v>
      </c>
      <c r="G610" s="24"/>
      <c r="H610" s="10"/>
      <c r="I610" s="10"/>
      <c r="J610" s="7"/>
    </row>
    <row r="611" spans="1:10" hidden="1">
      <c r="A611" s="5">
        <v>609</v>
      </c>
      <c r="B611" t="str">
        <f>LEFT(Table3[[#This Row],[EPI_DGN_ANTIC]],1)</f>
        <v>Z</v>
      </c>
      <c r="C611" t="str">
        <f>LEFT(Table3[[#This Row],[EPI_DGN_ANTIC]],3)</f>
        <v>ZOq</v>
      </c>
      <c r="D611" s="8" t="s">
        <v>1256</v>
      </c>
      <c r="E611" s="7">
        <v>0</v>
      </c>
      <c r="F611" s="24"/>
      <c r="G611" s="24"/>
      <c r="H611" s="10"/>
      <c r="I611" s="10"/>
      <c r="J611" s="7"/>
    </row>
    <row r="612" spans="1:10" hidden="1">
      <c r="A612" s="5">
        <v>610</v>
      </c>
      <c r="B612" t="str">
        <f>LEFT(Table3[[#This Row],[EPI_DGN_ANTIC]],1)</f>
        <v>Z</v>
      </c>
      <c r="C612" t="str">
        <f>LEFT(Table3[[#This Row],[EPI_DGN_ANTIC]],3)</f>
        <v>Zd</v>
      </c>
      <c r="D612" s="8" t="s">
        <v>1257</v>
      </c>
      <c r="E612" s="7">
        <v>0</v>
      </c>
      <c r="F612" s="24"/>
      <c r="G612" s="24"/>
      <c r="H612" s="10"/>
      <c r="I612" s="10"/>
      <c r="J612" s="7"/>
    </row>
    <row r="613" spans="1:10" hidden="1">
      <c r="A613" s="5">
        <v>611</v>
      </c>
      <c r="B613" t="str">
        <f>LEFT(Table3[[#This Row],[EPI_DGN_ANTIC]],1)</f>
        <v>Z</v>
      </c>
      <c r="C613" t="str">
        <f>LEFT(Table3[[#This Row],[EPI_DGN_ANTIC]],3)</f>
        <v>Zg</v>
      </c>
      <c r="D613" s="8" t="s">
        <v>1258</v>
      </c>
      <c r="E613" s="7">
        <v>0</v>
      </c>
      <c r="F613" s="24"/>
      <c r="G613" s="24"/>
      <c r="H613" s="10"/>
      <c r="I613" s="10"/>
      <c r="J613" s="7"/>
    </row>
    <row r="614" spans="1:10" hidden="1">
      <c r="A614" s="5">
        <v>612</v>
      </c>
      <c r="B614" t="str">
        <f>LEFT(Table3[[#This Row],[EPI_DGN_ANTIC]],1)</f>
        <v>C</v>
      </c>
      <c r="C614" t="str">
        <f>LEFT(Table3[[#This Row],[EPI_DGN_ANTIC]],3)</f>
        <v>Cac</v>
      </c>
      <c r="D614" s="8" t="s">
        <v>1259</v>
      </c>
      <c r="E614" s="7">
        <v>0</v>
      </c>
      <c r="F614" s="24"/>
      <c r="G614" s="24"/>
      <c r="H614" s="10"/>
      <c r="I614" s="10"/>
      <c r="J614" s="7"/>
    </row>
    <row r="615" spans="1:10" hidden="1">
      <c r="A615" s="5">
        <v>613</v>
      </c>
      <c r="B615" t="str">
        <f>LEFT(Table3[[#This Row],[EPI_DGN_ANTIC]],1)</f>
        <v>C</v>
      </c>
      <c r="C615" t="str">
        <f>LEFT(Table3[[#This Row],[EPI_DGN_ANTIC]],3)</f>
        <v>Cac</v>
      </c>
      <c r="D615" s="8" t="s">
        <v>1260</v>
      </c>
      <c r="E615" s="7">
        <v>1</v>
      </c>
      <c r="F615" s="24" t="s">
        <v>1261</v>
      </c>
      <c r="G615" s="24"/>
      <c r="H615" s="10"/>
      <c r="I615" s="10"/>
      <c r="J615" s="7"/>
    </row>
    <row r="616" spans="1:10" hidden="1">
      <c r="A616" s="5">
        <v>614</v>
      </c>
      <c r="B616" t="str">
        <f>LEFT(Table3[[#This Row],[EPI_DGN_ANTIC]],1)</f>
        <v>C</v>
      </c>
      <c r="C616" t="str">
        <f>LEFT(Table3[[#This Row],[EPI_DGN_ANTIC]],3)</f>
        <v>CaP</v>
      </c>
      <c r="D616" s="8" t="s">
        <v>1262</v>
      </c>
      <c r="E616" s="7">
        <v>1</v>
      </c>
      <c r="F616" s="23" t="s">
        <v>1263</v>
      </c>
      <c r="G616" s="24"/>
      <c r="H616" s="10"/>
      <c r="I616" s="10"/>
      <c r="J616" s="7"/>
    </row>
    <row r="617" spans="1:10" hidden="1">
      <c r="A617" s="5">
        <v>615</v>
      </c>
      <c r="B617" t="str">
        <f>LEFT(Table3[[#This Row],[EPI_DGN_ANTIC]],1)</f>
        <v>C</v>
      </c>
      <c r="C617" t="str">
        <f>LEFT(Table3[[#This Row],[EPI_DGN_ANTIC]],3)</f>
        <v>CaP</v>
      </c>
      <c r="D617" s="8" t="s">
        <v>1264</v>
      </c>
      <c r="E617" s="7">
        <v>1</v>
      </c>
      <c r="F617" s="23" t="s">
        <v>1265</v>
      </c>
      <c r="G617" s="24"/>
      <c r="H617" s="10"/>
      <c r="I617" s="10"/>
      <c r="J617" s="7"/>
    </row>
    <row r="618" spans="1:10" hidden="1">
      <c r="A618" s="5">
        <v>616</v>
      </c>
      <c r="B618" t="str">
        <f>LEFT(Table3[[#This Row],[EPI_DGN_ANTIC]],1)</f>
        <v>C</v>
      </c>
      <c r="C618" t="str">
        <f>LEFT(Table3[[#This Row],[EPI_DGN_ANTIC]],2)</f>
        <v>Ca</v>
      </c>
      <c r="D618" s="8" t="s">
        <v>1266</v>
      </c>
      <c r="E618" s="7">
        <v>1</v>
      </c>
      <c r="F618" s="23" t="s">
        <v>1267</v>
      </c>
      <c r="G618" s="24"/>
      <c r="H618" s="10"/>
      <c r="I618" s="10"/>
      <c r="J618" s="7"/>
    </row>
    <row r="619" spans="1:10" hidden="1">
      <c r="A619" s="5">
        <v>617</v>
      </c>
      <c r="B619" t="str">
        <f>LEFT(Table3[[#This Row],[EPI_DGN_ANTIC]],1)</f>
        <v>C</v>
      </c>
      <c r="C619" t="str">
        <f>LEFT(Table3[[#This Row],[EPI_DGN_ANTIC]],3)</f>
        <v>CaP</v>
      </c>
      <c r="D619" s="8" t="s">
        <v>1268</v>
      </c>
      <c r="E619" s="7">
        <v>0</v>
      </c>
      <c r="F619" s="23"/>
      <c r="G619" s="24"/>
      <c r="H619" s="10"/>
      <c r="I619" s="10"/>
      <c r="J619" s="7"/>
    </row>
    <row r="620" spans="1:10" hidden="1">
      <c r="A620" s="5">
        <v>618</v>
      </c>
      <c r="B620" t="str">
        <f>LEFT(Table3[[#This Row],[EPI_DGN_ANTIC]],1)</f>
        <v>C</v>
      </c>
      <c r="C620" t="str">
        <f>LEFT(Table3[[#This Row],[EPI_DGN_ANTIC]],3)</f>
        <v>CAb</v>
      </c>
      <c r="D620" s="8" t="s">
        <v>1269</v>
      </c>
      <c r="E620" s="7">
        <v>0</v>
      </c>
      <c r="F620" s="23"/>
      <c r="G620" s="24"/>
      <c r="H620" s="10"/>
      <c r="I620" s="10"/>
      <c r="J620" s="7"/>
    </row>
    <row r="621" spans="1:10" hidden="1">
      <c r="A621" s="5">
        <v>619</v>
      </c>
      <c r="B621" t="str">
        <f>LEFT(Table3[[#This Row],[EPI_DGN_ANTIC]],1)</f>
        <v>C</v>
      </c>
      <c r="C621" t="str">
        <f>LEFT(Table3[[#This Row],[EPI_DGN_ANTIC]],3)</f>
        <v>CAc</v>
      </c>
      <c r="D621" s="8" t="s">
        <v>1270</v>
      </c>
      <c r="E621" s="7">
        <v>0</v>
      </c>
      <c r="F621" s="24"/>
      <c r="G621" s="23"/>
      <c r="H621" s="10"/>
      <c r="I621" s="10"/>
      <c r="J621" s="7"/>
    </row>
    <row r="622" spans="1:10" hidden="1">
      <c r="A622" s="5">
        <v>620</v>
      </c>
      <c r="B622" t="str">
        <f>LEFT(Table3[[#This Row],[EPI_DGN_ANTIC]],1)</f>
        <v>C</v>
      </c>
      <c r="C622" t="str">
        <f>LEFT(Table3[[#This Row],[EPI_DGN_ANTIC]],3)</f>
        <v>CAl</v>
      </c>
      <c r="D622" s="8" t="s">
        <v>658</v>
      </c>
      <c r="E622" s="7">
        <v>1</v>
      </c>
      <c r="F622" s="24" t="s">
        <v>1271</v>
      </c>
      <c r="G622" s="24"/>
      <c r="H622" s="10"/>
      <c r="I622" s="10"/>
      <c r="J622" s="7"/>
    </row>
    <row r="623" spans="1:10" hidden="1">
      <c r="A623" s="5">
        <v>621</v>
      </c>
      <c r="B623" t="str">
        <f>LEFT(Table3[[#This Row],[EPI_DGN_ANTIC]],1)</f>
        <v>C</v>
      </c>
      <c r="C623" t="str">
        <f>LEFT(Table3[[#This Row],[EPI_DGN_ANTIC]],3)</f>
        <v>CAm</v>
      </c>
      <c r="D623" s="8" t="s">
        <v>1272</v>
      </c>
      <c r="E623" s="7">
        <v>0</v>
      </c>
      <c r="F623" s="24"/>
      <c r="G623" s="24"/>
      <c r="H623" s="10"/>
      <c r="I623" s="10"/>
      <c r="J623" s="7"/>
    </row>
    <row r="624" spans="1:10" hidden="1">
      <c r="A624" s="5">
        <v>622</v>
      </c>
      <c r="B624" t="str">
        <f>LEFT(Table3[[#This Row],[EPI_DGN_ANTIC]],1)</f>
        <v>C</v>
      </c>
      <c r="C624" t="str">
        <f>LEFT(Table3[[#This Row],[EPI_DGN_ANTIC]],3)</f>
        <v>CAg</v>
      </c>
      <c r="D624" s="8" t="s">
        <v>656</v>
      </c>
      <c r="E624" s="7">
        <v>1</v>
      </c>
      <c r="F624" s="24" t="s">
        <v>1273</v>
      </c>
      <c r="G624" s="24"/>
      <c r="H624" s="10"/>
      <c r="I624" s="10"/>
      <c r="J624" s="7"/>
    </row>
    <row r="625" spans="1:10" hidden="1">
      <c r="A625" s="5">
        <v>623</v>
      </c>
      <c r="B625" t="str">
        <f>LEFT(Table3[[#This Row],[EPI_DGN_ANTIC]],1)</f>
        <v>C</v>
      </c>
      <c r="C625" t="str">
        <f>LEFT(Table3[[#This Row],[EPI_DGN_ANTIC]],2)</f>
        <v>C</v>
      </c>
      <c r="D625" s="8" t="s">
        <v>229</v>
      </c>
      <c r="E625" s="7">
        <v>1</v>
      </c>
      <c r="F625" s="24" t="s">
        <v>1274</v>
      </c>
      <c r="G625" s="24"/>
      <c r="H625" s="10"/>
      <c r="I625" s="10"/>
      <c r="J625" s="7"/>
    </row>
    <row r="626" spans="1:10" hidden="1">
      <c r="A626" s="5">
        <v>624</v>
      </c>
      <c r="B626" t="str">
        <f>LEFT(Table3[[#This Row],[EPI_DGN_ANTIC]],1)</f>
        <v>D</v>
      </c>
      <c r="C626" t="str">
        <f>LEFT(Table3[[#This Row],[EPI_DGN_ANTIC]],2)</f>
        <v>D1</v>
      </c>
      <c r="D626" s="8" t="s">
        <v>1275</v>
      </c>
      <c r="E626" s="7">
        <v>0</v>
      </c>
      <c r="F626" s="24"/>
      <c r="G626" s="24"/>
      <c r="H626" s="10"/>
      <c r="I626" s="10"/>
      <c r="J626" s="7"/>
    </row>
    <row r="627" spans="1:10" hidden="1">
      <c r="A627" s="5">
        <v>625</v>
      </c>
      <c r="B627" t="str">
        <f>LEFT(Table3[[#This Row],[EPI_DGN_ANTIC]],1)</f>
        <v>E</v>
      </c>
      <c r="C627" t="str">
        <f>LEFT(Table3[[#This Row],[EPI_DGN_ANTIC]],3)</f>
        <v>EBv</v>
      </c>
      <c r="D627" s="8" t="s">
        <v>1276</v>
      </c>
      <c r="E627" s="7">
        <v>0</v>
      </c>
      <c r="F627" s="24"/>
      <c r="G627" s="24"/>
      <c r="H627" s="10"/>
      <c r="I627" s="10"/>
      <c r="J627" s="7"/>
    </row>
    <row r="628" spans="1:10" hidden="1">
      <c r="A628" s="5">
        <v>626</v>
      </c>
      <c r="B628" t="str">
        <f>LEFT(Table3[[#This Row],[EPI_DGN_ANTIC]],1)</f>
        <v>e</v>
      </c>
      <c r="C628" t="str">
        <f>LEFT(Table3[[#This Row],[EPI_DGN_ANTIC]],3)</f>
        <v>es</v>
      </c>
      <c r="D628" s="8" t="s">
        <v>1277</v>
      </c>
      <c r="E628" s="7">
        <v>1</v>
      </c>
      <c r="F628" s="24" t="s">
        <v>1278</v>
      </c>
      <c r="G628" s="24"/>
      <c r="H628" s="10"/>
      <c r="I628" s="10"/>
      <c r="J628" s="7"/>
    </row>
    <row r="629" spans="1:10" hidden="1">
      <c r="A629" s="5">
        <v>627</v>
      </c>
      <c r="B629" t="str">
        <f>LEFT(Table3[[#This Row],[EPI_DGN_ANTIC]],1)</f>
        <v>e</v>
      </c>
      <c r="C629" t="str">
        <f>LEFT(Table3[[#This Row],[EPI_DGN_ANTIC]],2)</f>
        <v>e</v>
      </c>
      <c r="D629" s="8" t="s">
        <v>1279</v>
      </c>
      <c r="E629" s="7">
        <v>0</v>
      </c>
      <c r="F629" s="24"/>
      <c r="G629" s="24"/>
      <c r="H629" s="10"/>
      <c r="I629" s="10"/>
      <c r="J629" s="7"/>
    </row>
    <row r="630" spans="1:10" hidden="1">
      <c r="A630" s="5">
        <v>628</v>
      </c>
      <c r="B630" t="str">
        <f>LEFT(Table3[[#This Row],[EPI_DGN_ANTIC]],1)</f>
        <v>f</v>
      </c>
      <c r="C630" t="str">
        <f>LEFT(Table3[[#This Row],[EPI_DGN_ANTIC]],2)</f>
        <v>fh</v>
      </c>
      <c r="D630" s="8" t="s">
        <v>1280</v>
      </c>
      <c r="E630" s="7">
        <v>0</v>
      </c>
      <c r="F630" s="24"/>
      <c r="G630" s="24"/>
      <c r="H630" s="10"/>
      <c r="I630" s="10"/>
      <c r="J630" s="7"/>
    </row>
    <row r="631" spans="1:10" hidden="1">
      <c r="A631" s="5">
        <v>629</v>
      </c>
      <c r="B631" t="str">
        <f>LEFT(Table3[[#This Row],[EPI_DGN_ANTIC]],1)</f>
        <v>f</v>
      </c>
      <c r="C631" t="str">
        <f>LEFT(Table3[[#This Row],[EPI_DGN_ANTIC]],2)</f>
        <v>fq</v>
      </c>
      <c r="D631" s="8" t="s">
        <v>841</v>
      </c>
      <c r="E631" s="7">
        <v>1</v>
      </c>
      <c r="F631" s="24" t="s">
        <v>802</v>
      </c>
      <c r="G631" s="24"/>
      <c r="H631" s="10"/>
      <c r="I631" s="10"/>
      <c r="J631" s="7"/>
    </row>
    <row r="632" spans="1:10" hidden="1">
      <c r="A632" s="5">
        <v>630</v>
      </c>
      <c r="B632" t="str">
        <f>LEFT(Table3[[#This Row],[EPI_DGN_ANTIC]],1)</f>
        <v>K</v>
      </c>
      <c r="C632" t="str">
        <f>LEFT(Table3[[#This Row],[EPI_DGN_ANTIC]],2)</f>
        <v>KC</v>
      </c>
      <c r="D632" s="8" t="s">
        <v>147</v>
      </c>
      <c r="E632" s="7">
        <v>1</v>
      </c>
      <c r="F632" s="24" t="s">
        <v>1281</v>
      </c>
      <c r="G632" s="24"/>
      <c r="H632" s="10"/>
      <c r="I632" s="10"/>
      <c r="J632" s="7"/>
    </row>
    <row r="633" spans="1:10" hidden="1">
      <c r="A633" s="5">
        <v>631</v>
      </c>
      <c r="B633" t="str">
        <f>LEFT(Table3[[#This Row],[EPI_DGN_ANTIC]],1)</f>
        <v>K</v>
      </c>
      <c r="C633" t="str">
        <f>LEFT(Table3[[#This Row],[EPI_DGN_ANTIC]],3)</f>
        <v>KCo</v>
      </c>
      <c r="D633" s="8" t="s">
        <v>1282</v>
      </c>
      <c r="E633" s="7">
        <v>0</v>
      </c>
      <c r="F633" s="24"/>
      <c r="G633" s="24"/>
      <c r="H633" s="10"/>
      <c r="I633" s="10"/>
      <c r="J633" s="7"/>
    </row>
    <row r="634" spans="1:10" hidden="1">
      <c r="A634" s="5">
        <v>632</v>
      </c>
      <c r="B634" t="str">
        <f>LEFT(Table3[[#This Row],[EPI_DGN_ANTIC]],1)</f>
        <v>K</v>
      </c>
      <c r="C634" t="str">
        <f>LEFT(Table3[[#This Row],[EPI_DGN_ANTIC]],3)</f>
        <v>KCT</v>
      </c>
      <c r="D634" s="8" t="s">
        <v>1283</v>
      </c>
      <c r="E634" s="7">
        <v>0</v>
      </c>
      <c r="F634" s="24"/>
      <c r="G634" s="24"/>
      <c r="H634" s="10"/>
      <c r="I634" s="10"/>
      <c r="J634" s="7"/>
    </row>
    <row r="635" spans="1:10" hidden="1">
      <c r="A635" s="5">
        <v>633</v>
      </c>
      <c r="B635" t="str">
        <f>LEFT(Table3[[#This Row],[EPI_DGN_ANTIC]],1)</f>
        <v>K</v>
      </c>
      <c r="C635" t="str">
        <f>LEFT(Table3[[#This Row],[EPI_DGN_ANTIC]],2)</f>
        <v>Kl</v>
      </c>
      <c r="D635" s="8" t="s">
        <v>1284</v>
      </c>
      <c r="E635" s="7">
        <v>0</v>
      </c>
      <c r="F635" s="24"/>
      <c r="G635" s="24"/>
      <c r="H635" s="10"/>
      <c r="I635" s="10"/>
      <c r="J635" s="7"/>
    </row>
    <row r="636" spans="1:10" hidden="1">
      <c r="A636" s="5">
        <v>634</v>
      </c>
      <c r="B636" t="str">
        <f>LEFT(Table3[[#This Row],[EPI_DGN_ANTIC]],1)</f>
        <v>C</v>
      </c>
      <c r="C636" t="str">
        <f>LEFT(Table3[[#This Row],[EPI_DGN_ANTIC]],3)</f>
        <v>CaM</v>
      </c>
      <c r="D636" s="8" t="s">
        <v>1285</v>
      </c>
      <c r="E636" s="7">
        <v>1</v>
      </c>
      <c r="F636" s="24" t="s">
        <v>1286</v>
      </c>
      <c r="G636" s="24"/>
      <c r="H636" s="10"/>
      <c r="I636" s="10"/>
      <c r="J636" s="7"/>
    </row>
    <row r="637" spans="1:10" hidden="1">
      <c r="A637" s="5">
        <v>635</v>
      </c>
      <c r="B637" t="str">
        <f>LEFT(Table3[[#This Row],[EPI_DGN_ANTIC]],1)</f>
        <v>Z</v>
      </c>
      <c r="C637" t="str">
        <f>LEFT(Table3[[#This Row],[EPI_DGN_ANTIC]],3)</f>
        <v>Zcb</v>
      </c>
      <c r="D637" s="8" t="s">
        <v>1287</v>
      </c>
      <c r="E637" s="7">
        <v>1</v>
      </c>
      <c r="F637" s="24" t="s">
        <v>1288</v>
      </c>
      <c r="G637" s="24"/>
      <c r="H637" s="10"/>
      <c r="I637" s="10"/>
      <c r="J637" s="7"/>
    </row>
    <row r="638" spans="1:10" hidden="1">
      <c r="A638" s="5">
        <v>636</v>
      </c>
      <c r="B638" t="str">
        <f>LEFT(Table3[[#This Row],[EPI_DGN_ANTIC]],1)</f>
        <v>C</v>
      </c>
      <c r="C638" t="str">
        <f>LEFT(Table3[[#This Row],[EPI_DGN_ANTIC]],2)</f>
        <v>CS</v>
      </c>
      <c r="D638" s="8" t="s">
        <v>1289</v>
      </c>
      <c r="E638" s="7">
        <v>0</v>
      </c>
      <c r="F638" s="24">
        <v>1</v>
      </c>
      <c r="G638" s="24"/>
      <c r="H638" s="10"/>
      <c r="I638" s="10"/>
      <c r="J638" s="7"/>
    </row>
    <row r="639" spans="1:10" hidden="1">
      <c r="A639" s="5">
        <v>637</v>
      </c>
      <c r="B639" t="str">
        <f>LEFT(Table3[[#This Row],[EPI_DGN_ANTIC]],1)</f>
        <v>C</v>
      </c>
      <c r="C639" s="8" t="str">
        <f>LEFT(Table3[[#This Row],[EPI_DGN_ANTIC]],2)</f>
        <v>CS</v>
      </c>
      <c r="D639" s="8" t="s">
        <v>1290</v>
      </c>
      <c r="E639" s="7">
        <v>1</v>
      </c>
      <c r="F639" s="24" t="s">
        <v>1291</v>
      </c>
      <c r="G639" s="24"/>
      <c r="H639" s="10"/>
      <c r="I639" s="10"/>
      <c r="J639" s="7"/>
    </row>
    <row r="640" spans="1:10" hidden="1">
      <c r="A640" s="5">
        <v>638</v>
      </c>
      <c r="B640" t="str">
        <f>LEFT(Table3[[#This Row],[EPI_DGN_ANTIC]],1)</f>
        <v>C</v>
      </c>
      <c r="C640" s="8" t="str">
        <f>LEFT(Table3[[#This Row],[EPI_DGN_ANTIC]],2)</f>
        <v>CS</v>
      </c>
      <c r="D640" s="8" t="s">
        <v>1292</v>
      </c>
      <c r="E640" s="7">
        <v>1</v>
      </c>
      <c r="F640" s="24" t="s">
        <v>1062</v>
      </c>
      <c r="G640" s="24"/>
      <c r="H640" s="10"/>
      <c r="I640" s="10"/>
      <c r="J640" s="7"/>
    </row>
    <row r="641" spans="1:10" hidden="1">
      <c r="A641" s="5">
        <v>639</v>
      </c>
      <c r="B641" t="str">
        <f>LEFT(Table3[[#This Row],[EPI_DGN_ANTIC]],1)</f>
        <v>C</v>
      </c>
      <c r="C641" s="8" t="str">
        <f>LEFT(Table3[[#This Row],[EPI_DGN_ANTIC]],2)</f>
        <v>CS</v>
      </c>
      <c r="D641" s="8" t="s">
        <v>1293</v>
      </c>
      <c r="E641" s="7">
        <v>1</v>
      </c>
      <c r="F641" s="24" t="s">
        <v>1065</v>
      </c>
      <c r="G641" s="24"/>
      <c r="H641" s="10"/>
      <c r="I641" s="10"/>
      <c r="J641" s="7"/>
    </row>
    <row r="642" spans="1:10" hidden="1">
      <c r="A642" s="5">
        <v>640</v>
      </c>
      <c r="B642" t="str">
        <f>LEFT(Table3[[#This Row],[EPI_DGN_ANTIC]],1)</f>
        <v>C</v>
      </c>
      <c r="C642" s="8" t="str">
        <f>LEFT(Table3[[#This Row],[EPI_DGN_ANTIC]],2)</f>
        <v>CS</v>
      </c>
      <c r="D642" s="8" t="s">
        <v>1294</v>
      </c>
      <c r="E642" s="7">
        <v>1</v>
      </c>
      <c r="F642" s="24" t="s">
        <v>1068</v>
      </c>
      <c r="G642" s="24"/>
      <c r="H642" s="10"/>
      <c r="I642" s="10"/>
      <c r="J642" s="7"/>
    </row>
    <row r="643" spans="1:10" hidden="1">
      <c r="A643" s="5">
        <v>641</v>
      </c>
      <c r="B643" t="str">
        <f>LEFT(Table3[[#This Row],[EPI_DGN_ANTIC]],1)</f>
        <v>C</v>
      </c>
      <c r="C643" t="str">
        <f>LEFT(Table3[[#This Row],[EPI_DGN_ANTIC]],2)</f>
        <v>CS</v>
      </c>
      <c r="D643" s="8" t="s">
        <v>1295</v>
      </c>
      <c r="E643" s="7">
        <v>1</v>
      </c>
      <c r="F643" s="24" t="s">
        <v>1068</v>
      </c>
      <c r="G643" s="24"/>
      <c r="H643" s="10"/>
      <c r="I643" s="10"/>
      <c r="J643" s="7"/>
    </row>
    <row r="644" spans="1:10" hidden="1">
      <c r="A644" s="5">
        <v>642</v>
      </c>
      <c r="B644" t="str">
        <f>LEFT(Table3[[#This Row],[EPI_DGN_ANTIC]],1)</f>
        <v>C</v>
      </c>
      <c r="C644" t="str">
        <f>LEFT(Table3[[#This Row],[EPI_DGN_ANTIC]],2)</f>
        <v>CS</v>
      </c>
      <c r="D644" s="8" t="s">
        <v>1296</v>
      </c>
      <c r="E644" s="7">
        <v>1</v>
      </c>
      <c r="F644" s="24" t="s">
        <v>1068</v>
      </c>
      <c r="G644" s="24"/>
      <c r="H644" s="10"/>
      <c r="I644" s="10"/>
      <c r="J644" s="7"/>
    </row>
    <row r="645" spans="1:10" hidden="1">
      <c r="A645" s="5">
        <v>643</v>
      </c>
      <c r="B645" t="str">
        <f>LEFT(Table3[[#This Row],[EPI_DGN_ANTIC]],1)</f>
        <v>C</v>
      </c>
      <c r="C645" s="10" t="str">
        <f>LEFT(Table3[[#This Row],[EPI_DGN_ANTIC]],2)</f>
        <v>CS</v>
      </c>
      <c r="D645" s="8" t="s">
        <v>1297</v>
      </c>
      <c r="E645" s="7">
        <v>1</v>
      </c>
      <c r="F645" s="24" t="s">
        <v>1073</v>
      </c>
      <c r="G645" s="24"/>
      <c r="H645" s="10"/>
      <c r="I645" s="10"/>
      <c r="J645" s="7"/>
    </row>
    <row r="646" spans="1:10" hidden="1">
      <c r="A646" s="5">
        <v>644</v>
      </c>
      <c r="B646" t="str">
        <f>LEFT(Table3[[#This Row],[EPI_DGN_ANTIC]],1)</f>
        <v>C</v>
      </c>
      <c r="C646" s="10" t="str">
        <f>LEFT(Table3[[#This Row],[EPI_DGN_ANTIC]],2)</f>
        <v>CS</v>
      </c>
      <c r="D646" s="8" t="s">
        <v>1298</v>
      </c>
      <c r="E646" s="7">
        <v>1</v>
      </c>
      <c r="F646" s="24" t="s">
        <v>1076</v>
      </c>
      <c r="G646" s="24"/>
      <c r="H646" s="10"/>
      <c r="I646" s="10"/>
      <c r="J646" s="7"/>
    </row>
    <row r="647" spans="1:10" hidden="1">
      <c r="A647" s="5">
        <v>645</v>
      </c>
      <c r="B647" t="str">
        <f>LEFT(Table3[[#This Row],[EPI_DGN_ANTIC]],1)</f>
        <v>C</v>
      </c>
      <c r="C647" s="10" t="str">
        <f>LEFT(Table3[[#This Row],[EPI_DGN_ANTIC]],2)</f>
        <v>CS</v>
      </c>
      <c r="D647" s="8" t="s">
        <v>1299</v>
      </c>
      <c r="E647" s="7">
        <v>1</v>
      </c>
      <c r="F647" s="24" t="s">
        <v>1300</v>
      </c>
      <c r="G647" s="24"/>
      <c r="H647" s="10"/>
      <c r="I647" s="10"/>
      <c r="J647" s="7"/>
    </row>
    <row r="648" spans="1:10" hidden="1">
      <c r="A648" s="5">
        <v>646</v>
      </c>
      <c r="B648" t="str">
        <f>LEFT(Table3[[#This Row],[EPI_DGN_ANTIC]],1)</f>
        <v>C</v>
      </c>
      <c r="C648" s="10" t="str">
        <f>LEFT(Table3[[#This Row],[EPI_DGN_ANTIC]],2)</f>
        <v>CS</v>
      </c>
      <c r="D648" s="8" t="s">
        <v>1301</v>
      </c>
      <c r="E648" s="7">
        <v>1</v>
      </c>
      <c r="F648" s="24" t="s">
        <v>1249</v>
      </c>
      <c r="G648" s="24"/>
      <c r="H648" s="10"/>
      <c r="I648" s="10"/>
      <c r="J648" s="7"/>
    </row>
    <row r="649" spans="1:10" hidden="1">
      <c r="A649" s="5">
        <v>647</v>
      </c>
      <c r="B649" t="str">
        <f>LEFT(Table3[[#This Row],[EPI_DGN_ANTIC]],1)</f>
        <v>c</v>
      </c>
      <c r="C649" s="10" t="str">
        <f>LEFT(Table3[[#This Row],[EPI_DGN_ANTIC]],2)</f>
        <v>cf</v>
      </c>
      <c r="D649" s="8" t="s">
        <v>1302</v>
      </c>
      <c r="E649" s="7">
        <v>0</v>
      </c>
      <c r="F649" s="24"/>
      <c r="G649" s="24"/>
      <c r="H649" s="10"/>
      <c r="I649" s="10"/>
      <c r="J649" s="7"/>
    </row>
    <row r="650" spans="1:10" hidden="1">
      <c r="A650" s="5">
        <v>648</v>
      </c>
      <c r="B650" t="str">
        <f>LEFT(Table3[[#This Row],[EPI_DGN_ANTIC]],1)</f>
        <v>c</v>
      </c>
      <c r="C650" s="10" t="str">
        <f>LEFT(Table3[[#This Row],[EPI_DGN_ANTIC]],2)</f>
        <v>cf</v>
      </c>
      <c r="D650" s="8" t="s">
        <v>1302</v>
      </c>
      <c r="E650" s="7">
        <v>1</v>
      </c>
      <c r="F650" s="24" t="s">
        <v>1303</v>
      </c>
      <c r="G650" s="24"/>
      <c r="H650" s="10"/>
      <c r="I650" s="10"/>
      <c r="J650" s="7"/>
    </row>
    <row r="651" spans="1:10" hidden="1">
      <c r="A651" s="5">
        <v>649</v>
      </c>
      <c r="B651" t="str">
        <f>LEFT(Table3[[#This Row],[EPI_DGN_ANTIC]],1)</f>
        <v>C</v>
      </c>
      <c r="C651" s="10" t="str">
        <f>LEFT(Table3[[#This Row],[EPI_DGN_ANTIC]],2)</f>
        <v>CI</v>
      </c>
      <c r="D651" s="8" t="s">
        <v>1304</v>
      </c>
      <c r="E651" s="7">
        <v>1</v>
      </c>
      <c r="F651" s="24" t="s">
        <v>1305</v>
      </c>
      <c r="G651" s="24"/>
      <c r="H651" s="10"/>
      <c r="I651" s="10"/>
      <c r="J651" s="7"/>
    </row>
    <row r="652" spans="1:10" hidden="1">
      <c r="A652" s="5">
        <v>650</v>
      </c>
      <c r="B652" t="str">
        <f>LEFT(Table3[[#This Row],[EPI_DGN_ANTIC]],1)</f>
        <v>C</v>
      </c>
      <c r="C652" s="10" t="str">
        <f>LEFT(Table3[[#This Row],[EPI_DGN_ANTIC]],2)</f>
        <v>CS</v>
      </c>
      <c r="D652" s="8" t="s">
        <v>1306</v>
      </c>
      <c r="E652" s="7">
        <v>1</v>
      </c>
      <c r="F652" s="24" t="s">
        <v>1307</v>
      </c>
      <c r="G652" s="24"/>
      <c r="H652" s="10"/>
      <c r="I652" s="10"/>
      <c r="J652" s="7"/>
    </row>
    <row r="653" spans="1:10" hidden="1">
      <c r="A653" s="5">
        <v>651</v>
      </c>
      <c r="B653" t="str">
        <f>LEFT(Table3[[#This Row],[EPI_DGN_ANTIC]],1)</f>
        <v>C</v>
      </c>
      <c r="C653" s="8" t="str">
        <f>LEFT(Table3[[#This Row],[EPI_DGN_ANTIC]],2)</f>
        <v>CI</v>
      </c>
      <c r="D653" s="8" t="s">
        <v>1308</v>
      </c>
      <c r="E653" s="7">
        <v>1</v>
      </c>
      <c r="F653" s="24" t="s">
        <v>2852</v>
      </c>
      <c r="G653" s="24"/>
      <c r="H653" s="10"/>
      <c r="I653" s="10"/>
      <c r="J653" s="7"/>
    </row>
    <row r="654" spans="1:10" hidden="1">
      <c r="A654" s="5">
        <v>652</v>
      </c>
      <c r="B654" t="str">
        <f>LEFT(Table3[[#This Row],[EPI_DGN_ANTIC]],1)</f>
        <v>E</v>
      </c>
      <c r="C654" s="8" t="str">
        <f>LEFT(Table3[[#This Row],[EPI_DGN_ANTIC]],3)</f>
        <v>EBl</v>
      </c>
      <c r="D654" s="8" t="s">
        <v>1310</v>
      </c>
      <c r="E654" s="7">
        <v>1</v>
      </c>
      <c r="F654" s="24" t="s">
        <v>44</v>
      </c>
      <c r="G654" s="24"/>
      <c r="H654" s="10"/>
      <c r="I654" s="10"/>
      <c r="J654" s="7"/>
    </row>
    <row r="655" spans="1:10" hidden="1">
      <c r="A655" s="5">
        <v>653</v>
      </c>
      <c r="B655" t="str">
        <f>LEFT(Table3[[#This Row],[EPI_DGN_ANTIC]],1)</f>
        <v>E</v>
      </c>
      <c r="C655" s="8" t="str">
        <f>LEFT(Table3[[#This Row],[EPI_DGN_ANTIC]],3)</f>
        <v>EBl</v>
      </c>
      <c r="D655" s="8" t="s">
        <v>1311</v>
      </c>
      <c r="E655" s="7">
        <v>1</v>
      </c>
      <c r="F655" s="24" t="s">
        <v>1312</v>
      </c>
      <c r="G655" s="24"/>
      <c r="H655" s="10"/>
      <c r="I655" s="10"/>
      <c r="J655" s="7"/>
    </row>
    <row r="656" spans="1:10" hidden="1">
      <c r="A656" s="5">
        <v>654</v>
      </c>
      <c r="B656" t="str">
        <f>LEFT(Table3[[#This Row],[EPI_DGN_ANTIC]],1)</f>
        <v>E</v>
      </c>
      <c r="C656" s="10" t="str">
        <f>LEFT(Table3[[#This Row],[EPI_DGN_ANTIC]],3)</f>
        <v>EBl</v>
      </c>
      <c r="D656" s="8" t="s">
        <v>1313</v>
      </c>
      <c r="E656" s="7">
        <v>1</v>
      </c>
      <c r="F656" s="24" t="s">
        <v>1314</v>
      </c>
      <c r="G656" s="24"/>
      <c r="H656" s="10"/>
      <c r="I656" s="10"/>
      <c r="J656" s="7"/>
    </row>
    <row r="657" spans="1:10" hidden="1">
      <c r="A657" s="5">
        <v>655</v>
      </c>
      <c r="B657" t="str">
        <f>LEFT(Table3[[#This Row],[EPI_DGN_ANTIC]],1)</f>
        <v>E</v>
      </c>
      <c r="C657" s="10" t="str">
        <f>LEFT(Table3[[#This Row],[EPI_DGN_ANTIC]],3)</f>
        <v>EBm</v>
      </c>
      <c r="D657" s="8" t="s">
        <v>989</v>
      </c>
      <c r="E657" s="7">
        <v>1</v>
      </c>
      <c r="F657" s="24" t="s">
        <v>1315</v>
      </c>
      <c r="G657" s="24"/>
      <c r="H657" s="10"/>
      <c r="I657" s="10"/>
      <c r="J657" s="7"/>
    </row>
    <row r="658" spans="1:10" hidden="1">
      <c r="A658" s="5">
        <v>656</v>
      </c>
      <c r="B658" t="str">
        <f>LEFT(Table3[[#This Row],[EPI_DGN_ANTIC]],1)</f>
        <v>E</v>
      </c>
      <c r="C658" s="8" t="str">
        <f>LEFT(Table3[[#This Row],[EPI_DGN_ANTIC]],3)</f>
        <v>ELy</v>
      </c>
      <c r="D658" s="8" t="s">
        <v>1316</v>
      </c>
      <c r="E658" s="7">
        <v>1</v>
      </c>
      <c r="F658" s="24" t="s">
        <v>1317</v>
      </c>
      <c r="G658" s="24"/>
      <c r="H658" s="10"/>
      <c r="I658" s="10"/>
      <c r="J658" s="7"/>
    </row>
    <row r="659" spans="1:10" hidden="1">
      <c r="A659" s="5">
        <v>657</v>
      </c>
      <c r="B659" t="str">
        <f>LEFT(Table3[[#This Row],[EPI_DGN_ANTIC]],1)</f>
        <v>E</v>
      </c>
      <c r="C659" s="10" t="str">
        <f>LEFT(Table3[[#This Row],[EPI_DGN_ANTIC]],3)</f>
        <v>EPc</v>
      </c>
      <c r="D659" s="8" t="s">
        <v>1318</v>
      </c>
      <c r="E659" s="7">
        <v>1</v>
      </c>
      <c r="F659" s="24" t="s">
        <v>1319</v>
      </c>
      <c r="G659" s="24"/>
      <c r="H659" s="10"/>
      <c r="I659" s="10"/>
      <c r="J659" s="7"/>
    </row>
    <row r="660" spans="1:10" hidden="1">
      <c r="A660" s="5">
        <v>658</v>
      </c>
      <c r="B660" t="str">
        <f>LEFT(Table3[[#This Row],[EPI_DGN_ANTIC]],1)</f>
        <v>E</v>
      </c>
      <c r="C660" s="10" t="str">
        <f>LEFT(Table3[[#This Row],[EPI_DGN_ANTIC]],3)</f>
        <v>EPg</v>
      </c>
      <c r="D660" s="8" t="s">
        <v>1146</v>
      </c>
      <c r="E660" s="7">
        <v>1</v>
      </c>
      <c r="F660" s="24" t="s">
        <v>1320</v>
      </c>
      <c r="G660" s="24"/>
      <c r="H660" s="10"/>
      <c r="I660" s="10"/>
      <c r="J660" s="7"/>
    </row>
    <row r="661" spans="1:10" hidden="1">
      <c r="A661" s="5">
        <v>659</v>
      </c>
      <c r="B661" t="str">
        <f>LEFT(Table3[[#This Row],[EPI_DGN_ANTIC]],1)</f>
        <v>E</v>
      </c>
      <c r="C661" s="8" t="str">
        <f>LEFT(Table3[[#This Row],[EPI_DGN_ANTIC]],3)</f>
        <v>EPm</v>
      </c>
      <c r="D661" s="8" t="s">
        <v>1148</v>
      </c>
      <c r="E661" s="7">
        <v>1</v>
      </c>
      <c r="F661" s="24" t="s">
        <v>1321</v>
      </c>
      <c r="G661" s="24"/>
      <c r="H661" s="10"/>
      <c r="I661" s="10"/>
      <c r="J661" s="7"/>
    </row>
    <row r="662" spans="1:10" hidden="1">
      <c r="A662" s="5">
        <v>660</v>
      </c>
      <c r="B662" t="str">
        <f>LEFT(Table3[[#This Row],[EPI_DGN_ANTIC]],1)</f>
        <v>C</v>
      </c>
      <c r="C662" s="10" t="str">
        <f>LEFT(Table3[[#This Row],[EPI_DGN_ANTIC]],2)</f>
        <v>CS</v>
      </c>
      <c r="D662" s="8" t="s">
        <v>1322</v>
      </c>
      <c r="E662" s="7">
        <v>1</v>
      </c>
      <c r="F662" s="24" t="s">
        <v>1323</v>
      </c>
      <c r="G662" s="24"/>
      <c r="H662" s="10"/>
      <c r="I662" s="10"/>
      <c r="J662" s="7"/>
    </row>
    <row r="663" spans="1:10" hidden="1">
      <c r="A663" s="5">
        <v>661</v>
      </c>
      <c r="B663" t="str">
        <f>LEFT(Table3[[#This Row],[EPI_DGN_ANTIC]],1)</f>
        <v>C</v>
      </c>
      <c r="C663" s="10" t="str">
        <f>LEFT(Table3[[#This Row],[EPI_DGN_ANTIC]],2)</f>
        <v>CS</v>
      </c>
      <c r="D663" s="8" t="s">
        <v>1324</v>
      </c>
      <c r="E663" s="7">
        <v>1</v>
      </c>
      <c r="F663" s="24" t="s">
        <v>1325</v>
      </c>
      <c r="G663" s="24"/>
      <c r="H663" s="10"/>
      <c r="I663" s="10"/>
      <c r="J663" s="7"/>
    </row>
    <row r="664" spans="1:10" hidden="1">
      <c r="A664" s="5">
        <v>662</v>
      </c>
      <c r="B664" t="s">
        <v>292</v>
      </c>
      <c r="C664" s="10" t="s">
        <v>342</v>
      </c>
      <c r="D664" s="8" t="s">
        <v>1326</v>
      </c>
      <c r="E664" s="7">
        <v>1</v>
      </c>
      <c r="F664" s="24" t="s">
        <v>641</v>
      </c>
      <c r="G664" s="24"/>
      <c r="H664" s="10"/>
      <c r="I664" s="10"/>
      <c r="J664" s="7"/>
    </row>
    <row r="665" spans="1:10" hidden="1">
      <c r="A665" s="5">
        <v>663</v>
      </c>
      <c r="B665" t="str">
        <f>LEFT(Table3[[#This Row],[EPI_DGN_ANTIC]],1)</f>
        <v>G</v>
      </c>
      <c r="C665" s="10" t="str">
        <f>LEFT(Table3[[#This Row],[EPI_DGN_ANTIC]],2)</f>
        <v>Gg</v>
      </c>
      <c r="D665" s="8" t="s">
        <v>1327</v>
      </c>
      <c r="E665" s="7">
        <v>1</v>
      </c>
      <c r="F665" s="24" t="s">
        <v>1182</v>
      </c>
      <c r="G665" s="24"/>
      <c r="H665" s="10"/>
      <c r="I665" s="10"/>
      <c r="J665" s="7"/>
    </row>
    <row r="666" spans="1:10" hidden="1">
      <c r="A666" s="5">
        <v>664</v>
      </c>
      <c r="B666" t="str">
        <f>LEFT(Table3[[#This Row],[EPI_DGN_ANTIC]],1)</f>
        <v>2</v>
      </c>
      <c r="C666" s="8" t="str">
        <f>LEFT(Table3[[#This Row],[EPI_DGN_ANTIC]],2)</f>
        <v>2/</v>
      </c>
      <c r="D666" s="8" t="s">
        <v>1328</v>
      </c>
      <c r="E666" s="7">
        <v>0</v>
      </c>
      <c r="F666" s="24"/>
      <c r="G666" s="24"/>
      <c r="H666" s="10"/>
      <c r="I666" s="10"/>
      <c r="J666" s="7"/>
    </row>
    <row r="667" spans="1:10" hidden="1">
      <c r="A667" s="5">
        <v>665</v>
      </c>
      <c r="B667" t="str">
        <f>LEFT(Table3[[#This Row],[EPI_DGN_ANTIC]],1)</f>
        <v>5</v>
      </c>
      <c r="C667" s="10" t="str">
        <f>LEFT(Table3[[#This Row],[EPI_DGN_ANTIC]],2)</f>
        <v>5/</v>
      </c>
      <c r="D667" s="8" t="s">
        <v>1329</v>
      </c>
      <c r="E667" s="7">
        <v>0</v>
      </c>
      <c r="F667" s="24"/>
      <c r="G667" s="24"/>
      <c r="H667" s="10"/>
      <c r="I667" s="10"/>
      <c r="J667" s="7"/>
    </row>
    <row r="668" spans="1:10" hidden="1">
      <c r="A668" s="5">
        <v>666</v>
      </c>
      <c r="B668" t="str">
        <f>LEFT(Table3[[#This Row],[EPI_DGN_ANTIC]],1)</f>
        <v>9</v>
      </c>
      <c r="C668" s="10" t="str">
        <f>LEFT(Table3[[#This Row],[EPI_DGN_ANTIC]],2)</f>
        <v>9/</v>
      </c>
      <c r="D668" s="8" t="s">
        <v>1330</v>
      </c>
      <c r="E668" s="7">
        <v>0</v>
      </c>
      <c r="F668" s="24"/>
      <c r="G668" s="24"/>
      <c r="H668" s="10"/>
      <c r="I668" s="10"/>
      <c r="J668" s="7"/>
    </row>
    <row r="669" spans="1:10" hidden="1">
      <c r="A669" s="5">
        <v>667</v>
      </c>
      <c r="B669" t="str">
        <f>LEFT(Table3[[#This Row],[EPI_DGN_ANTIC]],1)</f>
        <v>1</v>
      </c>
      <c r="C669" s="10" t="str">
        <f>LEFT(Table3[[#This Row],[EPI_DGN_ANTIC]],2)</f>
        <v>11</v>
      </c>
      <c r="D669" s="8" t="s">
        <v>1331</v>
      </c>
      <c r="E669" s="7">
        <v>0</v>
      </c>
      <c r="F669" s="24"/>
      <c r="G669" s="24"/>
      <c r="H669" s="10"/>
      <c r="I669" s="10"/>
      <c r="J669" s="7"/>
    </row>
    <row r="670" spans="1:10" hidden="1">
      <c r="A670" s="5">
        <v>668</v>
      </c>
      <c r="B670" t="str">
        <f>LEFT(Table3[[#This Row],[EPI_DGN_ANTIC]],1)</f>
        <v>1</v>
      </c>
      <c r="C670" s="10" t="str">
        <f>LEFT(Table3[[#This Row],[EPI_DGN_ANTIC]],2)</f>
        <v>12</v>
      </c>
      <c r="D670" s="8" t="s">
        <v>1332</v>
      </c>
      <c r="E670" s="7">
        <v>0</v>
      </c>
      <c r="F670" s="24"/>
      <c r="G670" s="24"/>
      <c r="H670" s="10"/>
      <c r="I670" s="10"/>
      <c r="J670" s="7"/>
    </row>
    <row r="671" spans="1:10" hidden="1">
      <c r="A671" s="5">
        <v>669</v>
      </c>
      <c r="B671" t="str">
        <f>LEFT(Table3[[#This Row],[EPI_DGN_ANTIC]],1)</f>
        <v>1</v>
      </c>
      <c r="C671" s="8" t="str">
        <f>LEFT(Table3[[#This Row],[EPI_DGN_ANTIC]],2)</f>
        <v>19</v>
      </c>
      <c r="D671" s="8" t="s">
        <v>1333</v>
      </c>
      <c r="E671" s="7">
        <v>0</v>
      </c>
      <c r="F671" s="24"/>
      <c r="G671" s="24"/>
      <c r="H671" s="10"/>
      <c r="I671" s="10"/>
      <c r="J671" s="7"/>
    </row>
    <row r="672" spans="1:10" hidden="1">
      <c r="A672" s="5">
        <v>670</v>
      </c>
      <c r="B672" t="str">
        <f>LEFT(Table3[[#This Row],[EPI_DGN_ANTIC]],1)</f>
        <v>2</v>
      </c>
      <c r="C672" s="8" t="str">
        <f>LEFT(Table3[[#This Row],[EPI_DGN_ANTIC]],2)</f>
        <v>23</v>
      </c>
      <c r="D672" s="8" t="s">
        <v>1334</v>
      </c>
      <c r="E672" s="7">
        <v>0</v>
      </c>
      <c r="F672" s="24"/>
      <c r="G672" s="24"/>
      <c r="H672" s="10"/>
      <c r="I672" s="10"/>
      <c r="J672" s="7"/>
    </row>
    <row r="673" spans="1:10" hidden="1">
      <c r="A673" s="5">
        <v>671</v>
      </c>
      <c r="B673" t="str">
        <f>LEFT(Table3[[#This Row],[EPI_DGN_ANTIC]],1)</f>
        <v>2</v>
      </c>
      <c r="C673" s="8" t="str">
        <f>LEFT(Table3[[#This Row],[EPI_DGN_ANTIC]],2)</f>
        <v>24</v>
      </c>
      <c r="D673" s="8" t="s">
        <v>1335</v>
      </c>
      <c r="E673" s="7">
        <v>0</v>
      </c>
      <c r="F673" s="24"/>
      <c r="G673" s="24"/>
      <c r="H673" s="10"/>
      <c r="I673" s="10"/>
      <c r="J673" s="7"/>
    </row>
    <row r="674" spans="1:10" hidden="1">
      <c r="A674" s="5">
        <v>672</v>
      </c>
      <c r="B674" t="str">
        <f>LEFT(Table3[[#This Row],[EPI_DGN_ANTIC]],1)</f>
        <v>2</v>
      </c>
      <c r="C674" s="10" t="str">
        <f>LEFT(Table3[[#This Row],[EPI_DGN_ANTIC]],2)</f>
        <v>25</v>
      </c>
      <c r="D674" s="8" t="s">
        <v>1336</v>
      </c>
      <c r="E674" s="7">
        <v>0</v>
      </c>
      <c r="F674" s="24"/>
      <c r="G674" s="24"/>
      <c r="H674" s="10"/>
      <c r="I674" s="10"/>
      <c r="J674" s="7"/>
    </row>
    <row r="675" spans="1:10" hidden="1">
      <c r="A675" s="5">
        <v>673</v>
      </c>
      <c r="B675" t="str">
        <f>LEFT(Table3[[#This Row],[EPI_DGN_ANTIC]],1)</f>
        <v>2</v>
      </c>
      <c r="C675" s="10" t="str">
        <f>LEFT(Table3[[#This Row],[EPI_DGN_ANTIC]],2)</f>
        <v>26</v>
      </c>
      <c r="D675" s="8" t="s">
        <v>1337</v>
      </c>
      <c r="E675" s="7">
        <v>0</v>
      </c>
      <c r="F675" s="24"/>
      <c r="G675" s="24"/>
      <c r="H675" s="10"/>
      <c r="I675" s="10"/>
      <c r="J675" s="7"/>
    </row>
    <row r="676" spans="1:10" hidden="1">
      <c r="A676" s="5">
        <v>674</v>
      </c>
      <c r="B676" t="str">
        <f>LEFT(Table3[[#This Row],[EPI_DGN_ANTIC]],1)</f>
        <v>2</v>
      </c>
      <c r="C676" s="8" t="str">
        <f>LEFT(Table3[[#This Row],[EPI_DGN_ANTIC]],2)</f>
        <v>20</v>
      </c>
      <c r="D676" s="8" t="s">
        <v>1338</v>
      </c>
      <c r="E676" s="7">
        <v>0</v>
      </c>
      <c r="F676" s="24"/>
      <c r="G676" s="24"/>
      <c r="H676" s="10"/>
      <c r="I676" s="10"/>
      <c r="J676" s="7"/>
    </row>
    <row r="677" spans="1:10" hidden="1">
      <c r="A677" s="5">
        <v>675</v>
      </c>
      <c r="B677" t="str">
        <f>LEFT(Table3[[#This Row],[EPI_DGN_ANTIC]],1)</f>
        <v>1</v>
      </c>
      <c r="C677" s="10" t="str">
        <f>LEFT(Table3[[#This Row],[EPI_DGN_ANTIC]],2)</f>
        <v>13</v>
      </c>
      <c r="D677" s="8" t="s">
        <v>1339</v>
      </c>
      <c r="E677" s="7">
        <v>0</v>
      </c>
      <c r="F677" s="24"/>
      <c r="G677" s="24"/>
      <c r="H677" s="10"/>
      <c r="I677" s="10"/>
      <c r="J677" s="7"/>
    </row>
    <row r="678" spans="1:10" hidden="1">
      <c r="A678" s="5">
        <v>676</v>
      </c>
      <c r="B678" t="str">
        <f>LEFT(Table3[[#This Row],[EPI_DGN_ANTIC]],1)</f>
        <v>2</v>
      </c>
      <c r="C678" s="8" t="str">
        <f>LEFT(Table3[[#This Row],[EPI_DGN_ANTIC]],2)</f>
        <v>27</v>
      </c>
      <c r="D678" s="8" t="s">
        <v>1340</v>
      </c>
      <c r="E678" s="7">
        <v>0</v>
      </c>
      <c r="F678" s="24"/>
      <c r="G678" s="24"/>
      <c r="H678" s="10"/>
      <c r="I678" s="10"/>
      <c r="J678" s="7"/>
    </row>
    <row r="679" spans="1:10" hidden="1">
      <c r="A679" s="5">
        <v>677</v>
      </c>
      <c r="B679" t="str">
        <f>LEFT(Table3[[#This Row],[EPI_DGN_ANTIC]],1)</f>
        <v>1</v>
      </c>
      <c r="C679" s="8" t="str">
        <f>LEFT(Table3[[#This Row],[EPI_DGN_ANTIC]],2)</f>
        <v>18</v>
      </c>
      <c r="D679" s="8" t="s">
        <v>1341</v>
      </c>
      <c r="E679" s="7">
        <v>0</v>
      </c>
      <c r="F679" s="24"/>
      <c r="G679" s="24"/>
      <c r="H679" s="10"/>
      <c r="I679" s="10"/>
      <c r="J679" s="7"/>
    </row>
    <row r="680" spans="1:10" hidden="1">
      <c r="A680" s="5">
        <v>678</v>
      </c>
      <c r="B680" t="str">
        <f>LEFT(Table3[[#This Row],[EPI_DGN_ANTIC]],1)</f>
        <v>2</v>
      </c>
      <c r="C680" s="8" t="str">
        <f>LEFT(Table3[[#This Row],[EPI_DGN_ANTIC]],2)</f>
        <v>22</v>
      </c>
      <c r="D680" s="8" t="s">
        <v>1342</v>
      </c>
      <c r="E680" s="7">
        <v>0</v>
      </c>
      <c r="F680" s="24"/>
      <c r="G680" s="24"/>
      <c r="H680" s="10"/>
      <c r="I680" s="10"/>
      <c r="J680" s="7"/>
    </row>
    <row r="681" spans="1:10" hidden="1">
      <c r="A681" s="5">
        <v>679</v>
      </c>
      <c r="B681" t="str">
        <f>LEFT(Table3[[#This Row],[EPI_DGN_ANTIC]],1)</f>
        <v>3</v>
      </c>
      <c r="C681" s="10" t="str">
        <f>LEFT(Table3[[#This Row],[EPI_DGN_ANTIC]],2)</f>
        <v>3/</v>
      </c>
      <c r="D681" s="8" t="s">
        <v>1343</v>
      </c>
      <c r="E681" s="7">
        <v>0</v>
      </c>
      <c r="F681" s="24"/>
      <c r="G681" s="24"/>
      <c r="H681" s="10"/>
      <c r="I681" s="10"/>
      <c r="J681" s="7"/>
    </row>
    <row r="682" spans="1:10" hidden="1">
      <c r="A682" s="5">
        <v>680</v>
      </c>
      <c r="B682" t="str">
        <f>LEFT(Table3[[#This Row],[EPI_DGN_ANTIC]],1)</f>
        <v>2</v>
      </c>
      <c r="C682" s="10" t="str">
        <f>LEFT(Table3[[#This Row],[EPI_DGN_ANTIC]],2)</f>
        <v>21</v>
      </c>
      <c r="D682" s="8" t="s">
        <v>1344</v>
      </c>
      <c r="E682" s="7">
        <v>0</v>
      </c>
      <c r="F682" s="24"/>
      <c r="G682" s="24"/>
      <c r="H682" s="10"/>
      <c r="I682" s="10"/>
      <c r="J682" s="7"/>
    </row>
    <row r="683" spans="1:10" hidden="1">
      <c r="A683" s="5">
        <v>681</v>
      </c>
      <c r="B683" t="str">
        <f>LEFT(Table3[[#This Row],[EPI_DGN_ANTIC]],1)</f>
        <v>6</v>
      </c>
      <c r="C683" s="10" t="str">
        <f>LEFT(Table3[[#This Row],[EPI_DGN_ANTIC]],2)</f>
        <v>6/</v>
      </c>
      <c r="D683" s="8" t="s">
        <v>1345</v>
      </c>
      <c r="E683" s="7">
        <v>0</v>
      </c>
      <c r="F683" s="24"/>
      <c r="G683" s="24"/>
      <c r="H683" s="10"/>
      <c r="I683" s="10"/>
      <c r="J683" s="7"/>
    </row>
    <row r="684" spans="1:10" hidden="1">
      <c r="A684" s="5">
        <v>682</v>
      </c>
      <c r="B684" t="str">
        <f>LEFT(Table3[[#This Row],[EPI_DGN_ANTIC]],1)</f>
        <v>7</v>
      </c>
      <c r="C684" s="8" t="str">
        <f>LEFT(Table3[[#This Row],[EPI_DGN_ANTIC]],2)</f>
        <v>7/</v>
      </c>
      <c r="D684" s="8" t="s">
        <v>1346</v>
      </c>
      <c r="E684" s="7">
        <v>0</v>
      </c>
      <c r="F684" s="24"/>
      <c r="G684" s="24"/>
      <c r="H684" s="10"/>
      <c r="I684" s="10"/>
      <c r="J684" s="7"/>
    </row>
    <row r="685" spans="1:10" hidden="1">
      <c r="A685" s="5">
        <v>683</v>
      </c>
      <c r="B685" t="str">
        <f>LEFT(Table3[[#This Row],[EPI_DGN_ANTIC]],1)</f>
        <v>1</v>
      </c>
      <c r="C685" s="8" t="str">
        <f>LEFT(Table3[[#This Row],[EPI_DGN_ANTIC]],2)</f>
        <v>14</v>
      </c>
      <c r="D685" s="8" t="s">
        <v>1347</v>
      </c>
      <c r="E685" s="7">
        <v>0</v>
      </c>
      <c r="F685" s="24"/>
      <c r="G685" s="24"/>
      <c r="H685" s="10"/>
      <c r="I685" s="10"/>
      <c r="J685" s="7"/>
    </row>
    <row r="686" spans="1:10" hidden="1">
      <c r="A686" s="5">
        <v>684</v>
      </c>
      <c r="B686" t="str">
        <f>LEFT(Table3[[#This Row],[EPI_DGN_ANTIC]],1)</f>
        <v>1</v>
      </c>
      <c r="C686" s="10" t="str">
        <f>LEFT(Table3[[#This Row],[EPI_DGN_ANTIC]],2)</f>
        <v>15</v>
      </c>
      <c r="D686" s="8" t="s">
        <v>1348</v>
      </c>
      <c r="E686" s="7">
        <v>0</v>
      </c>
      <c r="F686" s="24"/>
      <c r="G686" s="24"/>
      <c r="H686" s="10"/>
      <c r="I686" s="10"/>
      <c r="J686" s="7"/>
    </row>
    <row r="687" spans="1:10" hidden="1">
      <c r="A687" s="5">
        <v>685</v>
      </c>
      <c r="B687" t="str">
        <f>LEFT(Table3[[#This Row],[EPI_DGN_ANTIC]],1)</f>
        <v>1</v>
      </c>
      <c r="C687" s="10" t="str">
        <f>LEFT(Table3[[#This Row],[EPI_DGN_ANTIC]],2)</f>
        <v>16</v>
      </c>
      <c r="D687" s="8" t="s">
        <v>1349</v>
      </c>
      <c r="E687" s="7">
        <v>0</v>
      </c>
      <c r="F687" s="24"/>
      <c r="G687" s="24"/>
      <c r="H687" s="10"/>
      <c r="I687" s="10"/>
      <c r="J687" s="7"/>
    </row>
    <row r="688" spans="1:10" hidden="1">
      <c r="A688" s="5">
        <v>686</v>
      </c>
      <c r="B688" t="str">
        <f>LEFT(Table3[[#This Row],[EPI_DGN_ANTIC]],1)</f>
        <v>1</v>
      </c>
      <c r="C688" s="10" t="str">
        <f>LEFT(Table3[[#This Row],[EPI_DGN_ANTIC]],2)</f>
        <v>17</v>
      </c>
      <c r="D688" s="8" t="s">
        <v>1350</v>
      </c>
      <c r="E688" s="7">
        <v>0</v>
      </c>
      <c r="F688" s="24"/>
      <c r="G688" s="24"/>
      <c r="H688" s="10"/>
      <c r="I688" s="10"/>
      <c r="J688" s="7"/>
    </row>
    <row r="689" spans="1:10" hidden="1">
      <c r="A689" s="5">
        <v>687</v>
      </c>
      <c r="B689" t="str">
        <f>LEFT(Table3[[#This Row],[EPI_DGN_ANTIC]],1)</f>
        <v>1</v>
      </c>
      <c r="C689" s="8" t="str">
        <f>LEFT(Table3[[#This Row],[EPI_DGN_ANTIC]],2)</f>
        <v>1/</v>
      </c>
      <c r="D689" s="8" t="s">
        <v>1351</v>
      </c>
      <c r="E689" s="7">
        <v>0</v>
      </c>
      <c r="F689" s="24"/>
      <c r="G689" s="24"/>
      <c r="H689" s="10"/>
      <c r="I689" s="10"/>
      <c r="J689" s="7"/>
    </row>
    <row r="690" spans="1:10" hidden="1">
      <c r="A690" s="5">
        <v>688</v>
      </c>
      <c r="B690" t="str">
        <f>LEFT(Table3[[#This Row],[EPI_DGN_ANTIC]],1)</f>
        <v>1</v>
      </c>
      <c r="C690" s="8" t="str">
        <f>LEFT(Table3[[#This Row],[EPI_DGN_ANTIC]],2)</f>
        <v>10</v>
      </c>
      <c r="D690" s="8" t="s">
        <v>1352</v>
      </c>
      <c r="E690" s="7">
        <v>0</v>
      </c>
      <c r="F690" s="24"/>
      <c r="G690" s="24"/>
      <c r="H690" s="10"/>
      <c r="I690" s="10"/>
      <c r="J690" s="7"/>
    </row>
    <row r="691" spans="1:10" hidden="1">
      <c r="A691" s="5">
        <v>689</v>
      </c>
      <c r="B691" t="str">
        <f>LEFT(Table3[[#This Row],[EPI_DGN_ANTIC]],1)</f>
        <v>4</v>
      </c>
      <c r="C691" s="10" t="str">
        <f>LEFT(Table3[[#This Row],[EPI_DGN_ANTIC]],2)</f>
        <v>4/</v>
      </c>
      <c r="D691" s="8" t="s">
        <v>1353</v>
      </c>
      <c r="E691" s="7">
        <v>0</v>
      </c>
      <c r="F691" s="24"/>
      <c r="G691" s="24"/>
      <c r="H691" s="10"/>
      <c r="I691" s="10"/>
      <c r="J691" s="7"/>
    </row>
    <row r="692" spans="1:10" hidden="1">
      <c r="A692" s="11">
        <v>690</v>
      </c>
      <c r="B692" t="str">
        <f>LEFT(Table3[[#This Row],[EPI_DGN_ANTIC]],1)</f>
        <v>8</v>
      </c>
      <c r="C692" s="13" t="str">
        <f>LEFT(Table3[[#This Row],[EPI_DGN_ANTIC]],2)</f>
        <v>8/</v>
      </c>
      <c r="D692" s="12" t="s">
        <v>1354</v>
      </c>
      <c r="E692" s="14">
        <v>0</v>
      </c>
      <c r="F692" s="25"/>
      <c r="G692" s="25"/>
      <c r="H692" s="13"/>
      <c r="I692" s="13"/>
      <c r="J692" s="14"/>
    </row>
    <row r="693" spans="1:10" hidden="1">
      <c r="A693" s="31">
        <f>A692+1</f>
        <v>691</v>
      </c>
      <c r="B693" s="10" t="s">
        <v>1355</v>
      </c>
      <c r="C693" s="10" t="str">
        <f>LEFT(Table1[[#This Row],[EPI_DGN_ANTIC]],1)</f>
        <v>Q</v>
      </c>
      <c r="D693" s="10" t="s">
        <v>1356</v>
      </c>
      <c r="E693" s="10">
        <v>0</v>
      </c>
      <c r="F693" s="10"/>
      <c r="G693" s="10"/>
      <c r="H693" s="31">
        <v>0</v>
      </c>
      <c r="I693" s="7" t="s">
        <v>1357</v>
      </c>
    </row>
    <row r="694" spans="1:10" hidden="1">
      <c r="A694" s="31">
        <f>A693+1</f>
        <v>692</v>
      </c>
      <c r="B694" s="10" t="str">
        <f>LEFT(Table1[[#This Row],[EPI_DGN_ANTIC]],1)</f>
        <v>Q</v>
      </c>
      <c r="C694" s="10" t="str">
        <f>LEFT(Table1[[#This Row],[EPI_DGN_ANTIC]],2)</f>
        <v>QP</v>
      </c>
      <c r="D694" s="10" t="s">
        <v>1358</v>
      </c>
      <c r="E694" s="10">
        <v>0</v>
      </c>
      <c r="F694" s="10"/>
      <c r="G694" s="10"/>
      <c r="H694" s="31">
        <v>1</v>
      </c>
      <c r="I694" s="7" t="s">
        <v>1359</v>
      </c>
    </row>
    <row r="695" spans="1:10" hidden="1">
      <c r="A695" s="31">
        <f t="shared" ref="A695:A758" si="0">A694+1</f>
        <v>693</v>
      </c>
      <c r="B695" s="10" t="str">
        <f>LEFT(Table1[[#This Row],[EPI_DGN_ANTIC]],1)</f>
        <v>Q</v>
      </c>
      <c r="C695" s="10" t="str">
        <f>LEFT(Table1[[#This Row],[EPI_DGN_ANTIC]],2)</f>
        <v>QH</v>
      </c>
      <c r="D695" s="10" t="s">
        <v>1358</v>
      </c>
      <c r="E695" s="10">
        <v>0</v>
      </c>
      <c r="F695" s="10"/>
      <c r="G695" s="10"/>
      <c r="H695" s="31">
        <v>2</v>
      </c>
      <c r="I695" s="7" t="s">
        <v>1360</v>
      </c>
    </row>
    <row r="696" spans="1:10" hidden="1">
      <c r="A696" s="31">
        <f t="shared" si="0"/>
        <v>694</v>
      </c>
      <c r="B696" s="10" t="str">
        <f>LEFT(Table1[[#This Row],[EPI_DGN_ANTIC]],1)</f>
        <v>Q</v>
      </c>
      <c r="C696" s="10" t="str">
        <f>LEFT(Table1[[#This Row],[EPI_DGN_ANTIC]],2)</f>
        <v>QP</v>
      </c>
      <c r="D696" s="10" t="s">
        <v>1361</v>
      </c>
      <c r="E696" s="10">
        <v>0</v>
      </c>
      <c r="F696" s="10"/>
      <c r="G696" s="10"/>
      <c r="H696" s="31">
        <v>3</v>
      </c>
      <c r="I696" s="7" t="s">
        <v>1362</v>
      </c>
    </row>
    <row r="697" spans="1:10" hidden="1">
      <c r="A697" s="31">
        <f t="shared" si="0"/>
        <v>695</v>
      </c>
      <c r="B697" s="10" t="str">
        <f>LEFT(Table1[[#This Row],[EPI_DGN_ANTIC]],1)</f>
        <v>Q</v>
      </c>
      <c r="C697" s="10" t="str">
        <f>LEFT(Table1[[#This Row],[EPI_DGN_ANTIC]],3)</f>
        <v>QPv</v>
      </c>
      <c r="D697" s="10" t="s">
        <v>1363</v>
      </c>
      <c r="E697" s="10">
        <v>0</v>
      </c>
      <c r="F697" s="10"/>
      <c r="G697" s="10"/>
      <c r="H697" s="31">
        <v>4</v>
      </c>
      <c r="I697" s="7" t="s">
        <v>1364</v>
      </c>
    </row>
    <row r="698" spans="1:10" hidden="1">
      <c r="A698" s="31">
        <f t="shared" si="0"/>
        <v>696</v>
      </c>
      <c r="B698" s="10" t="str">
        <f>LEFT(Table1[[#This Row],[EPI_DGN_ANTIC]],1)</f>
        <v>Q</v>
      </c>
      <c r="C698" s="10" t="str">
        <f>LEFT(Table1[[#This Row],[EPI_DGN_ANTIC]],2)</f>
        <v>QP</v>
      </c>
      <c r="D698" s="10" t="s">
        <v>1365</v>
      </c>
      <c r="E698" s="10">
        <v>0</v>
      </c>
      <c r="F698" s="10"/>
      <c r="G698" s="10"/>
      <c r="H698" s="31">
        <v>5</v>
      </c>
      <c r="I698" s="7" t="s">
        <v>707</v>
      </c>
    </row>
    <row r="699" spans="1:10" hidden="1">
      <c r="A699" s="31">
        <f t="shared" si="0"/>
        <v>697</v>
      </c>
      <c r="B699" s="10" t="str">
        <f>LEFT(Table1[[#This Row],[EPI_DGN_ANTIC]],1)</f>
        <v>Q</v>
      </c>
      <c r="C699" s="10" t="str">
        <f>LEFT(Table1[[#This Row],[EPI_DGN_ANTIC]],2)</f>
        <v>QP</v>
      </c>
      <c r="D699" s="10" t="s">
        <v>1366</v>
      </c>
      <c r="E699" s="10">
        <v>0</v>
      </c>
      <c r="F699" s="10"/>
      <c r="G699" s="10"/>
      <c r="H699" s="31">
        <v>6</v>
      </c>
      <c r="I699" s="7" t="s">
        <v>707</v>
      </c>
    </row>
    <row r="700" spans="1:10" hidden="1">
      <c r="A700" s="31">
        <f t="shared" si="0"/>
        <v>698</v>
      </c>
      <c r="B700" s="10" t="str">
        <f>LEFT(Table1[[#This Row],[EPI_DGN_ANTIC]],1)</f>
        <v>Q</v>
      </c>
      <c r="C700" s="10" t="str">
        <f>LEFT(Table1[[#This Row],[EPI_DGN_ANTIC]],2)</f>
        <v>QP</v>
      </c>
      <c r="D700" s="10" t="s">
        <v>1367</v>
      </c>
      <c r="E700" s="10">
        <v>0</v>
      </c>
      <c r="F700" s="10"/>
      <c r="G700" s="10"/>
      <c r="H700" s="31">
        <v>7</v>
      </c>
      <c r="I700" s="7" t="s">
        <v>1368</v>
      </c>
    </row>
    <row r="701" spans="1:10" hidden="1">
      <c r="A701" s="31">
        <f t="shared" si="0"/>
        <v>699</v>
      </c>
      <c r="B701" s="10" t="str">
        <f>LEFT(Table1[[#This Row],[EPI_DGN_ANTIC]],1)</f>
        <v>Q</v>
      </c>
      <c r="C701" s="10" t="str">
        <f>LEFT(Table1[[#This Row],[EPI_DGN_ANTIC]],2)</f>
        <v>QP</v>
      </c>
      <c r="D701" s="10" t="s">
        <v>1369</v>
      </c>
      <c r="E701" s="10">
        <v>1</v>
      </c>
      <c r="F701" s="10" t="s">
        <v>1370</v>
      </c>
      <c r="G701" s="10"/>
      <c r="H701" s="31">
        <v>8</v>
      </c>
      <c r="I701" s="7" t="s">
        <v>715</v>
      </c>
    </row>
    <row r="702" spans="1:10" hidden="1">
      <c r="A702" s="31">
        <f t="shared" si="0"/>
        <v>700</v>
      </c>
      <c r="B702" s="10" t="str">
        <f>LEFT(Table1[[#This Row],[EPI_DGN_ANTIC]],1)</f>
        <v>Q</v>
      </c>
      <c r="C702" s="10" t="str">
        <f>LEFT(Table1[[#This Row],[EPI_DGN_ANTIC]],2)</f>
        <v>QP</v>
      </c>
      <c r="D702" s="10" t="s">
        <v>1371</v>
      </c>
      <c r="E702" s="10">
        <v>1</v>
      </c>
      <c r="F702" s="10" t="s">
        <v>67</v>
      </c>
      <c r="G702" s="10"/>
      <c r="H702" s="31">
        <v>9</v>
      </c>
      <c r="I702" s="7" t="s">
        <v>1372</v>
      </c>
    </row>
    <row r="703" spans="1:10" hidden="1">
      <c r="A703" s="31">
        <f t="shared" si="0"/>
        <v>701</v>
      </c>
      <c r="B703" s="10" t="str">
        <f>LEFT(Table1[[#This Row],[EPI_DGN_ANTIC]],1)</f>
        <v>Q</v>
      </c>
      <c r="C703" s="10" t="str">
        <f>LEFT(Table1[[#This Row],[EPI_DGN_ANTIC]],2)</f>
        <v>QP</v>
      </c>
      <c r="D703" s="10" t="s">
        <v>1373</v>
      </c>
      <c r="E703" s="10">
        <v>1</v>
      </c>
      <c r="F703" s="10" t="s">
        <v>1374</v>
      </c>
      <c r="G703" s="10"/>
      <c r="H703" s="31">
        <v>10</v>
      </c>
      <c r="I703" s="7" t="s">
        <v>1375</v>
      </c>
    </row>
    <row r="704" spans="1:10" hidden="1">
      <c r="A704" s="31">
        <f t="shared" si="0"/>
        <v>702</v>
      </c>
      <c r="B704" s="10" t="str">
        <f>LEFT(Table1[[#This Row],[EPI_DGN_ANTIC]],1)</f>
        <v>S</v>
      </c>
      <c r="C704" s="10" t="str">
        <f>LEFT(Table1[[#This Row],[EPI_DGN_ANTIC]],2)</f>
        <v>SD</v>
      </c>
      <c r="D704" s="10" t="s">
        <v>1376</v>
      </c>
      <c r="E704" s="10">
        <v>1</v>
      </c>
      <c r="F704" s="10" t="s">
        <v>1377</v>
      </c>
      <c r="G704" s="10"/>
      <c r="H704" s="31">
        <v>11</v>
      </c>
      <c r="I704" s="7" t="s">
        <v>1378</v>
      </c>
    </row>
    <row r="705" spans="1:9" hidden="1">
      <c r="A705" s="31">
        <f t="shared" si="0"/>
        <v>703</v>
      </c>
      <c r="B705" s="10" t="str">
        <f>LEFT(Table1[[#This Row],[EPI_DGN_ANTIC]],1)</f>
        <v>P</v>
      </c>
      <c r="C705" s="10" t="str">
        <f>LEFT(Table1[[#This Row],[EPI_DGN_ANTIC]],3)</f>
        <v>PEB</v>
      </c>
      <c r="D705" s="10" t="s">
        <v>1379</v>
      </c>
      <c r="E705" s="10">
        <v>0</v>
      </c>
      <c r="F705" s="10"/>
      <c r="G705" s="10"/>
      <c r="H705" s="31">
        <v>12</v>
      </c>
      <c r="I705" s="7" t="s">
        <v>1380</v>
      </c>
    </row>
    <row r="706" spans="1:9" hidden="1">
      <c r="A706" s="31">
        <f t="shared" si="0"/>
        <v>704</v>
      </c>
      <c r="B706" s="10" t="str">
        <f>LEFT(Table1[[#This Row],[EPI_DGN_ANTIC]],1)</f>
        <v>P</v>
      </c>
      <c r="C706" s="10" t="str">
        <f>LEFT(Table1[[#This Row],[EPI_DGN_ANTIC]],3)</f>
        <v>PEB</v>
      </c>
      <c r="D706" s="10" t="s">
        <v>1381</v>
      </c>
      <c r="E706" s="10">
        <v>1</v>
      </c>
      <c r="F706" s="10" t="s">
        <v>1382</v>
      </c>
      <c r="G706" s="10"/>
      <c r="H706" s="31">
        <v>13</v>
      </c>
      <c r="I706" s="7" t="s">
        <v>1383</v>
      </c>
    </row>
    <row r="707" spans="1:9" hidden="1">
      <c r="A707" s="31">
        <f t="shared" si="0"/>
        <v>705</v>
      </c>
      <c r="B707" s="10" t="str">
        <f>LEFT(Table1[[#This Row],[EPI_DGN_ANTIC]],1)</f>
        <v>P</v>
      </c>
      <c r="C707" s="10" t="str">
        <f>LEFT(Table1[[#This Row],[EPI_DGN_ANTIC]],3)</f>
        <v>PEB</v>
      </c>
      <c r="D707" s="10" t="s">
        <v>1384</v>
      </c>
      <c r="E707" s="10">
        <v>1</v>
      </c>
      <c r="F707" s="10" t="s">
        <v>1385</v>
      </c>
      <c r="G707" s="10"/>
      <c r="H707" s="31">
        <v>14</v>
      </c>
      <c r="I707" s="7" t="s">
        <v>1386</v>
      </c>
    </row>
    <row r="708" spans="1:9" hidden="1">
      <c r="A708" s="31">
        <f t="shared" si="0"/>
        <v>706</v>
      </c>
      <c r="B708" s="10" t="str">
        <f>LEFT(Table1[[#This Row],[EPI_DGN_ANTIC]],1)</f>
        <v>P</v>
      </c>
      <c r="C708" s="10" t="str">
        <f>LEFT(Table1[[#This Row],[EPI_DGN_ANTIC]],3)</f>
        <v>PEB</v>
      </c>
      <c r="D708" s="10" t="s">
        <v>1387</v>
      </c>
      <c r="E708" s="10">
        <v>1</v>
      </c>
      <c r="F708" s="10" t="s">
        <v>1388</v>
      </c>
      <c r="G708" s="10"/>
      <c r="H708" s="31">
        <v>15</v>
      </c>
      <c r="I708" s="7" t="s">
        <v>1389</v>
      </c>
    </row>
    <row r="709" spans="1:9" hidden="1">
      <c r="A709" s="31">
        <f t="shared" si="0"/>
        <v>707</v>
      </c>
      <c r="B709" s="10" t="str">
        <f>LEFT(Table1[[#This Row],[EPI_DGN_ANTIC]],1)</f>
        <v>P</v>
      </c>
      <c r="C709" s="10" t="str">
        <f>LEFT(Table1[[#This Row],[EPI_DGN_ANTIC]],3)</f>
        <v>PEB</v>
      </c>
      <c r="D709" s="10" t="s">
        <v>1390</v>
      </c>
      <c r="E709" s="10">
        <v>1</v>
      </c>
      <c r="F709" s="10" t="s">
        <v>1385</v>
      </c>
      <c r="G709" s="10"/>
      <c r="H709" s="31">
        <v>16</v>
      </c>
      <c r="I709" s="7" t="s">
        <v>1391</v>
      </c>
    </row>
    <row r="710" spans="1:9" hidden="1">
      <c r="A710" s="31">
        <f t="shared" si="0"/>
        <v>708</v>
      </c>
      <c r="B710" s="10" t="str">
        <f>LEFT(Table1[[#This Row],[EPI_DGN_ANTIC]],1)</f>
        <v>P</v>
      </c>
      <c r="C710" s="10" t="str">
        <f>LEFT(Table1[[#This Row],[EPI_DGN_ANTIC]],3)</f>
        <v>PEB</v>
      </c>
      <c r="D710" s="10" t="s">
        <v>1392</v>
      </c>
      <c r="E710" s="10">
        <v>1</v>
      </c>
      <c r="F710" s="10" t="s">
        <v>1393</v>
      </c>
      <c r="G710" s="10"/>
      <c r="H710" s="31">
        <v>17</v>
      </c>
      <c r="I710" s="7" t="s">
        <v>1378</v>
      </c>
    </row>
    <row r="711" spans="1:9" hidden="1">
      <c r="A711" s="31">
        <f t="shared" si="0"/>
        <v>709</v>
      </c>
      <c r="B711" s="10" t="str">
        <f>LEFT(Table1[[#This Row],[EPI_DGN_ANTIC]],1)</f>
        <v>P</v>
      </c>
      <c r="C711" s="10" t="str">
        <f>LEFT(Table1[[#This Row],[EPI_DGN_ANTIC]],3)</f>
        <v>PEB</v>
      </c>
      <c r="D711" s="10" t="s">
        <v>1394</v>
      </c>
      <c r="E711" s="10">
        <v>1</v>
      </c>
      <c r="F711" s="10" t="s">
        <v>1393</v>
      </c>
      <c r="G711" s="10"/>
      <c r="H711" s="31">
        <v>18</v>
      </c>
      <c r="I711" s="7" t="s">
        <v>1395</v>
      </c>
    </row>
    <row r="712" spans="1:9" hidden="1">
      <c r="A712" s="31">
        <f t="shared" si="0"/>
        <v>710</v>
      </c>
      <c r="B712" s="10" t="str">
        <f>LEFT(Table1[[#This Row],[EPI_DGN_ANTIC]],1)</f>
        <v>P</v>
      </c>
      <c r="C712" s="10" t="str">
        <f>LEFT(Table1[[#This Row],[EPI_DGN_ANTIC]],3)</f>
        <v>PEB</v>
      </c>
      <c r="D712" s="10" t="s">
        <v>1396</v>
      </c>
      <c r="E712" s="10">
        <v>1</v>
      </c>
      <c r="F712" s="10" t="s">
        <v>1393</v>
      </c>
      <c r="G712" s="10"/>
      <c r="H712" s="31">
        <v>19</v>
      </c>
      <c r="I712" s="7" t="s">
        <v>715</v>
      </c>
    </row>
    <row r="713" spans="1:9" hidden="1">
      <c r="A713" s="31">
        <f t="shared" si="0"/>
        <v>711</v>
      </c>
      <c r="B713" s="10" t="str">
        <f>LEFT(Table1[[#This Row],[EPI_DGN_ANTIC]],1)</f>
        <v>P</v>
      </c>
      <c r="C713" s="10" t="str">
        <f>LEFT(Table1[[#This Row],[EPI_DGN_ANTIC]],3)</f>
        <v>PEB</v>
      </c>
      <c r="D713" s="10" t="s">
        <v>1397</v>
      </c>
      <c r="E713" s="10">
        <v>1</v>
      </c>
      <c r="F713" s="10" t="s">
        <v>1393</v>
      </c>
      <c r="G713" s="10"/>
      <c r="H713" s="31">
        <v>20</v>
      </c>
      <c r="I713" s="7" t="s">
        <v>1372</v>
      </c>
    </row>
    <row r="714" spans="1:9" hidden="1">
      <c r="A714" s="31">
        <f t="shared" si="0"/>
        <v>712</v>
      </c>
      <c r="B714" s="10" t="str">
        <f>LEFT(Table1[[#This Row],[EPI_DGN_ANTIC]],1)</f>
        <v>P</v>
      </c>
      <c r="C714" s="10" t="str">
        <f>LEFT(Table1[[#This Row],[EPI_DGN_ANTIC]],3)</f>
        <v>PEB</v>
      </c>
      <c r="D714" s="10" t="s">
        <v>1398</v>
      </c>
      <c r="E714" s="10">
        <v>1</v>
      </c>
      <c r="F714" s="10" t="s">
        <v>1399</v>
      </c>
      <c r="G714" s="10"/>
      <c r="H714" s="31">
        <v>21</v>
      </c>
      <c r="I714" s="7" t="s">
        <v>1400</v>
      </c>
    </row>
    <row r="715" spans="1:9" hidden="1">
      <c r="A715" s="31">
        <f t="shared" si="0"/>
        <v>713</v>
      </c>
      <c r="B715" s="10" t="str">
        <f>LEFT(Table1[[#This Row],[EPI_DGN_ANTIC]],1)</f>
        <v>P</v>
      </c>
      <c r="C715" s="10" t="str">
        <f>LEFT(Table1[[#This Row],[EPI_DGN_ANTIC]],3)</f>
        <v>PEB</v>
      </c>
      <c r="D715" s="10" t="s">
        <v>1401</v>
      </c>
      <c r="E715" s="10">
        <v>1</v>
      </c>
      <c r="F715" s="10" t="s">
        <v>1399</v>
      </c>
      <c r="G715" s="10"/>
      <c r="H715" s="31">
        <v>22</v>
      </c>
      <c r="I715" s="7" t="s">
        <v>1402</v>
      </c>
    </row>
    <row r="716" spans="1:9" hidden="1">
      <c r="A716" s="31">
        <f t="shared" si="0"/>
        <v>714</v>
      </c>
      <c r="B716" s="10" t="str">
        <f>LEFT(Table1[[#This Row],[EPI_DGN_ANTIC]],1)</f>
        <v>P</v>
      </c>
      <c r="C716" s="10" t="str">
        <f>LEFT(Table1[[#This Row],[EPI_DGN_ANTIC]],3)</f>
        <v>PEB</v>
      </c>
      <c r="D716" s="10" t="s">
        <v>1403</v>
      </c>
      <c r="E716" s="10">
        <v>1</v>
      </c>
      <c r="F716" s="10" t="s">
        <v>1399</v>
      </c>
      <c r="G716" s="10"/>
      <c r="H716" s="31">
        <v>23</v>
      </c>
      <c r="I716" s="7" t="s">
        <v>1404</v>
      </c>
    </row>
    <row r="717" spans="1:9" hidden="1">
      <c r="A717" s="31">
        <f t="shared" si="0"/>
        <v>715</v>
      </c>
      <c r="B717" s="10" t="str">
        <f>LEFT(Table1[[#This Row],[EPI_DGN_ANTIC]],1)</f>
        <v>P</v>
      </c>
      <c r="C717" s="10" t="str">
        <f>LEFT(Table1[[#This Row],[EPI_DGN_ANTIC]],3)</f>
        <v>PEB</v>
      </c>
      <c r="D717" s="10" t="s">
        <v>1405</v>
      </c>
      <c r="E717" s="10">
        <v>0</v>
      </c>
      <c r="F717" s="10"/>
      <c r="G717" s="10"/>
      <c r="H717" s="31">
        <v>24</v>
      </c>
      <c r="I717" s="7" t="s">
        <v>1406</v>
      </c>
    </row>
    <row r="718" spans="1:9" hidden="1">
      <c r="A718" s="31">
        <f t="shared" si="0"/>
        <v>716</v>
      </c>
      <c r="B718" s="10" t="str">
        <f>LEFT(Table1[[#This Row],[EPI_DGN_ANTIC]],1)</f>
        <v>P</v>
      </c>
      <c r="C718" s="10" t="str">
        <f>LEFT(Table1[[#This Row],[EPI_DGN_ANTIC]],3)</f>
        <v>PEB</v>
      </c>
      <c r="D718" s="10" t="s">
        <v>1407</v>
      </c>
      <c r="E718" s="10">
        <v>1</v>
      </c>
      <c r="F718" s="10" t="s">
        <v>1408</v>
      </c>
      <c r="G718" s="10"/>
      <c r="H718" s="31">
        <v>25</v>
      </c>
      <c r="I718" s="7" t="s">
        <v>1402</v>
      </c>
    </row>
    <row r="719" spans="1:9" hidden="1">
      <c r="A719" s="31">
        <f t="shared" si="0"/>
        <v>717</v>
      </c>
      <c r="B719" s="10" t="str">
        <f>LEFT(Table1[[#This Row],[EPI_DGN_ANTIC]],1)</f>
        <v>P</v>
      </c>
      <c r="C719" s="10" t="str">
        <f>LEFT(Table1[[#This Row],[EPI_DGN_ANTIC]],3)</f>
        <v>PEB</v>
      </c>
      <c r="D719" s="10" t="s">
        <v>1409</v>
      </c>
      <c r="E719" s="10">
        <v>1</v>
      </c>
      <c r="F719" s="10" t="s">
        <v>1410</v>
      </c>
      <c r="G719" s="10"/>
      <c r="H719" s="31">
        <v>26</v>
      </c>
      <c r="I719" s="7" t="s">
        <v>1411</v>
      </c>
    </row>
    <row r="720" spans="1:9" hidden="1">
      <c r="A720" s="31">
        <f t="shared" si="0"/>
        <v>718</v>
      </c>
      <c r="B720" s="10" t="str">
        <f>LEFT(Table1[[#This Row],[EPI_DGN_ANTIC]],1)</f>
        <v>P</v>
      </c>
      <c r="C720" s="10" t="str">
        <f>LEFT(Table1[[#This Row],[EPI_DGN_ANTIC]],3)</f>
        <v>PEB</v>
      </c>
      <c r="D720" s="10" t="s">
        <v>1412</v>
      </c>
      <c r="E720" s="10">
        <v>1</v>
      </c>
      <c r="F720" s="10" t="s">
        <v>1413</v>
      </c>
      <c r="G720" s="10"/>
      <c r="H720" s="31">
        <v>27</v>
      </c>
      <c r="I720" s="7" t="s">
        <v>1414</v>
      </c>
    </row>
    <row r="721" spans="1:9" hidden="1">
      <c r="A721" s="31">
        <f t="shared" si="0"/>
        <v>719</v>
      </c>
      <c r="B721" s="10" t="str">
        <f>LEFT(Table1[[#This Row],[EPI_DGN_ANTIC]],1)</f>
        <v>P</v>
      </c>
      <c r="C721" s="10" t="str">
        <f>LEFT(Table1[[#This Row],[EPI_DGN_ANTIC]],2)</f>
        <v>PE</v>
      </c>
      <c r="D721" s="10" t="s">
        <v>1415</v>
      </c>
      <c r="E721" s="10">
        <v>0</v>
      </c>
      <c r="F721" s="10"/>
      <c r="G721" s="10"/>
      <c r="H721" s="31">
        <v>28</v>
      </c>
      <c r="I721" s="7" t="s">
        <v>1416</v>
      </c>
    </row>
    <row r="722" spans="1:9" hidden="1">
      <c r="A722" s="31">
        <f t="shared" si="0"/>
        <v>720</v>
      </c>
      <c r="B722" s="10" t="str">
        <f>LEFT(Table1[[#This Row],[EPI_DGN_ANTIC]],1)</f>
        <v>P</v>
      </c>
      <c r="C722" s="10" t="str">
        <f>LEFT(Table1[[#This Row],[EPI_DGN_ANTIC]],2)</f>
        <v>PE</v>
      </c>
      <c r="D722" s="10" t="s">
        <v>1417</v>
      </c>
      <c r="E722" s="10">
        <v>0</v>
      </c>
      <c r="F722" s="10"/>
      <c r="G722" s="10"/>
      <c r="H722" s="31">
        <v>29</v>
      </c>
      <c r="I722" s="7" t="s">
        <v>1404</v>
      </c>
    </row>
    <row r="723" spans="1:9" hidden="1">
      <c r="A723" s="31">
        <f t="shared" si="0"/>
        <v>721</v>
      </c>
      <c r="B723" s="10" t="str">
        <f>LEFT(Table1[[#This Row],[EPI_DGN_ANTIC]],1)</f>
        <v>P</v>
      </c>
      <c r="C723" s="10" t="str">
        <f>LEFT(Table1[[#This Row],[EPI_DGN_ANTIC]],2)</f>
        <v>PE</v>
      </c>
      <c r="D723" s="10" t="s">
        <v>1418</v>
      </c>
      <c r="E723" s="10">
        <v>0</v>
      </c>
      <c r="F723" s="10"/>
      <c r="G723" s="10"/>
      <c r="H723" s="31">
        <v>30</v>
      </c>
      <c r="I723" s="7" t="s">
        <v>1391</v>
      </c>
    </row>
    <row r="724" spans="1:9" hidden="1">
      <c r="A724" s="31">
        <f t="shared" si="0"/>
        <v>722</v>
      </c>
      <c r="B724" s="10" t="str">
        <f>LEFT(Table1[[#This Row],[EPI_DGN_ANTIC]],1)</f>
        <v>P</v>
      </c>
      <c r="C724" s="10" t="str">
        <f>LEFT(Table1[[#This Row],[EPI_DGN_ANTIC]],2)</f>
        <v>PE</v>
      </c>
      <c r="D724" s="10" t="s">
        <v>1419</v>
      </c>
      <c r="E724" s="10">
        <v>1</v>
      </c>
      <c r="F724" s="10" t="s">
        <v>1420</v>
      </c>
      <c r="G724" s="10"/>
      <c r="H724" s="31">
        <v>31</v>
      </c>
      <c r="I724" s="7" t="s">
        <v>1414</v>
      </c>
    </row>
    <row r="725" spans="1:9" hidden="1">
      <c r="A725" s="31">
        <f t="shared" si="0"/>
        <v>723</v>
      </c>
      <c r="B725" s="10" t="str">
        <f>LEFT(Table1[[#This Row],[EPI_DGN_ANTIC]],1)</f>
        <v>P</v>
      </c>
      <c r="C725" s="10" t="str">
        <f>LEFT(Table1[[#This Row],[EPI_DGN_ANTIC]],2)</f>
        <v>P</v>
      </c>
      <c r="D725" s="10" t="s">
        <v>1421</v>
      </c>
      <c r="E725" s="10">
        <v>1</v>
      </c>
      <c r="F725" s="10" t="s">
        <v>1408</v>
      </c>
      <c r="G725" s="10"/>
      <c r="H725" s="31">
        <v>32</v>
      </c>
      <c r="I725" s="7" t="s">
        <v>1422</v>
      </c>
    </row>
    <row r="726" spans="1:9" hidden="1">
      <c r="A726" s="31">
        <f t="shared" si="0"/>
        <v>724</v>
      </c>
      <c r="B726" s="10" t="str">
        <f>LEFT(Table1[[#This Row],[EPI_DGN_ANTIC]],1)</f>
        <v>P</v>
      </c>
      <c r="C726" s="10" t="str">
        <f>LEFT(Table1[[#This Row],[EPI_DGN_ANTIC]],2)</f>
        <v>PE</v>
      </c>
      <c r="D726" s="10" t="s">
        <v>1423</v>
      </c>
      <c r="E726" s="10">
        <v>1</v>
      </c>
      <c r="F726" s="10" t="s">
        <v>1420</v>
      </c>
      <c r="G726" s="10"/>
      <c r="H726" s="31">
        <v>33</v>
      </c>
      <c r="I726" s="7" t="s">
        <v>1424</v>
      </c>
    </row>
    <row r="727" spans="1:9" hidden="1">
      <c r="A727" s="31">
        <f t="shared" si="0"/>
        <v>725</v>
      </c>
      <c r="B727" s="10" t="str">
        <f>LEFT(Table1[[#This Row],[EPI_DGN_ANTIC]],1)</f>
        <v>P</v>
      </c>
      <c r="C727" s="10" t="str">
        <f>LEFT(Table1[[#This Row],[EPI_DGN_ANTIC]],2)</f>
        <v>PE</v>
      </c>
      <c r="D727" s="10" t="s">
        <v>1425</v>
      </c>
      <c r="E727" s="10">
        <v>1</v>
      </c>
      <c r="F727" s="10" t="s">
        <v>1426</v>
      </c>
      <c r="G727" s="10"/>
      <c r="H727" s="31">
        <v>34</v>
      </c>
      <c r="I727" s="7" t="s">
        <v>707</v>
      </c>
    </row>
    <row r="728" spans="1:9" hidden="1">
      <c r="A728" s="31">
        <f t="shared" si="0"/>
        <v>726</v>
      </c>
      <c r="B728" s="10" t="str">
        <f>LEFT(Table1[[#This Row],[EPI_DGN_ANTIC]],1)</f>
        <v>P</v>
      </c>
      <c r="C728" s="10" t="str">
        <f>LEFT(Table1[[#This Row],[EPI_DGN_ANTIC]],2)</f>
        <v>PE</v>
      </c>
      <c r="D728" s="10" t="s">
        <v>1427</v>
      </c>
      <c r="E728" s="10">
        <v>1</v>
      </c>
      <c r="F728" s="10" t="s">
        <v>1428</v>
      </c>
      <c r="G728" s="10"/>
      <c r="H728" s="31">
        <v>35</v>
      </c>
      <c r="I728" s="7" t="s">
        <v>707</v>
      </c>
    </row>
    <row r="729" spans="1:9" hidden="1">
      <c r="A729" s="31">
        <f t="shared" si="0"/>
        <v>727</v>
      </c>
      <c r="B729" s="10" t="str">
        <f>LEFT(Table1[[#This Row],[EPI_DGN_ANTIC]],1)</f>
        <v>P</v>
      </c>
      <c r="C729" s="10" t="str">
        <f>LEFT(Table1[[#This Row],[EPI_DGN_ANTIC]],2)</f>
        <v>PE</v>
      </c>
      <c r="D729" s="10" t="s">
        <v>1429</v>
      </c>
      <c r="E729" s="10">
        <v>1</v>
      </c>
      <c r="F729" s="10" t="s">
        <v>1430</v>
      </c>
      <c r="G729" s="10"/>
      <c r="H729" s="31">
        <v>36</v>
      </c>
      <c r="I729" s="7" t="s">
        <v>1431</v>
      </c>
    </row>
    <row r="730" spans="1:9" hidden="1">
      <c r="A730" s="31">
        <f t="shared" si="0"/>
        <v>728</v>
      </c>
      <c r="B730" s="10" t="str">
        <f>LEFT(Table1[[#This Row],[EPI_DGN_ANTIC]],1)</f>
        <v>P</v>
      </c>
      <c r="C730" s="10" t="str">
        <f>LEFT(Table1[[#This Row],[EPI_DGN_ANTIC]],2)</f>
        <v>PE</v>
      </c>
      <c r="D730" s="10" t="s">
        <v>1432</v>
      </c>
      <c r="E730" s="10">
        <v>1</v>
      </c>
      <c r="F730" s="10" t="s">
        <v>1433</v>
      </c>
      <c r="G730" s="10"/>
      <c r="H730" s="31">
        <v>37</v>
      </c>
      <c r="I730" s="7" t="s">
        <v>1434</v>
      </c>
    </row>
    <row r="731" spans="1:9" hidden="1">
      <c r="A731" s="31">
        <f t="shared" si="0"/>
        <v>729</v>
      </c>
      <c r="B731" s="10" t="str">
        <f>LEFT(Table1[[#This Row],[EPI_DGN_ANTIC]],1)</f>
        <v>P</v>
      </c>
      <c r="C731" s="10" t="str">
        <f>LEFT(Table1[[#This Row],[EPI_DGN_ANTIC]],3)</f>
        <v>PEL</v>
      </c>
      <c r="D731" s="10" t="s">
        <v>1435</v>
      </c>
      <c r="E731" s="10">
        <v>0</v>
      </c>
      <c r="F731" s="10"/>
      <c r="G731" s="10"/>
      <c r="H731" s="31">
        <v>38</v>
      </c>
      <c r="I731" s="7" t="s">
        <v>1436</v>
      </c>
    </row>
    <row r="732" spans="1:9" hidden="1">
      <c r="A732" s="31">
        <f t="shared" si="0"/>
        <v>730</v>
      </c>
      <c r="B732" s="10" t="str">
        <f>LEFT(Table1[[#This Row],[EPI_DGN_ANTIC]],1)</f>
        <v>P</v>
      </c>
      <c r="C732" s="10" t="str">
        <f>LEFT(Table1[[#This Row],[EPI_DGN_ANTIC]],2)</f>
        <v>PE</v>
      </c>
      <c r="D732" s="10" t="s">
        <v>1437</v>
      </c>
      <c r="E732" s="10">
        <v>1</v>
      </c>
      <c r="F732" s="10" t="s">
        <v>1438</v>
      </c>
      <c r="G732" s="10"/>
      <c r="H732" s="31">
        <v>39</v>
      </c>
      <c r="I732" s="7" t="s">
        <v>1431</v>
      </c>
    </row>
    <row r="733" spans="1:9" hidden="1">
      <c r="A733" s="31">
        <f t="shared" si="0"/>
        <v>731</v>
      </c>
      <c r="B733" s="10" t="str">
        <f>LEFT(Table1[[#This Row],[EPI_DGN_ANTIC]],1)</f>
        <v>P</v>
      </c>
      <c r="C733" s="10" t="str">
        <f>LEFT(Table1[[#This Row],[EPI_DGN_ANTIC]],2)</f>
        <v>PE</v>
      </c>
      <c r="D733" s="10" t="s">
        <v>1439</v>
      </c>
      <c r="E733" s="10">
        <v>1</v>
      </c>
      <c r="F733" s="10" t="s">
        <v>1440</v>
      </c>
      <c r="G733" s="10"/>
      <c r="H733" s="31">
        <v>40</v>
      </c>
      <c r="I733" s="7" t="s">
        <v>1441</v>
      </c>
    </row>
    <row r="734" spans="1:9" hidden="1">
      <c r="A734" s="31">
        <f t="shared" si="0"/>
        <v>732</v>
      </c>
      <c r="B734" s="10" t="str">
        <f>LEFT(Table1[[#This Row],[EPI_DGN_ANTIC]],1)</f>
        <v>P</v>
      </c>
      <c r="C734" s="10" t="str">
        <f>LEFT(Table1[[#This Row],[EPI_DGN_ANTIC]],2)</f>
        <v>PE</v>
      </c>
      <c r="D734" s="10" t="s">
        <v>1442</v>
      </c>
      <c r="E734" s="10">
        <v>1</v>
      </c>
      <c r="F734" s="10" t="s">
        <v>1440</v>
      </c>
      <c r="G734" s="10"/>
      <c r="H734" s="31">
        <v>41</v>
      </c>
      <c r="I734" s="7" t="s">
        <v>1431</v>
      </c>
    </row>
    <row r="735" spans="1:9" hidden="1">
      <c r="A735" s="31">
        <f t="shared" si="0"/>
        <v>733</v>
      </c>
      <c r="B735" s="10" t="str">
        <f>LEFT(Table1[[#This Row],[EPI_DGN_ANTIC]],1)</f>
        <v>P</v>
      </c>
      <c r="C735" s="10" t="str">
        <f>LEFT(Table1[[#This Row],[EPI_DGN_ANTIC]],2)</f>
        <v>PE</v>
      </c>
      <c r="D735" s="10" t="s">
        <v>1443</v>
      </c>
      <c r="E735" s="10">
        <v>1</v>
      </c>
      <c r="F735" s="10" t="s">
        <v>1440</v>
      </c>
      <c r="G735" s="10"/>
      <c r="H735" s="31">
        <v>42</v>
      </c>
      <c r="I735" s="7" t="s">
        <v>1444</v>
      </c>
    </row>
    <row r="736" spans="1:9" hidden="1">
      <c r="A736" s="31">
        <f t="shared" si="0"/>
        <v>734</v>
      </c>
      <c r="B736" s="10" t="str">
        <f>LEFT(Table1[[#This Row],[EPI_DGN_ANTIC]],1)</f>
        <v>P</v>
      </c>
      <c r="C736" s="10" t="str">
        <f>LEFT(Table1[[#This Row],[EPI_DGN_ANTIC]],2)</f>
        <v>PE</v>
      </c>
      <c r="D736" s="10" t="s">
        <v>1445</v>
      </c>
      <c r="E736" s="10">
        <v>1</v>
      </c>
      <c r="F736" s="10" t="s">
        <v>1446</v>
      </c>
      <c r="G736" s="10"/>
      <c r="H736" s="31">
        <v>43</v>
      </c>
      <c r="I736" s="7" t="s">
        <v>1431</v>
      </c>
    </row>
    <row r="737" spans="1:9" hidden="1">
      <c r="A737" s="31">
        <f t="shared" si="0"/>
        <v>735</v>
      </c>
      <c r="B737" s="10" t="str">
        <f>LEFT(Table1[[#This Row],[EPI_DGN_ANTIC]],1)</f>
        <v>P</v>
      </c>
      <c r="C737" s="10" t="str">
        <f>LEFT(Table1[[#This Row],[EPI_DGN_ANTIC]],2)</f>
        <v>PE</v>
      </c>
      <c r="D737" s="10" t="s">
        <v>1447</v>
      </c>
      <c r="E737" s="10">
        <v>1</v>
      </c>
      <c r="F737" s="10" t="s">
        <v>1448</v>
      </c>
      <c r="G737" s="10"/>
      <c r="H737" s="31">
        <v>44</v>
      </c>
      <c r="I737" s="7" t="s">
        <v>1449</v>
      </c>
    </row>
    <row r="738" spans="1:9" hidden="1">
      <c r="A738" s="31">
        <f t="shared" si="0"/>
        <v>736</v>
      </c>
      <c r="B738" s="10" t="str">
        <f>LEFT(Table1[[#This Row],[EPI_DGN_ANTIC]],1)</f>
        <v>P</v>
      </c>
      <c r="C738" s="10" t="str">
        <f>LEFT(Table1[[#This Row],[EPI_DGN_ANTIC]],2)</f>
        <v>PE</v>
      </c>
      <c r="D738" s="10" t="s">
        <v>1450</v>
      </c>
      <c r="E738" s="10">
        <v>1</v>
      </c>
      <c r="F738" s="10" t="s">
        <v>1451</v>
      </c>
      <c r="G738" s="10"/>
      <c r="H738" s="31">
        <v>45</v>
      </c>
      <c r="I738" s="7" t="s">
        <v>1436</v>
      </c>
    </row>
    <row r="739" spans="1:9" hidden="1">
      <c r="A739" s="31">
        <f t="shared" si="0"/>
        <v>737</v>
      </c>
      <c r="B739" s="10" t="str">
        <f>LEFT(Table1[[#This Row],[EPI_DGN_ANTIC]],1)</f>
        <v>P</v>
      </c>
      <c r="C739" s="10" t="str">
        <f>LEFT(Table1[[#This Row],[EPI_DGN_ANTIC]],2)</f>
        <v>PE</v>
      </c>
      <c r="D739" s="10" t="s">
        <v>1452</v>
      </c>
      <c r="E739" s="10">
        <v>0</v>
      </c>
      <c r="F739" s="10"/>
      <c r="G739" s="10"/>
      <c r="H739" s="31">
        <v>46</v>
      </c>
      <c r="I739" s="7" t="s">
        <v>1444</v>
      </c>
    </row>
    <row r="740" spans="1:9" hidden="1">
      <c r="A740" s="31">
        <f t="shared" si="0"/>
        <v>738</v>
      </c>
      <c r="B740" s="10" t="str">
        <f>LEFT(Table1[[#This Row],[EPI_DGN_ANTIC]],1)</f>
        <v>P</v>
      </c>
      <c r="C740" s="10" t="str">
        <f>LEFT(Table1[[#This Row],[EPI_DGN_ANTIC]],2)</f>
        <v>PE</v>
      </c>
      <c r="D740" s="10" t="s">
        <v>1453</v>
      </c>
      <c r="E740" s="10">
        <v>1</v>
      </c>
      <c r="F740" s="10" t="s">
        <v>1454</v>
      </c>
      <c r="G740" s="10"/>
      <c r="H740" s="31">
        <v>47</v>
      </c>
      <c r="I740" s="7" t="s">
        <v>1455</v>
      </c>
    </row>
    <row r="741" spans="1:9" hidden="1">
      <c r="A741" s="31">
        <f t="shared" si="0"/>
        <v>739</v>
      </c>
      <c r="B741" s="10" t="str">
        <f>LEFT(Table1[[#This Row],[EPI_DGN_ANTIC]],1)</f>
        <v>P</v>
      </c>
      <c r="C741" s="10" t="str">
        <f>LEFT(Table1[[#This Row],[EPI_DGN_ANTIC]],2)</f>
        <v>PE</v>
      </c>
      <c r="D741" s="10" t="s">
        <v>1456</v>
      </c>
      <c r="E741" s="10">
        <v>1</v>
      </c>
      <c r="F741" s="10" t="s">
        <v>1457</v>
      </c>
      <c r="G741" s="10"/>
      <c r="H741" s="31">
        <v>48</v>
      </c>
      <c r="I741" s="7" t="s">
        <v>1436</v>
      </c>
    </row>
    <row r="742" spans="1:9" hidden="1">
      <c r="A742" s="31">
        <f t="shared" si="0"/>
        <v>740</v>
      </c>
      <c r="B742" s="10" t="str">
        <f>LEFT(Table1[[#This Row],[EPI_DGN_ANTIC]],1)</f>
        <v>P</v>
      </c>
      <c r="C742" s="10" t="str">
        <f>LEFT(Table1[[#This Row],[EPI_DGN_ANTIC]],2)</f>
        <v>PE</v>
      </c>
      <c r="D742" s="10" t="s">
        <v>1458</v>
      </c>
      <c r="E742" s="10">
        <v>1</v>
      </c>
      <c r="F742" s="10" t="s">
        <v>1459</v>
      </c>
      <c r="G742" s="10"/>
      <c r="H742" s="31">
        <v>49</v>
      </c>
      <c r="I742" s="7" t="s">
        <v>1460</v>
      </c>
    </row>
    <row r="743" spans="1:9" hidden="1">
      <c r="A743" s="31">
        <f t="shared" si="0"/>
        <v>741</v>
      </c>
      <c r="B743" s="10" t="str">
        <f>LEFT(Table1[[#This Row],[EPI_DGN_ANTIC]],1)</f>
        <v>P</v>
      </c>
      <c r="C743" s="10" t="str">
        <f>LEFT(Table1[[#This Row],[EPI_DGN_ANTIC]],2)</f>
        <v>PE</v>
      </c>
      <c r="D743" s="10" t="s">
        <v>1461</v>
      </c>
      <c r="E743" s="10">
        <v>1</v>
      </c>
      <c r="F743" s="10" t="s">
        <v>1462</v>
      </c>
      <c r="G743" s="10"/>
      <c r="H743" s="31">
        <v>50</v>
      </c>
      <c r="I743" s="7" t="s">
        <v>1449</v>
      </c>
    </row>
    <row r="744" spans="1:9" hidden="1">
      <c r="A744" s="31">
        <f t="shared" si="0"/>
        <v>742</v>
      </c>
      <c r="B744" s="10" t="str">
        <f>LEFT(Table1[[#This Row],[EPI_DGN_ANTIC]],1)</f>
        <v>P</v>
      </c>
      <c r="C744" s="10" t="str">
        <f>LEFT(Table1[[#This Row],[EPI_DGN_ANTIC]],2)</f>
        <v>PE</v>
      </c>
      <c r="D744" s="10" t="s">
        <v>1463</v>
      </c>
      <c r="E744" s="10">
        <v>1</v>
      </c>
      <c r="F744" s="10" t="s">
        <v>1420</v>
      </c>
      <c r="G744" s="10"/>
      <c r="H744" s="31">
        <v>51</v>
      </c>
      <c r="I744" s="7" t="s">
        <v>1464</v>
      </c>
    </row>
    <row r="745" spans="1:9" hidden="1">
      <c r="A745" s="31">
        <f t="shared" si="0"/>
        <v>743</v>
      </c>
      <c r="B745" s="10" t="str">
        <f>LEFT(Table1[[#This Row],[EPI_DGN_ANTIC]],1)</f>
        <v>P</v>
      </c>
      <c r="C745" s="10" t="str">
        <f>LEFT(Table1[[#This Row],[EPI_DGN_ANTIC]],2)</f>
        <v>PE</v>
      </c>
      <c r="D745" s="10" t="s">
        <v>1465</v>
      </c>
      <c r="E745" s="10">
        <v>1</v>
      </c>
      <c r="F745" s="10" t="s">
        <v>1466</v>
      </c>
      <c r="G745" s="10"/>
      <c r="H745" s="31">
        <v>52</v>
      </c>
      <c r="I745" s="7" t="s">
        <v>1431</v>
      </c>
    </row>
    <row r="746" spans="1:9" hidden="1">
      <c r="A746" s="31">
        <f t="shared" si="0"/>
        <v>744</v>
      </c>
      <c r="B746" s="10" t="str">
        <f>LEFT(Table1[[#This Row],[EPI_DGN_ANTIC]],1)</f>
        <v>P</v>
      </c>
      <c r="C746" s="10" t="str">
        <f>LEFT(Table1[[#This Row],[EPI_DGN_ANTIC]],2)</f>
        <v>PE</v>
      </c>
      <c r="D746" s="10" t="s">
        <v>1467</v>
      </c>
      <c r="E746" s="10">
        <v>1</v>
      </c>
      <c r="F746" s="10" t="s">
        <v>1468</v>
      </c>
      <c r="G746" s="10"/>
      <c r="H746" s="31">
        <v>53</v>
      </c>
      <c r="I746" s="7" t="s">
        <v>1436</v>
      </c>
    </row>
    <row r="747" spans="1:9" hidden="1">
      <c r="A747" s="31">
        <f t="shared" si="0"/>
        <v>745</v>
      </c>
      <c r="B747" s="10" t="str">
        <f>LEFT(Table1[[#This Row],[EPI_DGN_ANTIC]],1)</f>
        <v>P</v>
      </c>
      <c r="C747" s="10" t="str">
        <f>LEFT(Table1[[#This Row],[EPI_DGN_ANTIC]],2)</f>
        <v>PE</v>
      </c>
      <c r="D747" s="10" t="s">
        <v>1469</v>
      </c>
      <c r="E747" s="10">
        <v>1</v>
      </c>
      <c r="F747" s="10" t="s">
        <v>1470</v>
      </c>
      <c r="G747" s="10"/>
      <c r="H747" s="31">
        <v>54</v>
      </c>
      <c r="I747" s="7" t="s">
        <v>1436</v>
      </c>
    </row>
    <row r="748" spans="1:9" hidden="1">
      <c r="A748" s="31">
        <f t="shared" si="0"/>
        <v>746</v>
      </c>
      <c r="B748" s="10" t="str">
        <f>LEFT(Table1[[#This Row],[EPI_DGN_ANTIC]],1)</f>
        <v>P</v>
      </c>
      <c r="C748" s="10" t="str">
        <f>LEFT(Table1[[#This Row],[EPI_DGN_ANTIC]],2)</f>
        <v>PE</v>
      </c>
      <c r="D748" s="10" t="s">
        <v>1471</v>
      </c>
      <c r="E748" s="10">
        <v>1</v>
      </c>
      <c r="F748" s="10" t="s">
        <v>1472</v>
      </c>
      <c r="G748" s="10"/>
      <c r="H748" s="31">
        <v>55</v>
      </c>
      <c r="I748" s="7" t="s">
        <v>1473</v>
      </c>
    </row>
    <row r="749" spans="1:9" hidden="1">
      <c r="A749" s="31">
        <f t="shared" si="0"/>
        <v>747</v>
      </c>
      <c r="B749" s="10" t="str">
        <f>LEFT(Table1[[#This Row],[EPI_DGN_ANTIC]],1)</f>
        <v>P</v>
      </c>
      <c r="C749" s="10" t="str">
        <f>LEFT(Table1[[#This Row],[EPI_DGN_ANTIC]],2)</f>
        <v>PE</v>
      </c>
      <c r="D749" s="10" t="s">
        <v>1474</v>
      </c>
      <c r="E749" s="10">
        <v>0</v>
      </c>
      <c r="F749" s="10"/>
      <c r="G749" s="10"/>
      <c r="H749" s="31">
        <v>56</v>
      </c>
      <c r="I749" s="7" t="s">
        <v>1436</v>
      </c>
    </row>
    <row r="750" spans="1:9" hidden="1">
      <c r="A750" s="31">
        <f t="shared" si="0"/>
        <v>748</v>
      </c>
      <c r="B750" s="10" t="str">
        <f>LEFT(Table1[[#This Row],[EPI_DGN_ANTIC]],1)</f>
        <v>P</v>
      </c>
      <c r="C750" s="10" t="str">
        <f>LEFT(Table1[[#This Row],[EPI_DGN_ANTIC]],2)</f>
        <v>PE</v>
      </c>
      <c r="D750" s="10" t="s">
        <v>1475</v>
      </c>
      <c r="E750" s="10">
        <v>1</v>
      </c>
      <c r="F750" s="10" t="s">
        <v>1476</v>
      </c>
      <c r="G750" s="10"/>
      <c r="H750" s="31">
        <v>57</v>
      </c>
      <c r="I750" s="7" t="s">
        <v>1477</v>
      </c>
    </row>
    <row r="751" spans="1:9" hidden="1">
      <c r="A751" s="31">
        <f t="shared" si="0"/>
        <v>749</v>
      </c>
      <c r="B751" s="10" t="str">
        <f>LEFT(Table1[[#This Row],[EPI_DGN_ANTIC]],1)</f>
        <v>P</v>
      </c>
      <c r="C751" s="10" t="str">
        <f>LEFT(Table1[[#This Row],[EPI_DGN_ANTIC]],2)</f>
        <v>PE</v>
      </c>
      <c r="D751" s="10" t="s">
        <v>1478</v>
      </c>
      <c r="E751" s="10">
        <v>1</v>
      </c>
      <c r="F751" s="10" t="s">
        <v>1479</v>
      </c>
      <c r="G751" s="10"/>
      <c r="H751" s="31">
        <v>58</v>
      </c>
      <c r="I751" s="7" t="s">
        <v>1480</v>
      </c>
    </row>
    <row r="752" spans="1:9" hidden="1">
      <c r="A752" s="31">
        <f t="shared" si="0"/>
        <v>750</v>
      </c>
      <c r="B752" s="10" t="str">
        <f>LEFT(Table1[[#This Row],[EPI_DGN_ANTIC]],1)</f>
        <v>P</v>
      </c>
      <c r="C752" s="10" t="str">
        <f>LEFT(Table1[[#This Row],[EPI_DGN_ANTIC]],2)</f>
        <v>PE</v>
      </c>
      <c r="D752" s="10" t="s">
        <v>1366</v>
      </c>
      <c r="E752" s="10">
        <v>1</v>
      </c>
      <c r="F752" s="10" t="s">
        <v>1479</v>
      </c>
      <c r="G752" s="10"/>
      <c r="H752" s="31">
        <v>59</v>
      </c>
      <c r="I752" s="7" t="s">
        <v>1481</v>
      </c>
    </row>
    <row r="753" spans="1:9" hidden="1">
      <c r="A753" s="31">
        <f t="shared" si="0"/>
        <v>751</v>
      </c>
      <c r="B753" s="10" t="str">
        <f>LEFT(Table1[[#This Row],[EPI_DGN_ANTIC]],1)</f>
        <v>P</v>
      </c>
      <c r="C753" s="10" t="str">
        <f>LEFT(Table1[[#This Row],[EPI_DGN_ANTIC]],2)</f>
        <v>PE</v>
      </c>
      <c r="D753" s="10" t="s">
        <v>1482</v>
      </c>
      <c r="E753" s="10">
        <v>1</v>
      </c>
      <c r="F753" s="10" t="s">
        <v>1483</v>
      </c>
      <c r="G753" s="10"/>
      <c r="H753" s="31">
        <v>60</v>
      </c>
      <c r="I753" s="7" t="s">
        <v>1484</v>
      </c>
    </row>
    <row r="754" spans="1:9" hidden="1">
      <c r="A754" s="31">
        <f t="shared" si="0"/>
        <v>752</v>
      </c>
      <c r="B754" s="10" t="str">
        <f>LEFT(Table1[[#This Row],[EPI_DGN_ANTIC]],1)</f>
        <v>P</v>
      </c>
      <c r="C754" s="10" t="str">
        <f>LEFT(Table1[[#This Row],[EPI_DGN_ANTIC]],2)</f>
        <v>PE</v>
      </c>
      <c r="D754" s="10" t="s">
        <v>1485</v>
      </c>
      <c r="E754" s="10">
        <v>1</v>
      </c>
      <c r="F754" s="10" t="s">
        <v>1486</v>
      </c>
      <c r="G754" s="10"/>
      <c r="H754" s="31">
        <v>61</v>
      </c>
      <c r="I754" s="7" t="s">
        <v>1487</v>
      </c>
    </row>
    <row r="755" spans="1:9" hidden="1">
      <c r="A755" s="31">
        <f t="shared" si="0"/>
        <v>753</v>
      </c>
      <c r="B755" s="10" t="str">
        <f>LEFT(Table1[[#This Row],[EPI_DGN_ANTIC]],1)</f>
        <v>P</v>
      </c>
      <c r="C755" s="10" t="str">
        <f>LEFT(Table1[[#This Row],[EPI_DGN_ANTIC]],2)</f>
        <v>PE</v>
      </c>
      <c r="D755" s="10" t="s">
        <v>1488</v>
      </c>
      <c r="E755" s="10">
        <v>1</v>
      </c>
      <c r="F755" s="10" t="s">
        <v>1483</v>
      </c>
      <c r="G755" s="10"/>
      <c r="H755" s="31">
        <v>62</v>
      </c>
      <c r="I755" s="7" t="s">
        <v>1487</v>
      </c>
    </row>
    <row r="756" spans="1:9" hidden="1">
      <c r="A756" s="31">
        <f t="shared" si="0"/>
        <v>754</v>
      </c>
      <c r="B756" s="10" t="str">
        <f>LEFT(Table1[[#This Row],[EPI_DGN_ANTIC]],1)</f>
        <v>P</v>
      </c>
      <c r="C756" s="10" t="str">
        <f>LEFT(Table1[[#This Row],[EPI_DGN_ANTIC]],2)</f>
        <v>PE</v>
      </c>
      <c r="D756" s="10" t="s">
        <v>1489</v>
      </c>
      <c r="E756" s="10">
        <v>1</v>
      </c>
      <c r="F756" s="10" t="s">
        <v>1490</v>
      </c>
      <c r="G756" s="10"/>
      <c r="H756" s="31">
        <v>63</v>
      </c>
      <c r="I756" s="7" t="s">
        <v>1491</v>
      </c>
    </row>
    <row r="757" spans="1:9" hidden="1">
      <c r="A757" s="31">
        <f t="shared" si="0"/>
        <v>755</v>
      </c>
      <c r="B757" s="10" t="str">
        <f>LEFT(Table1[[#This Row],[EPI_DGN_ANTIC]],1)</f>
        <v>P</v>
      </c>
      <c r="C757" s="10" t="str">
        <f>LEFT(Table1[[#This Row],[EPI_DGN_ANTIC]],2)</f>
        <v>PE</v>
      </c>
      <c r="D757" s="10" t="s">
        <v>1492</v>
      </c>
      <c r="E757" s="10">
        <v>0</v>
      </c>
      <c r="F757" s="10"/>
      <c r="G757" s="10"/>
      <c r="H757" s="31">
        <v>64</v>
      </c>
      <c r="I757" s="7" t="s">
        <v>1491</v>
      </c>
    </row>
    <row r="758" spans="1:9" hidden="1">
      <c r="A758" s="31">
        <f t="shared" si="0"/>
        <v>756</v>
      </c>
      <c r="B758" s="10" t="str">
        <f>LEFT(Table1[[#This Row],[EPI_DGN_ANTIC]],1)</f>
        <v>P</v>
      </c>
      <c r="C758" s="10" t="str">
        <f>LEFT(Table1[[#This Row],[EPI_DGN_ANTIC]],3)</f>
        <v>PEP</v>
      </c>
      <c r="D758" s="10" t="s">
        <v>1493</v>
      </c>
      <c r="E758" s="10">
        <v>1</v>
      </c>
      <c r="F758" s="10" t="s">
        <v>1494</v>
      </c>
      <c r="G758" s="10"/>
      <c r="H758" s="31">
        <v>65</v>
      </c>
      <c r="I758" s="7" t="s">
        <v>1495</v>
      </c>
    </row>
    <row r="759" spans="1:9" hidden="1">
      <c r="A759" s="31">
        <f t="shared" ref="A759:A822" si="1">A758+1</f>
        <v>757</v>
      </c>
      <c r="B759" s="10" t="str">
        <f>LEFT(Table1[[#This Row],[EPI_DGN_ANTIC]],1)</f>
        <v>P</v>
      </c>
      <c r="C759" s="10" t="str">
        <f>LEFT(Table1[[#This Row],[EPI_DGN_ANTIC]],3)</f>
        <v>PEP</v>
      </c>
      <c r="D759" s="10" t="s">
        <v>1496</v>
      </c>
      <c r="E759" s="10">
        <v>1</v>
      </c>
      <c r="F759" s="10" t="s">
        <v>1497</v>
      </c>
      <c r="G759" s="10"/>
      <c r="H759" s="31">
        <v>66</v>
      </c>
      <c r="I759" s="7" t="s">
        <v>590</v>
      </c>
    </row>
    <row r="760" spans="1:9" hidden="1">
      <c r="A760" s="31">
        <f t="shared" si="1"/>
        <v>758</v>
      </c>
      <c r="B760" s="10" t="str">
        <f>LEFT(Table1[[#This Row],[EPI_DGN_ANTIC]],1)</f>
        <v>P</v>
      </c>
      <c r="C760" s="10" t="str">
        <f>LEFT(Table1[[#This Row],[EPI_DGN_ANTIC]],3)</f>
        <v>PEP</v>
      </c>
      <c r="D760" s="10" t="s">
        <v>1498</v>
      </c>
      <c r="E760" s="10">
        <v>0</v>
      </c>
      <c r="F760" s="10"/>
      <c r="G760" s="10"/>
      <c r="H760" s="31">
        <v>67</v>
      </c>
      <c r="I760" s="7" t="s">
        <v>1499</v>
      </c>
    </row>
    <row r="761" spans="1:9" hidden="1">
      <c r="A761" s="31">
        <f t="shared" si="1"/>
        <v>759</v>
      </c>
      <c r="B761" s="10" t="str">
        <f>LEFT(Table1[[#This Row],[EPI_DGN_ANTIC]],1)</f>
        <v>P</v>
      </c>
      <c r="C761" s="10" t="str">
        <f>LEFT(Table1[[#This Row],[EPI_DGN_ANTIC]],3)</f>
        <v>POR</v>
      </c>
      <c r="D761" s="10" t="s">
        <v>1500</v>
      </c>
      <c r="E761" s="10">
        <v>1</v>
      </c>
      <c r="F761" s="10" t="s">
        <v>1501</v>
      </c>
      <c r="G761" s="10"/>
      <c r="H761" s="31">
        <v>68</v>
      </c>
      <c r="I761" s="7" t="s">
        <v>1502</v>
      </c>
    </row>
    <row r="762" spans="1:9" hidden="1">
      <c r="A762" s="31">
        <f t="shared" si="1"/>
        <v>760</v>
      </c>
      <c r="B762" s="10" t="str">
        <f>LEFT(Table1[[#This Row],[EPI_DGN_ANTIC]],1)</f>
        <v>P</v>
      </c>
      <c r="C762" s="10" t="str">
        <f>LEFT(Table1[[#This Row],[EPI_DGN_ANTIC]],3)</f>
        <v>PP</v>
      </c>
      <c r="D762" s="10" t="s">
        <v>1503</v>
      </c>
      <c r="E762" s="10">
        <v>1</v>
      </c>
      <c r="F762" s="10" t="s">
        <v>1504</v>
      </c>
      <c r="G762" s="10"/>
      <c r="H762" s="31">
        <v>69</v>
      </c>
      <c r="I762" s="7" t="s">
        <v>1502</v>
      </c>
    </row>
    <row r="763" spans="1:9" hidden="1">
      <c r="A763" s="31">
        <f t="shared" si="1"/>
        <v>761</v>
      </c>
      <c r="B763" s="10" t="str">
        <f>LEFT(Table1[[#This Row],[EPI_DGN_ANTIC]],1)</f>
        <v>P</v>
      </c>
      <c r="C763" s="10" t="str">
        <f>LEFT(Table1[[#This Row],[EPI_DGN_ANTIC]],3)</f>
        <v>POR</v>
      </c>
      <c r="D763" s="10" t="s">
        <v>1505</v>
      </c>
      <c r="E763" s="10">
        <v>1</v>
      </c>
      <c r="F763" s="10" t="s">
        <v>1506</v>
      </c>
      <c r="G763" s="10"/>
      <c r="H763" s="31">
        <v>70</v>
      </c>
      <c r="I763" s="7" t="s">
        <v>191</v>
      </c>
    </row>
    <row r="764" spans="1:9" hidden="1">
      <c r="A764" s="31">
        <f t="shared" si="1"/>
        <v>762</v>
      </c>
      <c r="B764" s="10" t="str">
        <f>LEFT(Table1[[#This Row],[EPI_DGN_ANTIC]],1)</f>
        <v>P</v>
      </c>
      <c r="C764" s="10" t="str">
        <f>LEFT(Table1[[#This Row],[EPI_DGN_ANTIC]],3)</f>
        <v>POR</v>
      </c>
      <c r="D764" s="10" t="s">
        <v>1507</v>
      </c>
      <c r="E764" s="10">
        <v>1</v>
      </c>
      <c r="F764" s="10" t="s">
        <v>1508</v>
      </c>
      <c r="G764" s="10"/>
      <c r="H764" s="31">
        <v>71</v>
      </c>
      <c r="I764" s="7" t="s">
        <v>1509</v>
      </c>
    </row>
    <row r="765" spans="1:9" hidden="1">
      <c r="A765" s="31">
        <f t="shared" si="1"/>
        <v>763</v>
      </c>
      <c r="B765" s="10" t="str">
        <f>LEFT(Table1[[#This Row],[EPI_DGN_ANTIC]],1)</f>
        <v>P</v>
      </c>
      <c r="C765" s="10" t="str">
        <f>LEFT(Table1[[#This Row],[EPI_DGN_ANTIC]],3)</f>
        <v>POR</v>
      </c>
      <c r="D765" s="10" t="s">
        <v>1510</v>
      </c>
      <c r="E765" s="10">
        <v>1</v>
      </c>
      <c r="F765" s="10" t="s">
        <v>1511</v>
      </c>
      <c r="G765" s="10"/>
      <c r="H765" s="31">
        <v>72</v>
      </c>
      <c r="I765" s="7" t="s">
        <v>1512</v>
      </c>
    </row>
    <row r="766" spans="1:9" hidden="1">
      <c r="A766" s="31">
        <f t="shared" si="1"/>
        <v>764</v>
      </c>
      <c r="B766" s="10" t="str">
        <f>LEFT(Table1[[#This Row],[EPI_DGN_ANTIC]],1)</f>
        <v>P</v>
      </c>
      <c r="C766" s="10" t="str">
        <f>LEFT(Table1[[#This Row],[EPI_DGN_ANTIC]],3)</f>
        <v>PPa</v>
      </c>
      <c r="D766" s="10" t="s">
        <v>1513</v>
      </c>
      <c r="E766" s="10">
        <v>1</v>
      </c>
      <c r="F766" s="10" t="s">
        <v>1514</v>
      </c>
      <c r="G766" s="10"/>
      <c r="H766" s="31">
        <v>73</v>
      </c>
      <c r="I766" s="7" t="s">
        <v>1515</v>
      </c>
    </row>
    <row r="767" spans="1:9" hidden="1">
      <c r="A767" s="31">
        <f t="shared" si="1"/>
        <v>765</v>
      </c>
      <c r="B767" s="10" t="str">
        <f>LEFT(Table1[[#This Row],[EPI_DGN_ANTIC]],1)</f>
        <v>P</v>
      </c>
      <c r="C767" s="10" t="str">
        <f>LEFT(Table1[[#This Row],[EPI_DGN_ANTIC]],3)</f>
        <v>PPa</v>
      </c>
      <c r="D767" s="10" t="s">
        <v>1516</v>
      </c>
      <c r="E767" s="10">
        <v>1</v>
      </c>
      <c r="F767" s="10" t="s">
        <v>1517</v>
      </c>
      <c r="G767" s="10"/>
      <c r="H767" s="31">
        <v>74</v>
      </c>
      <c r="I767" s="7" t="s">
        <v>125</v>
      </c>
    </row>
    <row r="768" spans="1:9" hidden="1">
      <c r="A768" s="31">
        <f t="shared" si="1"/>
        <v>766</v>
      </c>
      <c r="B768" s="10" t="str">
        <f>LEFT(Table1[[#This Row],[EPI_DGN_ANTIC]],1)</f>
        <v>Q</v>
      </c>
      <c r="C768" s="10" t="str">
        <f>LEFT(Table1[[#This Row],[EPI_DGN_ANTIC]],3)</f>
        <v>QPH</v>
      </c>
      <c r="D768" s="10" t="s">
        <v>1518</v>
      </c>
      <c r="E768" s="10">
        <v>0</v>
      </c>
      <c r="F768" s="10"/>
      <c r="G768" s="10"/>
      <c r="H768" s="31">
        <v>75</v>
      </c>
      <c r="I768" s="7" t="s">
        <v>1519</v>
      </c>
    </row>
    <row r="769" spans="1:9" hidden="1">
      <c r="A769" s="31">
        <f t="shared" si="1"/>
        <v>767</v>
      </c>
      <c r="B769" s="10" t="str">
        <f>LEFT(Table1[[#This Row],[EPI_DGN_ANTIC]],1)</f>
        <v>Q</v>
      </c>
      <c r="C769" s="10" t="str">
        <f>LEFT(Table1[[#This Row],[EPI_DGN_ANTIC]],3)</f>
        <v>QPl</v>
      </c>
      <c r="D769" s="10" t="s">
        <v>1520</v>
      </c>
      <c r="E769" s="10">
        <v>1</v>
      </c>
      <c r="F769" s="10" t="s">
        <v>1521</v>
      </c>
      <c r="G769" s="10"/>
      <c r="H769" s="31">
        <v>76</v>
      </c>
      <c r="I769" s="7" t="s">
        <v>1522</v>
      </c>
    </row>
    <row r="770" spans="1:9" hidden="1">
      <c r="A770" s="31">
        <f t="shared" si="1"/>
        <v>768</v>
      </c>
      <c r="B770" s="10" t="str">
        <f>LEFT(Table1[[#This Row],[EPI_DGN_ANTIC]],1)</f>
        <v>Q</v>
      </c>
      <c r="C770" s="10" t="str">
        <f>LEFT(Table1[[#This Row],[EPI_DGN_ANTIC]],3)</f>
        <v>QPH</v>
      </c>
      <c r="D770" s="10" t="s">
        <v>1523</v>
      </c>
      <c r="E770" s="10">
        <v>1</v>
      </c>
      <c r="F770" s="10" t="s">
        <v>1524</v>
      </c>
      <c r="G770" s="10"/>
      <c r="H770" s="31">
        <v>77</v>
      </c>
      <c r="I770" s="7" t="s">
        <v>1525</v>
      </c>
    </row>
    <row r="771" spans="1:9" hidden="1">
      <c r="A771" s="31">
        <f t="shared" si="1"/>
        <v>769</v>
      </c>
      <c r="B771" s="10" t="str">
        <f>LEFT(Table1[[#This Row],[EPI_DGN_ANTIC]],1)</f>
        <v>P</v>
      </c>
      <c r="C771" s="10" t="str">
        <f>LEFT(Table1[[#This Row],[EPI_DGN_ANTIC]],3)</f>
        <v>P</v>
      </c>
      <c r="D771" s="10" t="s">
        <v>1526</v>
      </c>
      <c r="E771" s="10">
        <v>1</v>
      </c>
      <c r="F771" s="10" t="s">
        <v>1527</v>
      </c>
      <c r="G771" s="10"/>
      <c r="H771" s="31">
        <v>78</v>
      </c>
      <c r="I771" s="7" t="s">
        <v>1528</v>
      </c>
    </row>
    <row r="772" spans="1:9" hidden="1">
      <c r="A772" s="31">
        <f t="shared" si="1"/>
        <v>770</v>
      </c>
      <c r="B772" s="10" t="str">
        <f>LEFT(Table1[[#This Row],[EPI_DGN_ANTIC]],1)</f>
        <v>P</v>
      </c>
      <c r="C772" s="10" t="str">
        <f>LEFT(Table1[[#This Row],[EPI_DGN_ANTIC]],3)</f>
        <v>PPD</v>
      </c>
      <c r="D772" s="10" t="s">
        <v>1529</v>
      </c>
      <c r="E772" s="10">
        <v>1</v>
      </c>
      <c r="F772" s="10" t="s">
        <v>1483</v>
      </c>
      <c r="G772" s="10"/>
      <c r="H772" s="31">
        <v>79</v>
      </c>
      <c r="I772" s="7" t="s">
        <v>1530</v>
      </c>
    </row>
    <row r="773" spans="1:9" hidden="1">
      <c r="A773" s="31">
        <f t="shared" si="1"/>
        <v>771</v>
      </c>
      <c r="B773" s="10" t="str">
        <f>LEFT(Table1[[#This Row],[EPI_DGN_ANTIC]],1)</f>
        <v>P</v>
      </c>
      <c r="C773" s="10" t="str">
        <f>LEFT(Table1[[#This Row],[EPI_DGN_ANTIC]],3)</f>
        <v>PPD</v>
      </c>
      <c r="D773" s="10" t="s">
        <v>1531</v>
      </c>
      <c r="E773" s="10">
        <v>1</v>
      </c>
      <c r="F773" s="10" t="s">
        <v>1532</v>
      </c>
      <c r="G773" s="10"/>
      <c r="H773" s="31">
        <v>80</v>
      </c>
      <c r="I773" s="7" t="s">
        <v>1533</v>
      </c>
    </row>
    <row r="774" spans="1:9" hidden="1">
      <c r="A774" s="31">
        <f t="shared" si="1"/>
        <v>772</v>
      </c>
      <c r="B774" s="10" t="str">
        <f>LEFT(Table1[[#This Row],[EPI_DGN_ANTIC]],1)</f>
        <v>P</v>
      </c>
      <c r="C774" s="10" t="str">
        <f>LEFT(Table1[[#This Row],[EPI_DGN_ANTIC]],3)</f>
        <v>PPm</v>
      </c>
      <c r="D774" s="10" t="s">
        <v>1534</v>
      </c>
      <c r="E774" s="10">
        <v>1</v>
      </c>
      <c r="F774" s="10" t="s">
        <v>1535</v>
      </c>
      <c r="G774" s="10"/>
      <c r="H774" s="31">
        <v>81</v>
      </c>
      <c r="I774" s="7" t="s">
        <v>1536</v>
      </c>
    </row>
    <row r="775" spans="1:9" hidden="1">
      <c r="A775" s="31">
        <f t="shared" si="1"/>
        <v>773</v>
      </c>
      <c r="B775" s="10" t="str">
        <f>LEFT(Table1[[#This Row],[EPI_DGN_ANTIC]],1)</f>
        <v>P</v>
      </c>
      <c r="C775" s="10" t="str">
        <f>LEFT(Table1[[#This Row],[EPI_DGN_ANTIC]],3)</f>
        <v>PPT</v>
      </c>
      <c r="D775" s="10" t="s">
        <v>1537</v>
      </c>
      <c r="E775" s="10">
        <v>1</v>
      </c>
      <c r="F775" s="10" t="s">
        <v>1538</v>
      </c>
      <c r="G775" s="10"/>
      <c r="H775" s="31">
        <v>82</v>
      </c>
      <c r="I775" s="7" t="s">
        <v>1539</v>
      </c>
    </row>
    <row r="776" spans="1:9" hidden="1">
      <c r="A776" s="31">
        <f t="shared" si="1"/>
        <v>774</v>
      </c>
      <c r="B776" s="10" t="str">
        <f>LEFT(Table1[[#This Row],[EPI_DGN_ANTIC]],1)</f>
        <v>P</v>
      </c>
      <c r="C776" s="10" t="str">
        <f>LEFT(Table1[[#This Row],[EPI_DGN_ANTIC]],3)</f>
        <v>PPT</v>
      </c>
      <c r="D776" s="10" t="s">
        <v>1540</v>
      </c>
      <c r="E776" s="10">
        <v>1</v>
      </c>
      <c r="F776" s="10" t="s">
        <v>1538</v>
      </c>
      <c r="G776" s="10"/>
      <c r="H776" s="31">
        <v>83</v>
      </c>
      <c r="I776" s="7" t="s">
        <v>1541</v>
      </c>
    </row>
    <row r="777" spans="1:9" hidden="1">
      <c r="A777" s="31">
        <f t="shared" si="1"/>
        <v>775</v>
      </c>
      <c r="B777" s="10" t="str">
        <f>LEFT(Table1[[#This Row],[EPI_DGN_ANTIC]],1)</f>
        <v>N</v>
      </c>
      <c r="C777" s="10" t="str">
        <f>LEFT(Table1[[#This Row],[EPI_DGN_ANTIC]],3)</f>
        <v>NML</v>
      </c>
      <c r="D777" s="10" t="s">
        <v>1542</v>
      </c>
      <c r="E777" s="10">
        <v>1</v>
      </c>
      <c r="F777" s="10" t="s">
        <v>1543</v>
      </c>
      <c r="G777" s="10"/>
      <c r="H777" s="31">
        <v>84</v>
      </c>
      <c r="I777" s="7" t="s">
        <v>1544</v>
      </c>
    </row>
    <row r="778" spans="1:9" hidden="1">
      <c r="A778" s="31">
        <f t="shared" si="1"/>
        <v>776</v>
      </c>
      <c r="B778" s="10" t="str">
        <f>LEFT(Table1[[#This Row],[EPI_DGN_ANTIC]],1)</f>
        <v>N</v>
      </c>
      <c r="C778" s="10" t="str">
        <f>LEFT(Table1[[#This Row],[EPI_DGN_ANTIC]],3)</f>
        <v>NMS</v>
      </c>
      <c r="D778" s="10" t="s">
        <v>1545</v>
      </c>
      <c r="E778" s="10">
        <v>1</v>
      </c>
      <c r="F778" s="10" t="s">
        <v>1546</v>
      </c>
      <c r="G778" s="10"/>
      <c r="H778" s="31">
        <v>85</v>
      </c>
      <c r="I778" s="7" t="s">
        <v>1547</v>
      </c>
    </row>
    <row r="779" spans="1:9" hidden="1">
      <c r="A779" s="31">
        <f t="shared" si="1"/>
        <v>777</v>
      </c>
      <c r="B779" s="10" t="str">
        <f>LEFT(Table1[[#This Row],[EPI_DGN_ANTIC]],1)</f>
        <v>N</v>
      </c>
      <c r="C779" s="10" t="str">
        <f>LEFT(Table1[[#This Row],[EPI_DGN_ANTIC]],3)</f>
        <v>NMS</v>
      </c>
      <c r="D779" s="10" t="s">
        <v>1548</v>
      </c>
      <c r="E779" s="10">
        <v>1</v>
      </c>
      <c r="F779" s="10" t="s">
        <v>1546</v>
      </c>
      <c r="G779" s="10"/>
      <c r="H779" s="31">
        <v>86</v>
      </c>
      <c r="I779" s="7" t="s">
        <v>1549</v>
      </c>
    </row>
    <row r="780" spans="1:9" hidden="1">
      <c r="A780" s="31">
        <f t="shared" si="1"/>
        <v>778</v>
      </c>
      <c r="B780" s="10" t="str">
        <f>LEFT(Table1[[#This Row],[EPI_DGN_ANTIC]],1)</f>
        <v>N</v>
      </c>
      <c r="C780" s="10" t="str">
        <f>LEFT(Table1[[#This Row],[EPI_DGN_ANTIC]],2)</f>
        <v>NM</v>
      </c>
      <c r="D780" s="10" t="s">
        <v>1550</v>
      </c>
      <c r="E780" s="10">
        <v>0</v>
      </c>
      <c r="F780" s="10"/>
      <c r="G780" s="10"/>
      <c r="H780" s="31">
        <v>87</v>
      </c>
      <c r="I780" s="7" t="s">
        <v>1551</v>
      </c>
    </row>
    <row r="781" spans="1:9" hidden="1">
      <c r="A781" s="31">
        <f t="shared" si="1"/>
        <v>779</v>
      </c>
      <c r="B781" s="10" t="str">
        <f>LEFT(Table1[[#This Row],[EPI_DGN_ANTIC]],1)</f>
        <v>N</v>
      </c>
      <c r="C781" s="10" t="str">
        <f>LEFT(Table1[[#This Row],[EPI_DGN_ANTIC]],2)</f>
        <v>NP</v>
      </c>
      <c r="D781" s="10" t="s">
        <v>1550</v>
      </c>
      <c r="E781" s="10">
        <v>0</v>
      </c>
      <c r="F781" s="10"/>
      <c r="G781" s="10"/>
      <c r="H781" s="31">
        <v>88</v>
      </c>
      <c r="I781" s="7" t="s">
        <v>1552</v>
      </c>
    </row>
    <row r="782" spans="1:9" hidden="1">
      <c r="A782" s="31">
        <f t="shared" si="1"/>
        <v>780</v>
      </c>
      <c r="B782" s="10" t="str">
        <f>LEFT(Table1[[#This Row],[EPI_DGN_ANTIC]],1)</f>
        <v>N</v>
      </c>
      <c r="C782" s="10" t="str">
        <f>LEFT(Table1[[#This Row],[EPI_DGN_ANTIC]],2)</f>
        <v>NP</v>
      </c>
      <c r="D782" s="10" t="s">
        <v>1553</v>
      </c>
      <c r="E782" s="10">
        <v>1</v>
      </c>
      <c r="F782" s="10" t="s">
        <v>794</v>
      </c>
      <c r="G782" s="10"/>
      <c r="H782" s="31">
        <v>89</v>
      </c>
      <c r="I782" s="7" t="s">
        <v>1554</v>
      </c>
    </row>
    <row r="783" spans="1:9" hidden="1">
      <c r="A783" s="31">
        <f t="shared" si="1"/>
        <v>781</v>
      </c>
      <c r="B783" s="10" t="str">
        <f>LEFT(Table1[[#This Row],[EPI_DGN_ANTIC]],1)</f>
        <v>N</v>
      </c>
      <c r="C783" s="10" t="str">
        <f>LEFT(Table1[[#This Row],[EPI_DGN_ANTIC]],3)</f>
        <v>NPc</v>
      </c>
      <c r="D783" s="10" t="s">
        <v>1555</v>
      </c>
      <c r="E783" s="10">
        <v>1</v>
      </c>
      <c r="F783" s="10" t="s">
        <v>802</v>
      </c>
      <c r="G783" s="10"/>
      <c r="H783" s="31">
        <v>90</v>
      </c>
      <c r="I783" s="7" t="s">
        <v>1556</v>
      </c>
    </row>
    <row r="784" spans="1:9" hidden="1">
      <c r="A784" s="31">
        <f t="shared" si="1"/>
        <v>782</v>
      </c>
      <c r="B784" s="10" t="str">
        <f>LEFT(Table1[[#This Row],[EPI_DGN_ANTIC]],1)</f>
        <v>N</v>
      </c>
      <c r="C784" s="10" t="str">
        <f>LEFT(Table1[[#This Row],[EPI_DGN_ANTIC]],2)</f>
        <v>NP</v>
      </c>
      <c r="D784" s="10" t="s">
        <v>1557</v>
      </c>
      <c r="E784" s="10">
        <v>1</v>
      </c>
      <c r="F784" s="10" t="s">
        <v>1558</v>
      </c>
      <c r="G784" s="10"/>
      <c r="H784" s="31">
        <v>91</v>
      </c>
      <c r="I784" s="7" t="s">
        <v>1559</v>
      </c>
    </row>
    <row r="785" spans="1:9" hidden="1">
      <c r="A785" s="31">
        <f t="shared" si="1"/>
        <v>783</v>
      </c>
      <c r="B785" s="10" t="str">
        <f>LEFT(Table1[[#This Row],[EPI_DGN_ANTIC]],1)</f>
        <v>Q</v>
      </c>
      <c r="C785" s="10" t="str">
        <f>LEFT(Table1[[#This Row],[EPI_DGN_ANTIC]],2)</f>
        <v>QH</v>
      </c>
      <c r="D785" s="10" t="s">
        <v>1560</v>
      </c>
      <c r="E785" s="10">
        <v>1</v>
      </c>
      <c r="F785" s="10" t="s">
        <v>1561</v>
      </c>
      <c r="G785" s="10"/>
      <c r="H785" s="31">
        <v>92</v>
      </c>
      <c r="I785" s="7" t="s">
        <v>1562</v>
      </c>
    </row>
    <row r="786" spans="1:9" hidden="1">
      <c r="A786" s="31">
        <f t="shared" si="1"/>
        <v>784</v>
      </c>
      <c r="B786" s="10" t="str">
        <f>LEFT(Table1[[#This Row],[EPI_DGN_ANTIC]],1)</f>
        <v>Q</v>
      </c>
      <c r="C786" s="10" t="str">
        <f>LEFT(Table1[[#This Row],[EPI_DGN_ANTIC]],2)</f>
        <v>QP</v>
      </c>
      <c r="D786" s="10" t="s">
        <v>1563</v>
      </c>
      <c r="E786" s="10">
        <v>0</v>
      </c>
      <c r="F786" s="10"/>
      <c r="G786" s="10"/>
      <c r="H786" s="31">
        <v>93</v>
      </c>
      <c r="I786" s="7" t="s">
        <v>1564</v>
      </c>
    </row>
    <row r="787" spans="1:9" hidden="1">
      <c r="A787" s="31">
        <f t="shared" si="1"/>
        <v>785</v>
      </c>
      <c r="B787" s="10" t="str">
        <f>LEFT(Table1[[#This Row],[EPI_DGN_ANTIC]],1)</f>
        <v>Q</v>
      </c>
      <c r="C787" s="10" t="str">
        <f>LEFT(Table1[[#This Row],[EPI_DGN_ANTIC]],2)</f>
        <v>QP</v>
      </c>
      <c r="D787" s="10" t="s">
        <v>1565</v>
      </c>
      <c r="E787" s="10">
        <v>1</v>
      </c>
      <c r="F787" s="10" t="s">
        <v>1566</v>
      </c>
      <c r="G787" s="10"/>
      <c r="H787" s="31">
        <v>94</v>
      </c>
      <c r="I787" s="7" t="s">
        <v>1562</v>
      </c>
    </row>
    <row r="788" spans="1:9" hidden="1">
      <c r="A788" s="31">
        <f t="shared" si="1"/>
        <v>786</v>
      </c>
      <c r="B788" s="10" t="str">
        <f>LEFT(Table1[[#This Row],[EPI_DGN_ANTIC]],1)</f>
        <v>N</v>
      </c>
      <c r="C788" s="10" t="str">
        <f>LEFT(Table1[[#This Row],[EPI_DGN_ANTIC]],3)</f>
        <v>NMS</v>
      </c>
      <c r="D788" s="10" t="s">
        <v>1567</v>
      </c>
      <c r="E788" s="10">
        <v>0</v>
      </c>
      <c r="F788" s="10"/>
      <c r="G788" s="10"/>
      <c r="H788" s="31">
        <v>95</v>
      </c>
      <c r="I788" s="7" t="s">
        <v>1562</v>
      </c>
    </row>
    <row r="789" spans="1:9" hidden="1">
      <c r="A789" s="31">
        <f t="shared" si="1"/>
        <v>787</v>
      </c>
      <c r="B789" s="10" t="str">
        <f>LEFT(Table1[[#This Row],[EPI_DGN_ANTIC]],1)</f>
        <v>N</v>
      </c>
      <c r="C789" s="10" t="str">
        <f>LEFT(Table1[[#This Row],[EPI_DGN_ANTIC]],3)</f>
        <v>NMS</v>
      </c>
      <c r="D789" s="10" t="s">
        <v>1568</v>
      </c>
      <c r="E789" s="10">
        <v>1</v>
      </c>
      <c r="F789" s="10" t="s">
        <v>1569</v>
      </c>
      <c r="G789" s="10"/>
      <c r="H789" s="31">
        <v>96</v>
      </c>
      <c r="I789" s="7" t="s">
        <v>1570</v>
      </c>
    </row>
    <row r="790" spans="1:9" hidden="1">
      <c r="A790" s="31">
        <f t="shared" si="1"/>
        <v>788</v>
      </c>
      <c r="B790" s="10" t="str">
        <f>LEFT(Table1[[#This Row],[EPI_DGN_ANTIC]],1)</f>
        <v>N</v>
      </c>
      <c r="C790" s="10" t="str">
        <f>LEFT(Table1[[#This Row],[EPI_DGN_ANTIC]],3)</f>
        <v>NPc</v>
      </c>
      <c r="D790" s="10" t="s">
        <v>1571</v>
      </c>
      <c r="E790" s="10">
        <v>1</v>
      </c>
      <c r="F790" s="10" t="s">
        <v>1572</v>
      </c>
      <c r="G790" s="10"/>
      <c r="H790" s="31">
        <v>97</v>
      </c>
      <c r="I790" s="7" t="s">
        <v>1570</v>
      </c>
    </row>
    <row r="791" spans="1:9" hidden="1">
      <c r="A791" s="31">
        <f t="shared" si="1"/>
        <v>789</v>
      </c>
      <c r="B791" s="10" t="str">
        <f>LEFT(Table1[[#This Row],[EPI_DGN_ANTIC]],1)</f>
        <v>T</v>
      </c>
      <c r="C791" s="10" t="str">
        <f>LEFT(Table1[[#This Row],[EPI_DGN_ANTIC]],2)</f>
        <v>Tl</v>
      </c>
      <c r="D791" s="10" t="s">
        <v>1573</v>
      </c>
      <c r="E791" s="10">
        <v>1</v>
      </c>
      <c r="F791" s="10" t="s">
        <v>794</v>
      </c>
      <c r="G791" s="10"/>
      <c r="H791" s="31">
        <v>98</v>
      </c>
      <c r="I791" s="7" t="s">
        <v>1574</v>
      </c>
    </row>
    <row r="792" spans="1:9" hidden="1">
      <c r="A792" s="31">
        <f t="shared" si="1"/>
        <v>790</v>
      </c>
      <c r="B792" s="10" t="str">
        <f>LEFT(Table1[[#This Row],[EPI_DGN_ANTIC]],1)</f>
        <v>T</v>
      </c>
      <c r="C792" s="10" t="str">
        <f>LEFT(Table1[[#This Row],[EPI_DGN_ANTIC]],3)</f>
        <v>Tkl</v>
      </c>
      <c r="D792" s="10" t="s">
        <v>1575</v>
      </c>
      <c r="E792" s="10">
        <v>1</v>
      </c>
      <c r="F792" s="10" t="s">
        <v>1576</v>
      </c>
      <c r="G792" s="10"/>
      <c r="H792" s="31">
        <v>99</v>
      </c>
      <c r="I792" s="7" t="s">
        <v>1577</v>
      </c>
    </row>
    <row r="793" spans="1:9" hidden="1">
      <c r="A793" s="31">
        <f t="shared" si="1"/>
        <v>791</v>
      </c>
      <c r="B793" s="10" t="str">
        <f>LEFT(Table1[[#This Row],[EPI_DGN_ANTIC]],1)</f>
        <v>T</v>
      </c>
      <c r="C793" s="10" t="str">
        <f>LEFT(Table1[[#This Row],[EPI_DGN_ANTIC]],3)</f>
        <v>Tkd</v>
      </c>
      <c r="D793" s="10" t="s">
        <v>1578</v>
      </c>
      <c r="E793" s="10">
        <v>1</v>
      </c>
      <c r="F793" s="10" t="s">
        <v>1579</v>
      </c>
      <c r="G793" s="10"/>
      <c r="H793" s="31">
        <v>100</v>
      </c>
      <c r="I793" s="7" t="s">
        <v>1570</v>
      </c>
    </row>
    <row r="794" spans="1:9" hidden="1">
      <c r="A794" s="31">
        <f t="shared" si="1"/>
        <v>792</v>
      </c>
      <c r="B794" s="10" t="str">
        <f>LEFT(Table1[[#This Row],[EPI_DGN_ANTIC]],1)</f>
        <v>T</v>
      </c>
      <c r="C794" s="10" t="str">
        <f>LEFT(Table1[[#This Row],[EPI_DGN_ANTIC]],3)</f>
        <v>Tkl</v>
      </c>
      <c r="D794" s="10" t="s">
        <v>1580</v>
      </c>
      <c r="E794" s="10">
        <v>1</v>
      </c>
      <c r="F794" s="10" t="s">
        <v>1581</v>
      </c>
      <c r="G794" s="10"/>
      <c r="H794" s="31">
        <v>101</v>
      </c>
      <c r="I794" s="7" t="s">
        <v>1582</v>
      </c>
    </row>
    <row r="795" spans="1:9" hidden="1">
      <c r="A795" s="31">
        <f t="shared" si="1"/>
        <v>793</v>
      </c>
      <c r="B795" s="10" t="str">
        <f>LEFT(Table1[[#This Row],[EPI_DGN_ANTIC]],1)</f>
        <v>T</v>
      </c>
      <c r="C795" s="10" t="str">
        <f>LEFT(Table1[[#This Row],[EPI_DGN_ANTIC]],3)</f>
        <v>Tkl</v>
      </c>
      <c r="D795" s="10" t="s">
        <v>1583</v>
      </c>
      <c r="E795" s="10">
        <v>1</v>
      </c>
      <c r="F795" s="10" t="s">
        <v>1584</v>
      </c>
      <c r="G795" s="10"/>
      <c r="H795" s="31">
        <v>102</v>
      </c>
      <c r="I795" s="7" t="s">
        <v>1585</v>
      </c>
    </row>
    <row r="796" spans="1:9" hidden="1">
      <c r="A796" s="31">
        <f t="shared" si="1"/>
        <v>794</v>
      </c>
      <c r="B796" s="10" t="str">
        <f>LEFT(Table1[[#This Row],[EPI_DGN_ANTIC]],1)</f>
        <v>T</v>
      </c>
      <c r="C796" s="10" t="str">
        <f>LEFT(Table1[[#This Row],[EPI_DGN_ANTIC]],3)</f>
        <v>Tkl</v>
      </c>
      <c r="D796" s="10" t="s">
        <v>1586</v>
      </c>
      <c r="E796" s="10">
        <v>1</v>
      </c>
      <c r="F796" s="10" t="s">
        <v>1587</v>
      </c>
      <c r="G796" s="10"/>
      <c r="H796" s="31">
        <v>103</v>
      </c>
      <c r="I796" s="7" t="s">
        <v>1588</v>
      </c>
    </row>
    <row r="797" spans="1:9" hidden="1">
      <c r="A797" s="31">
        <f t="shared" si="1"/>
        <v>795</v>
      </c>
      <c r="B797" s="10" t="str">
        <f>LEFT(Table1[[#This Row],[EPI_DGN_ANTIC]],1)</f>
        <v>T</v>
      </c>
      <c r="C797" s="10" t="str">
        <f>LEFT(Table1[[#This Row],[EPI_DGN_ANTIC]],3)</f>
        <v>Tkl</v>
      </c>
      <c r="D797" s="10" t="s">
        <v>1589</v>
      </c>
      <c r="E797" s="10">
        <v>1</v>
      </c>
      <c r="F797" s="10" t="s">
        <v>1576</v>
      </c>
      <c r="G797" s="10"/>
      <c r="H797" s="31">
        <v>104</v>
      </c>
      <c r="I797" s="7" t="s">
        <v>162</v>
      </c>
    </row>
    <row r="798" spans="1:9" hidden="1">
      <c r="A798" s="31">
        <f t="shared" si="1"/>
        <v>796</v>
      </c>
      <c r="B798" s="10" t="str">
        <f>LEFT(Table1[[#This Row],[EPI_DGN_ANTIC]],1)</f>
        <v>N</v>
      </c>
      <c r="C798" s="10" t="str">
        <f>LEFT(Table1[[#This Row],[EPI_DGN_ANTIC]],3)</f>
        <v>NPc</v>
      </c>
      <c r="D798" s="10" t="s">
        <v>1590</v>
      </c>
      <c r="E798" s="10">
        <v>0</v>
      </c>
      <c r="F798" s="10"/>
      <c r="G798" s="10"/>
      <c r="H798" s="31">
        <v>105</v>
      </c>
      <c r="I798" s="7" t="s">
        <v>1591</v>
      </c>
    </row>
    <row r="799" spans="1:9" hidden="1">
      <c r="A799" s="31">
        <f t="shared" si="1"/>
        <v>797</v>
      </c>
      <c r="B799" s="10" t="str">
        <f>LEFT(Table1[[#This Row],[EPI_DGN_ANTIC]],1)</f>
        <v>N</v>
      </c>
      <c r="C799" s="10" t="str">
        <f>LEFT(Table1[[#This Row],[EPI_DGN_ANTIC]],3)</f>
        <v>NPl</v>
      </c>
      <c r="D799" s="10" t="s">
        <v>1592</v>
      </c>
      <c r="E799" s="10">
        <v>1</v>
      </c>
      <c r="F799" s="10" t="s">
        <v>1569</v>
      </c>
      <c r="G799" s="10"/>
      <c r="H799" s="31">
        <v>106</v>
      </c>
      <c r="I799" s="7" t="s">
        <v>1593</v>
      </c>
    </row>
    <row r="800" spans="1:9" hidden="1">
      <c r="A800" s="31">
        <f t="shared" si="1"/>
        <v>798</v>
      </c>
      <c r="B800" s="10" t="str">
        <f>LEFT(Table1[[#This Row],[EPI_DGN_ANTIC]],1)</f>
        <v>N</v>
      </c>
      <c r="C800" s="10" t="str">
        <f>LEFT(Table1[[#This Row],[EPI_DGN_ANTIC]],3)</f>
        <v>NMS</v>
      </c>
      <c r="D800" s="10" t="s">
        <v>1594</v>
      </c>
      <c r="E800" s="10">
        <v>1</v>
      </c>
      <c r="F800" s="10" t="s">
        <v>802</v>
      </c>
      <c r="G800" s="10"/>
      <c r="H800" s="31">
        <v>107</v>
      </c>
      <c r="I800" s="7" t="s">
        <v>1591</v>
      </c>
    </row>
    <row r="801" spans="1:9" hidden="1">
      <c r="A801" s="31">
        <f t="shared" si="1"/>
        <v>799</v>
      </c>
      <c r="B801" s="10" t="str">
        <f>LEFT(Table1[[#This Row],[EPI_DGN_ANTIC]],1)</f>
        <v>N</v>
      </c>
      <c r="C801" s="10" t="str">
        <f>LEFT(Table1[[#This Row],[EPI_DGN_ANTIC]],3)</f>
        <v>NMS</v>
      </c>
      <c r="D801" s="10" t="s">
        <v>1595</v>
      </c>
      <c r="E801" s="10">
        <v>0</v>
      </c>
      <c r="F801" s="10"/>
      <c r="G801" s="10"/>
      <c r="H801" s="31">
        <v>108</v>
      </c>
      <c r="I801" s="7" t="s">
        <v>1596</v>
      </c>
    </row>
    <row r="802" spans="1:9" hidden="1">
      <c r="A802" s="31">
        <f t="shared" si="1"/>
        <v>800</v>
      </c>
      <c r="B802" s="10" t="str">
        <f>LEFT(Table1[[#This Row],[EPI_DGN_ANTIC]],1)</f>
        <v>N</v>
      </c>
      <c r="C802" s="10" t="str">
        <f>LEFT(Table1[[#This Row],[EPI_DGN_ANTIC]],3)</f>
        <v>NMS</v>
      </c>
      <c r="D802" s="10" t="s">
        <v>1597</v>
      </c>
      <c r="E802" s="10">
        <v>1</v>
      </c>
      <c r="F802" s="10" t="s">
        <v>1598</v>
      </c>
      <c r="G802" s="10"/>
      <c r="H802" s="31">
        <v>109</v>
      </c>
      <c r="I802" s="7" t="s">
        <v>1599</v>
      </c>
    </row>
    <row r="803" spans="1:9" hidden="1">
      <c r="A803" s="31">
        <f t="shared" si="1"/>
        <v>801</v>
      </c>
      <c r="B803" s="10" t="str">
        <f>LEFT(Table1[[#This Row],[EPI_DGN_ANTIC]],1)</f>
        <v>Q</v>
      </c>
      <c r="C803" s="10" t="str">
        <f>LEFT(Table1[[#This Row],[EPI_DGN_ANTIC]],2)</f>
        <v>QH</v>
      </c>
      <c r="D803" s="10" t="s">
        <v>1600</v>
      </c>
      <c r="E803" s="10">
        <v>0</v>
      </c>
      <c r="F803" s="10"/>
      <c r="G803" s="10"/>
      <c r="H803" s="31">
        <v>110</v>
      </c>
      <c r="I803" s="7" t="s">
        <v>1601</v>
      </c>
    </row>
    <row r="804" spans="1:9" hidden="1">
      <c r="A804" s="31">
        <f t="shared" si="1"/>
        <v>802</v>
      </c>
      <c r="B804" s="10" t="str">
        <f>LEFT(Table1[[#This Row],[EPI_DGN_ANTIC]],1)</f>
        <v>Q</v>
      </c>
      <c r="C804" s="10" t="str">
        <f>LEFT(Table1[[#This Row],[EPI_DGN_ANTIC]],3)</f>
        <v>QHd</v>
      </c>
      <c r="D804" s="10" t="s">
        <v>1602</v>
      </c>
      <c r="E804" s="10">
        <v>1</v>
      </c>
      <c r="F804" s="10" t="s">
        <v>1603</v>
      </c>
      <c r="G804" s="10"/>
      <c r="H804" s="31">
        <v>111</v>
      </c>
      <c r="I804" s="7" t="s">
        <v>1604</v>
      </c>
    </row>
    <row r="805" spans="1:9" hidden="1">
      <c r="A805" s="31">
        <f t="shared" si="1"/>
        <v>803</v>
      </c>
      <c r="B805" s="10" t="str">
        <f>LEFT(Table1[[#This Row],[EPI_DGN_ANTIC]],1)</f>
        <v>Q</v>
      </c>
      <c r="C805" s="10" t="str">
        <f>LEFT(Table1[[#This Row],[EPI_DGN_ANTIC]],3)</f>
        <v>QHd</v>
      </c>
      <c r="D805" s="10" t="s">
        <v>1605</v>
      </c>
      <c r="E805" s="10">
        <v>1</v>
      </c>
      <c r="F805" s="10" t="s">
        <v>1603</v>
      </c>
      <c r="G805" s="10"/>
      <c r="H805" s="31">
        <v>112</v>
      </c>
      <c r="I805" s="7" t="s">
        <v>1606</v>
      </c>
    </row>
    <row r="806" spans="1:9" hidden="1">
      <c r="A806" s="31">
        <f t="shared" si="1"/>
        <v>804</v>
      </c>
      <c r="B806" s="10" t="str">
        <f>LEFT(Table1[[#This Row],[EPI_DGN_ANTIC]],1)</f>
        <v>Q</v>
      </c>
      <c r="C806" s="10" t="str">
        <f>LEFT(Table1[[#This Row],[EPI_DGN_ANTIC]],3)</f>
        <v>QHm</v>
      </c>
      <c r="D806" s="10" t="s">
        <v>1607</v>
      </c>
      <c r="E806" s="10">
        <v>0</v>
      </c>
      <c r="F806" s="10"/>
      <c r="G806" s="10"/>
      <c r="H806" s="31">
        <v>113</v>
      </c>
      <c r="I806" s="7" t="s">
        <v>1608</v>
      </c>
    </row>
    <row r="807" spans="1:9" hidden="1">
      <c r="A807" s="31">
        <f t="shared" si="1"/>
        <v>805</v>
      </c>
      <c r="B807" s="10" t="str">
        <f>LEFT(Table1[[#This Row],[EPI_DGN_ANTIC]],1)</f>
        <v>Q</v>
      </c>
      <c r="C807" s="10" t="str">
        <f>LEFT(Table1[[#This Row],[EPI_DGN_ANTIC]],3)</f>
        <v>QHm</v>
      </c>
      <c r="D807" s="10" t="s">
        <v>1609</v>
      </c>
      <c r="E807" s="10">
        <v>0</v>
      </c>
      <c r="F807" s="10"/>
      <c r="G807" s="10"/>
      <c r="H807" s="31">
        <v>114</v>
      </c>
      <c r="I807" s="7" t="s">
        <v>1601</v>
      </c>
    </row>
    <row r="808" spans="1:9" hidden="1">
      <c r="A808" s="31">
        <f t="shared" si="1"/>
        <v>806</v>
      </c>
      <c r="B808" s="10" t="str">
        <f>LEFT(Table1[[#This Row],[EPI_DGN_ANTIC]],1)</f>
        <v>Q</v>
      </c>
      <c r="C808" s="10" t="str">
        <f>LEFT(Table1[[#This Row],[EPI_DGN_ANTIC]],3)</f>
        <v>QPc</v>
      </c>
      <c r="D808" s="10" t="s">
        <v>1610</v>
      </c>
      <c r="E808" s="10">
        <v>1</v>
      </c>
      <c r="F808" s="10" t="s">
        <v>1611</v>
      </c>
      <c r="G808" s="10"/>
      <c r="H808" s="31">
        <v>115</v>
      </c>
      <c r="I808" s="7" t="s">
        <v>1612</v>
      </c>
    </row>
    <row r="809" spans="1:9" hidden="1">
      <c r="A809" s="31">
        <f t="shared" si="1"/>
        <v>807</v>
      </c>
      <c r="B809" s="10" t="str">
        <f>LEFT(Table1[[#This Row],[EPI_DGN_ANTIC]],1)</f>
        <v>P</v>
      </c>
      <c r="C809" s="10" t="str">
        <f>LEFT(Table1[[#This Row],[EPI_DGN_ANTIC]],3)</f>
        <v>PEB</v>
      </c>
      <c r="D809" s="10" t="s">
        <v>1613</v>
      </c>
      <c r="E809" s="10">
        <v>1</v>
      </c>
      <c r="F809" s="10" t="s">
        <v>1611</v>
      </c>
      <c r="G809" s="10"/>
      <c r="H809" s="31">
        <v>116</v>
      </c>
      <c r="I809" s="7" t="s">
        <v>1614</v>
      </c>
    </row>
    <row r="810" spans="1:9" hidden="1">
      <c r="A810" s="31">
        <f t="shared" si="1"/>
        <v>808</v>
      </c>
      <c r="B810" s="10" t="str">
        <f>LEFT(Table1[[#This Row],[EPI_DGN_ANTIC]],1)</f>
        <v>P</v>
      </c>
      <c r="C810" s="10" t="str">
        <f>LEFT(Table1[[#This Row],[EPI_DGN_ANTIC]],3)</f>
        <v>PEB</v>
      </c>
      <c r="D810" s="10" t="s">
        <v>1615</v>
      </c>
      <c r="E810" s="10">
        <v>1</v>
      </c>
      <c r="F810" s="10" t="s">
        <v>1616</v>
      </c>
      <c r="G810" s="10"/>
      <c r="H810" s="31">
        <v>117</v>
      </c>
      <c r="I810" s="7" t="s">
        <v>1617</v>
      </c>
    </row>
    <row r="811" spans="1:9" hidden="1">
      <c r="A811" s="31">
        <f t="shared" si="1"/>
        <v>809</v>
      </c>
      <c r="B811" s="10" t="str">
        <f>LEFT(Table1[[#This Row],[EPI_DGN_ANTIC]],1)</f>
        <v>P</v>
      </c>
      <c r="C811" s="10" t="str">
        <f>LEFT(Table1[[#This Row],[EPI_DGN_ANTIC]],3)</f>
        <v>PEB</v>
      </c>
      <c r="D811" s="10" t="s">
        <v>1618</v>
      </c>
      <c r="E811" s="10">
        <v>1</v>
      </c>
      <c r="F811" s="10" t="s">
        <v>1619</v>
      </c>
      <c r="G811" s="10"/>
      <c r="H811" s="31">
        <v>118</v>
      </c>
      <c r="I811" s="7" t="s">
        <v>1620</v>
      </c>
    </row>
    <row r="812" spans="1:9" hidden="1">
      <c r="A812" s="31">
        <f t="shared" si="1"/>
        <v>810</v>
      </c>
      <c r="B812" s="10" t="str">
        <f>LEFT(Table1[[#This Row],[EPI_DGN_ANTIC]],1)</f>
        <v>P</v>
      </c>
      <c r="C812" s="10" t="str">
        <f>LEFT(Table1[[#This Row],[EPI_DGN_ANTIC]],3)</f>
        <v>PEP</v>
      </c>
      <c r="D812" s="10" t="s">
        <v>1621</v>
      </c>
      <c r="E812" s="10">
        <v>1</v>
      </c>
      <c r="F812" s="10" t="s">
        <v>1622</v>
      </c>
      <c r="G812" s="10"/>
      <c r="H812" s="31">
        <v>119</v>
      </c>
      <c r="I812" s="7" t="s">
        <v>1623</v>
      </c>
    </row>
    <row r="813" spans="1:9" hidden="1">
      <c r="A813" s="31">
        <f t="shared" si="1"/>
        <v>811</v>
      </c>
      <c r="B813" s="10" t="str">
        <f>LEFT(Table1[[#This Row],[EPI_DGN_ANTIC]],1)</f>
        <v>P</v>
      </c>
      <c r="C813" s="10" t="str">
        <f>LEFT(Table1[[#This Row],[EPI_DGN_ANTIC]],3)</f>
        <v>PEP</v>
      </c>
      <c r="D813" s="10" t="s">
        <v>1624</v>
      </c>
      <c r="E813" s="10">
        <v>1</v>
      </c>
      <c r="F813" s="10" t="s">
        <v>794</v>
      </c>
      <c r="G813" s="10"/>
      <c r="H813" s="31">
        <v>120</v>
      </c>
      <c r="I813" s="7" t="s">
        <v>1625</v>
      </c>
    </row>
    <row r="814" spans="1:9" hidden="1">
      <c r="A814" s="31">
        <f t="shared" si="1"/>
        <v>812</v>
      </c>
      <c r="B814" s="10" t="str">
        <f>LEFT(Table1[[#This Row],[EPI_DGN_ANTIC]],1)</f>
        <v>P</v>
      </c>
      <c r="C814" s="10" t="str">
        <f>LEFT(Table1[[#This Row],[EPI_DGN_ANTIC]],3)</f>
        <v>PEP</v>
      </c>
      <c r="D814" s="10" t="s">
        <v>1626</v>
      </c>
      <c r="E814" s="10">
        <v>1</v>
      </c>
      <c r="F814" s="10" t="s">
        <v>1619</v>
      </c>
      <c r="G814" s="10"/>
      <c r="H814" s="31">
        <v>121</v>
      </c>
      <c r="I814" s="7" t="s">
        <v>1627</v>
      </c>
    </row>
    <row r="815" spans="1:9" hidden="1">
      <c r="A815" s="31">
        <f t="shared" si="1"/>
        <v>813</v>
      </c>
      <c r="B815" s="10" t="str">
        <f>LEFT(Table1[[#This Row],[EPI_DGN_ANTIC]],1)</f>
        <v>P</v>
      </c>
      <c r="C815" s="10" t="str">
        <f>LEFT(Table1[[#This Row],[EPI_DGN_ANTIC]],3)</f>
        <v>PEB</v>
      </c>
      <c r="D815" s="10" t="s">
        <v>1628</v>
      </c>
      <c r="E815" s="10">
        <v>1</v>
      </c>
      <c r="F815" s="10" t="s">
        <v>794</v>
      </c>
      <c r="G815" s="10"/>
      <c r="H815" s="31">
        <v>122</v>
      </c>
      <c r="I815" s="7" t="s">
        <v>1629</v>
      </c>
    </row>
    <row r="816" spans="1:9" hidden="1">
      <c r="A816" s="31">
        <f t="shared" si="1"/>
        <v>814</v>
      </c>
      <c r="B816" s="10" t="str">
        <f>LEFT(Table1[[#This Row],[EPI_DGN_ANTIC]],1)</f>
        <v>P</v>
      </c>
      <c r="C816" s="10" t="str">
        <f>LEFT(Table1[[#This Row],[EPI_DGN_ANTIC]],3)</f>
        <v>PEP</v>
      </c>
      <c r="D816" s="10" t="s">
        <v>1630</v>
      </c>
      <c r="E816" s="10">
        <v>1</v>
      </c>
      <c r="F816" s="10" t="s">
        <v>1587</v>
      </c>
      <c r="G816" s="10"/>
      <c r="H816" s="31">
        <v>123</v>
      </c>
      <c r="I816" s="7" t="s">
        <v>1631</v>
      </c>
    </row>
    <row r="817" spans="1:9" hidden="1">
      <c r="A817" s="31">
        <f t="shared" si="1"/>
        <v>815</v>
      </c>
      <c r="B817" s="10" t="str">
        <f>LEFT(Table1[[#This Row],[EPI_DGN_ANTIC]],1)</f>
        <v>P</v>
      </c>
      <c r="C817" s="10" t="str">
        <f>LEFT(Table1[[#This Row],[EPI_DGN_ANTIC]],2)</f>
        <v>PE</v>
      </c>
      <c r="D817" s="10" t="s">
        <v>1632</v>
      </c>
      <c r="E817" s="10">
        <v>0</v>
      </c>
      <c r="F817" s="10"/>
      <c r="G817" s="10"/>
      <c r="H817" s="31">
        <v>124</v>
      </c>
      <c r="I817" s="7" t="s">
        <v>1633</v>
      </c>
    </row>
    <row r="818" spans="1:9" hidden="1">
      <c r="A818" s="31">
        <f t="shared" si="1"/>
        <v>816</v>
      </c>
      <c r="B818" s="10" t="str">
        <f>LEFT(Table1[[#This Row],[EPI_DGN_ANTIC]],1)</f>
        <v>Q</v>
      </c>
      <c r="C818" s="10" t="str">
        <f>LEFT(Table1[[#This Row],[EPI_DGN_ANTIC]],2)</f>
        <v>Qv</v>
      </c>
      <c r="D818" s="10" t="s">
        <v>1632</v>
      </c>
      <c r="E818" s="10">
        <v>0</v>
      </c>
      <c r="F818" s="10"/>
      <c r="G818" s="10"/>
      <c r="H818" s="31">
        <v>125</v>
      </c>
      <c r="I818" s="7" t="s">
        <v>1634</v>
      </c>
    </row>
    <row r="819" spans="1:9" hidden="1">
      <c r="A819" s="31">
        <f t="shared" si="1"/>
        <v>817</v>
      </c>
      <c r="B819" s="10" t="str">
        <f>LEFT(Table1[[#This Row],[EPI_DGN_ANTIC]],1)</f>
        <v>Q</v>
      </c>
      <c r="C819" s="10" t="str">
        <f>LEFT(Table1[[#This Row],[EPI_DGN_ANTIC]],2)</f>
        <v>QP</v>
      </c>
      <c r="D819" s="10" t="s">
        <v>1635</v>
      </c>
      <c r="E819" s="10">
        <v>0</v>
      </c>
      <c r="F819" s="10"/>
      <c r="G819" s="10"/>
      <c r="H819" s="31">
        <v>126</v>
      </c>
      <c r="I819" s="7" t="s">
        <v>1636</v>
      </c>
    </row>
    <row r="820" spans="1:9" hidden="1">
      <c r="A820" s="31">
        <f t="shared" si="1"/>
        <v>818</v>
      </c>
      <c r="B820" s="10" t="str">
        <f>LEFT(Table1[[#This Row],[EPI_DGN_ANTIC]],1)</f>
        <v>T</v>
      </c>
      <c r="C820" s="10" t="str">
        <f>LEFT(Table1[[#This Row],[EPI_DGN_ANTIC]],2)</f>
        <v>TS</v>
      </c>
      <c r="D820" s="10" t="s">
        <v>1637</v>
      </c>
      <c r="E820" s="10">
        <v>1</v>
      </c>
      <c r="F820" s="10" t="s">
        <v>1638</v>
      </c>
      <c r="G820" s="10"/>
      <c r="H820" s="31">
        <v>127</v>
      </c>
      <c r="I820" s="7" t="s">
        <v>1639</v>
      </c>
    </row>
    <row r="821" spans="1:9" hidden="1">
      <c r="A821" s="31">
        <f t="shared" si="1"/>
        <v>819</v>
      </c>
      <c r="B821" s="10" t="str">
        <f>LEFT(Table1[[#This Row],[EPI_DGN_ANTIC]],1)</f>
        <v>T</v>
      </c>
      <c r="C821" s="10" t="str">
        <f>LEFT(Table1[[#This Row],[EPI_DGN_ANTIC]],2)</f>
        <v>TS</v>
      </c>
      <c r="D821" s="10" t="s">
        <v>1640</v>
      </c>
      <c r="E821" s="10">
        <v>1</v>
      </c>
      <c r="F821" s="10" t="s">
        <v>1641</v>
      </c>
      <c r="G821" s="10"/>
      <c r="H821" s="31">
        <v>128</v>
      </c>
      <c r="I821" s="7" t="s">
        <v>1642</v>
      </c>
    </row>
    <row r="822" spans="1:9" hidden="1">
      <c r="A822" s="31">
        <f t="shared" si="1"/>
        <v>820</v>
      </c>
      <c r="B822" s="10" t="str">
        <f>LEFT(Table1[[#This Row],[EPI_DGN_ANTIC]],1)</f>
        <v>P</v>
      </c>
      <c r="C822" s="10" t="str">
        <f>LEFT(Table1[[#This Row],[EPI_DGN_ANTIC]],2)</f>
        <v>PE</v>
      </c>
      <c r="D822" s="10" t="s">
        <v>1643</v>
      </c>
      <c r="E822" s="10">
        <v>1</v>
      </c>
      <c r="F822" s="10" t="s">
        <v>1638</v>
      </c>
      <c r="G822" s="10"/>
      <c r="H822" s="31">
        <v>129</v>
      </c>
      <c r="I822" s="7" t="s">
        <v>1644</v>
      </c>
    </row>
    <row r="823" spans="1:9" hidden="1">
      <c r="A823" s="31">
        <f t="shared" ref="A823:A886" si="2">A822+1</f>
        <v>821</v>
      </c>
      <c r="B823" s="10" t="str">
        <f>LEFT(Table1[[#This Row],[EPI_DGN_ANTIC]],1)</f>
        <v>P</v>
      </c>
      <c r="C823" s="10" t="str">
        <f>LEFT(Table1[[#This Row],[EPI_DGN_ANTIC]],2)</f>
        <v>PE</v>
      </c>
      <c r="D823" s="10" t="s">
        <v>1645</v>
      </c>
      <c r="E823" s="10">
        <v>1</v>
      </c>
      <c r="F823" s="10" t="s">
        <v>1641</v>
      </c>
      <c r="G823" s="10"/>
      <c r="H823" s="31">
        <v>130</v>
      </c>
      <c r="I823" s="7" t="s">
        <v>1646</v>
      </c>
    </row>
    <row r="824" spans="1:9" hidden="1">
      <c r="A824" s="31">
        <f t="shared" si="2"/>
        <v>822</v>
      </c>
      <c r="B824" s="10" t="str">
        <f>LEFT(Table1[[#This Row],[EPI_DGN_ANTIC]],1)</f>
        <v>P</v>
      </c>
      <c r="C824" s="10" t="str">
        <f>LEFT(Table1[[#This Row],[EPI_DGN_ANTIC]],2)</f>
        <v>PE</v>
      </c>
      <c r="D824" s="10" t="s">
        <v>1647</v>
      </c>
      <c r="E824" s="10">
        <v>1</v>
      </c>
      <c r="F824" s="10" t="s">
        <v>1641</v>
      </c>
      <c r="G824" s="10"/>
      <c r="H824" s="31">
        <v>131</v>
      </c>
      <c r="I824" s="7" t="s">
        <v>1648</v>
      </c>
    </row>
    <row r="825" spans="1:9" hidden="1">
      <c r="A825" s="31">
        <f t="shared" si="2"/>
        <v>823</v>
      </c>
      <c r="B825" s="10" t="str">
        <f>LEFT(Table1[[#This Row],[EPI_DGN_ANTIC]],1)</f>
        <v>P</v>
      </c>
      <c r="C825" s="10" t="str">
        <f>LEFT(Table1[[#This Row],[EPI_DGN_ANTIC]],2)</f>
        <v>PE</v>
      </c>
      <c r="D825" s="10" t="s">
        <v>1649</v>
      </c>
      <c r="E825" s="10">
        <v>0</v>
      </c>
      <c r="F825" s="10"/>
      <c r="G825" s="10"/>
      <c r="H825" s="31">
        <v>132</v>
      </c>
      <c r="I825" s="7" t="s">
        <v>1601</v>
      </c>
    </row>
    <row r="826" spans="1:9" hidden="1">
      <c r="A826" s="31">
        <f t="shared" si="2"/>
        <v>824</v>
      </c>
      <c r="B826" s="10" t="str">
        <f>LEFT(Table1[[#This Row],[EPI_DGN_ANTIC]],1)</f>
        <v>P</v>
      </c>
      <c r="C826" s="10" t="str">
        <f>LEFT(Table1[[#This Row],[EPI_DGN_ANTIC]],2)</f>
        <v>PE</v>
      </c>
      <c r="D826" s="10" t="s">
        <v>1649</v>
      </c>
      <c r="E826" s="10">
        <v>0</v>
      </c>
      <c r="F826" s="10"/>
      <c r="G826" s="10"/>
      <c r="H826" s="31">
        <v>133</v>
      </c>
      <c r="I826" s="7" t="s">
        <v>1650</v>
      </c>
    </row>
    <row r="827" spans="1:9" hidden="1">
      <c r="A827" s="31">
        <f t="shared" si="2"/>
        <v>825</v>
      </c>
      <c r="B827" s="10" t="str">
        <f>LEFT(Table1[[#This Row],[EPI_DGN_ANTIC]],1)</f>
        <v>P</v>
      </c>
      <c r="C827" s="10" t="str">
        <f>LEFT(Table1[[#This Row],[EPI_DGN_ANTIC]],2)</f>
        <v>PO</v>
      </c>
      <c r="D827" s="10" t="s">
        <v>1651</v>
      </c>
      <c r="E827" s="10">
        <v>1</v>
      </c>
      <c r="F827" s="10" t="s">
        <v>1652</v>
      </c>
      <c r="G827" s="10"/>
      <c r="H827" s="31">
        <v>134</v>
      </c>
      <c r="I827" s="7" t="s">
        <v>1653</v>
      </c>
    </row>
    <row r="828" spans="1:9" hidden="1">
      <c r="A828" s="31">
        <f t="shared" si="2"/>
        <v>826</v>
      </c>
      <c r="B828" s="10" t="str">
        <f>LEFT(Table1[[#This Row],[EPI_DGN_ANTIC]],1)</f>
        <v>P</v>
      </c>
      <c r="C828" s="10" t="str">
        <f>LEFT(Table1[[#This Row],[EPI_DGN_ANTIC]],2)</f>
        <v>PO</v>
      </c>
      <c r="D828" s="10" t="s">
        <v>1654</v>
      </c>
      <c r="E828" s="10">
        <v>1</v>
      </c>
      <c r="F828" s="10" t="s">
        <v>646</v>
      </c>
      <c r="G828" s="10"/>
      <c r="H828" s="31">
        <v>135</v>
      </c>
      <c r="I828" s="7" t="s">
        <v>1655</v>
      </c>
    </row>
    <row r="829" spans="1:9" hidden="1">
      <c r="A829" s="31">
        <f t="shared" si="2"/>
        <v>827</v>
      </c>
      <c r="B829" s="10" t="str">
        <f>LEFT(Table1[[#This Row],[EPI_DGN_ANTIC]],1)</f>
        <v>P</v>
      </c>
      <c r="C829" s="10" t="str">
        <f>LEFT(Table1[[#This Row],[EPI_DGN_ANTIC]],2)</f>
        <v>PO</v>
      </c>
      <c r="D829" s="10" t="s">
        <v>1656</v>
      </c>
      <c r="E829" s="10">
        <v>0</v>
      </c>
      <c r="F829" s="10"/>
      <c r="G829" s="10"/>
      <c r="H829" s="31">
        <v>136</v>
      </c>
      <c r="I829" s="7" t="s">
        <v>1653</v>
      </c>
    </row>
    <row r="830" spans="1:9" hidden="1">
      <c r="A830" s="31">
        <f t="shared" si="2"/>
        <v>828</v>
      </c>
      <c r="B830" s="10" t="str">
        <f>LEFT(Table1[[#This Row],[EPI_DGN_ANTIC]],1)</f>
        <v>P</v>
      </c>
      <c r="C830" s="10" t="str">
        <f>LEFT(Table1[[#This Row],[EPI_DGN_ANTIC]],3)</f>
        <v>POC</v>
      </c>
      <c r="D830" s="10" t="s">
        <v>1657</v>
      </c>
      <c r="E830" s="10">
        <v>0</v>
      </c>
      <c r="F830" s="10"/>
      <c r="G830" s="10"/>
      <c r="H830" s="31">
        <v>137</v>
      </c>
      <c r="I830" s="7" t="s">
        <v>1650</v>
      </c>
    </row>
    <row r="831" spans="1:9" hidden="1">
      <c r="A831" s="31">
        <f t="shared" si="2"/>
        <v>829</v>
      </c>
      <c r="B831" s="10" t="str">
        <f>LEFT(Table1[[#This Row],[EPI_DGN_ANTIC]],1)</f>
        <v>P</v>
      </c>
      <c r="C831" s="10" t="str">
        <f>LEFT(Table1[[#This Row],[EPI_DGN_ANTIC]],2)</f>
        <v>PO</v>
      </c>
      <c r="D831" s="10" t="s">
        <v>1658</v>
      </c>
      <c r="E831" s="10">
        <v>1</v>
      </c>
      <c r="F831" s="10" t="s">
        <v>1659</v>
      </c>
      <c r="G831" s="10"/>
      <c r="H831" s="31">
        <v>138</v>
      </c>
      <c r="I831" s="7" t="s">
        <v>1650</v>
      </c>
    </row>
    <row r="832" spans="1:9" hidden="1">
      <c r="A832" s="31">
        <f t="shared" si="2"/>
        <v>830</v>
      </c>
      <c r="B832" s="10" t="str">
        <f>LEFT(Table1[[#This Row],[EPI_DGN_ANTIC]],1)</f>
        <v>P</v>
      </c>
      <c r="C832" s="10" t="str">
        <f>LEFT(Table1[[#This Row],[EPI_DGN_ANTIC]],2)</f>
        <v>PO</v>
      </c>
      <c r="D832" s="10" t="s">
        <v>1660</v>
      </c>
      <c r="E832" s="10">
        <v>1</v>
      </c>
      <c r="F832" s="10" t="s">
        <v>1661</v>
      </c>
      <c r="G832" s="10"/>
      <c r="H832" s="31">
        <v>139</v>
      </c>
      <c r="I832" s="7" t="s">
        <v>1650</v>
      </c>
    </row>
    <row r="833" spans="1:9" hidden="1">
      <c r="A833" s="31">
        <f t="shared" si="2"/>
        <v>831</v>
      </c>
      <c r="B833" s="10" t="str">
        <f>LEFT(Table1[[#This Row],[EPI_DGN_ANTIC]],1)</f>
        <v>P</v>
      </c>
      <c r="C833" s="10" t="s">
        <v>1662</v>
      </c>
      <c r="D833" s="10" t="s">
        <v>1663</v>
      </c>
      <c r="E833" s="10">
        <v>1</v>
      </c>
      <c r="F833" s="10" t="s">
        <v>1664</v>
      </c>
      <c r="G833" s="10"/>
      <c r="H833" s="31">
        <v>140</v>
      </c>
      <c r="I833" s="7" t="s">
        <v>1665</v>
      </c>
    </row>
    <row r="834" spans="1:9" hidden="1">
      <c r="A834" s="31">
        <f t="shared" si="2"/>
        <v>832</v>
      </c>
      <c r="B834" s="10" t="str">
        <f>LEFT(Table1[[#This Row],[EPI_DGN_ANTIC]],1)</f>
        <v>P</v>
      </c>
      <c r="C834" s="10" t="str">
        <f>LEFT(Table1[[#This Row],[EPI_DGN_ANTIC]],3)</f>
        <v>POC</v>
      </c>
      <c r="D834" s="10" t="s">
        <v>1666</v>
      </c>
      <c r="E834" s="10">
        <v>1</v>
      </c>
      <c r="F834" s="10" t="s">
        <v>1667</v>
      </c>
      <c r="G834" s="10"/>
      <c r="H834" s="31">
        <v>141</v>
      </c>
      <c r="I834" s="7" t="s">
        <v>1665</v>
      </c>
    </row>
    <row r="835" spans="1:9" hidden="1">
      <c r="A835" s="31">
        <f t="shared" si="2"/>
        <v>833</v>
      </c>
      <c r="B835" s="10" t="str">
        <f>LEFT(Table1[[#This Row],[EPI_DGN_ANTIC]],1)</f>
        <v>P</v>
      </c>
      <c r="C835" s="10" t="str">
        <f>LEFT(Table1[[#This Row],[EPI_DGN_ANTIC]],3)</f>
        <v>POR</v>
      </c>
      <c r="D835" s="10" t="s">
        <v>1668</v>
      </c>
      <c r="E835" s="10">
        <v>1</v>
      </c>
      <c r="F835" s="10" t="s">
        <v>50</v>
      </c>
      <c r="G835" s="10"/>
      <c r="H835" s="31">
        <v>142</v>
      </c>
      <c r="I835" s="7" t="s">
        <v>1665</v>
      </c>
    </row>
    <row r="836" spans="1:9" hidden="1">
      <c r="A836" s="31">
        <f t="shared" si="2"/>
        <v>834</v>
      </c>
      <c r="B836" s="10" t="str">
        <f>LEFT(Table1[[#This Row],[EPI_DGN_ANTIC]],1)</f>
        <v>P</v>
      </c>
      <c r="C836" s="10" t="str">
        <f>LEFT(Table1[[#This Row],[EPI_DGN_ANTIC]],3)</f>
        <v>POR</v>
      </c>
      <c r="D836" s="10" t="s">
        <v>1669</v>
      </c>
      <c r="E836" s="10">
        <v>1</v>
      </c>
      <c r="F836" s="10" t="s">
        <v>1670</v>
      </c>
      <c r="G836" s="10"/>
      <c r="H836" s="31">
        <v>143</v>
      </c>
      <c r="I836" s="7" t="s">
        <v>1671</v>
      </c>
    </row>
    <row r="837" spans="1:9" hidden="1">
      <c r="A837" s="31">
        <f t="shared" si="2"/>
        <v>835</v>
      </c>
      <c r="B837" s="10" t="str">
        <f>LEFT(Table1[[#This Row],[EPI_DGN_ANTIC]],1)</f>
        <v>P</v>
      </c>
      <c r="C837" s="10" t="str">
        <f>LEFT(Table1[[#This Row],[EPI_DGN_ANTIC]],3)</f>
        <v>POR</v>
      </c>
      <c r="D837" s="10" t="s">
        <v>1672</v>
      </c>
      <c r="E837" s="10">
        <v>1</v>
      </c>
      <c r="F837" s="10" t="s">
        <v>1673</v>
      </c>
      <c r="G837" s="10"/>
      <c r="H837" s="31">
        <v>144</v>
      </c>
      <c r="I837" s="7" t="s">
        <v>1674</v>
      </c>
    </row>
    <row r="838" spans="1:9" hidden="1">
      <c r="A838" s="31">
        <f t="shared" si="2"/>
        <v>836</v>
      </c>
      <c r="B838" s="10" t="str">
        <f>LEFT(Table1[[#This Row],[EPI_DGN_ANTIC]],1)</f>
        <v>P</v>
      </c>
      <c r="C838" s="10" t="str">
        <f>LEFT(Table1[[#This Row],[EPI_DGN_ANTIC]],3)</f>
        <v>POR</v>
      </c>
      <c r="D838" s="10" t="s">
        <v>1675</v>
      </c>
      <c r="E838" s="10">
        <v>1</v>
      </c>
      <c r="F838" s="10" t="s">
        <v>1676</v>
      </c>
      <c r="G838" s="10"/>
      <c r="H838" s="31">
        <v>145</v>
      </c>
      <c r="I838" s="7" t="s">
        <v>1677</v>
      </c>
    </row>
    <row r="839" spans="1:9" hidden="1">
      <c r="A839" s="31">
        <f t="shared" si="2"/>
        <v>837</v>
      </c>
      <c r="B839" s="10" t="str">
        <f>LEFT(Table1[[#This Row],[EPI_DGN_ANTIC]],1)</f>
        <v>P</v>
      </c>
      <c r="C839" s="10" t="str">
        <f>LEFT(Table1[[#This Row],[EPI_DGN_ANTIC]],3)</f>
        <v>POR</v>
      </c>
      <c r="D839" s="10" t="s">
        <v>1678</v>
      </c>
      <c r="E839" s="10">
        <v>1</v>
      </c>
      <c r="F839" s="10" t="s">
        <v>98</v>
      </c>
      <c r="G839" s="10"/>
      <c r="H839" s="31">
        <v>146</v>
      </c>
      <c r="I839" s="7" t="s">
        <v>1679</v>
      </c>
    </row>
    <row r="840" spans="1:9" hidden="1">
      <c r="A840" s="31">
        <f t="shared" si="2"/>
        <v>838</v>
      </c>
      <c r="B840" s="10" t="str">
        <f>LEFT(Table1[[#This Row],[EPI_DGN_ANTIC]],1)</f>
        <v>P</v>
      </c>
      <c r="C840" s="10" t="str">
        <f>LEFT(Table1[[#This Row],[EPI_DGN_ANTIC]],2)</f>
        <v>PO</v>
      </c>
      <c r="D840" s="10" t="s">
        <v>1680</v>
      </c>
      <c r="E840" s="10">
        <v>0</v>
      </c>
      <c r="F840" s="10"/>
      <c r="G840" s="10"/>
      <c r="H840" s="31">
        <v>147</v>
      </c>
      <c r="I840" s="7" t="s">
        <v>1552</v>
      </c>
    </row>
    <row r="841" spans="1:9" hidden="1">
      <c r="A841" s="31">
        <f t="shared" si="2"/>
        <v>839</v>
      </c>
      <c r="B841" s="10" t="str">
        <f>LEFT(Table1[[#This Row],[EPI_DGN_ANTIC]],1)</f>
        <v>P</v>
      </c>
      <c r="C841" s="10" t="str">
        <f>LEFT(Table1[[#This Row],[EPI_DGN_ANTIC]],2)</f>
        <v>PO</v>
      </c>
      <c r="D841" s="10" t="s">
        <v>1680</v>
      </c>
      <c r="E841" s="10">
        <v>0</v>
      </c>
      <c r="F841" s="10"/>
      <c r="G841" s="10"/>
      <c r="H841" s="31">
        <v>148</v>
      </c>
      <c r="I841" s="7" t="s">
        <v>1674</v>
      </c>
    </row>
    <row r="842" spans="1:9" hidden="1">
      <c r="A842" s="31">
        <f t="shared" si="2"/>
        <v>840</v>
      </c>
      <c r="B842" s="10" t="str">
        <f>LEFT(Table1[[#This Row],[EPI_DGN_ANTIC]],1)</f>
        <v>P</v>
      </c>
      <c r="C842" s="10" t="str">
        <f>LEFT(Table1[[#This Row],[EPI_DGN_ANTIC]],2)</f>
        <v>PO</v>
      </c>
      <c r="D842" s="10" t="s">
        <v>1681</v>
      </c>
      <c r="E842" s="10">
        <v>0</v>
      </c>
      <c r="F842" s="10"/>
      <c r="G842" s="10"/>
      <c r="H842" s="31">
        <v>149</v>
      </c>
      <c r="I842" s="7" t="s">
        <v>1679</v>
      </c>
    </row>
    <row r="843" spans="1:9" hidden="1">
      <c r="A843" s="31">
        <f t="shared" si="2"/>
        <v>841</v>
      </c>
      <c r="B843" s="10" t="str">
        <f>LEFT(Table1[[#This Row],[EPI_DGN_ANTIC]],1)</f>
        <v>P</v>
      </c>
      <c r="C843" s="10" t="str">
        <f>LEFT(Table1[[#This Row],[EPI_DGN_ANTIC]],2)</f>
        <v>PO</v>
      </c>
      <c r="D843" s="10" t="s">
        <v>1682</v>
      </c>
      <c r="E843" s="10">
        <v>1</v>
      </c>
      <c r="F843" s="10" t="s">
        <v>1683</v>
      </c>
      <c r="G843" s="10"/>
      <c r="H843" s="31">
        <v>150</v>
      </c>
      <c r="I843" s="7" t="s">
        <v>1684</v>
      </c>
    </row>
    <row r="844" spans="1:9" hidden="1">
      <c r="A844" s="31">
        <f t="shared" si="2"/>
        <v>842</v>
      </c>
      <c r="B844" s="10" t="str">
        <f>LEFT(Table1[[#This Row],[EPI_DGN_ANTIC]],1)</f>
        <v>P</v>
      </c>
      <c r="C844" s="10" t="str">
        <f>LEFT(Table1[[#This Row],[EPI_DGN_ANTIC]],2)</f>
        <v>PO</v>
      </c>
      <c r="D844" s="10" t="s">
        <v>1685</v>
      </c>
      <c r="E844" s="10">
        <v>1</v>
      </c>
      <c r="F844" s="10" t="s">
        <v>1683</v>
      </c>
      <c r="G844" s="10"/>
      <c r="H844" s="31">
        <v>151</v>
      </c>
      <c r="I844" s="7" t="s">
        <v>1686</v>
      </c>
    </row>
    <row r="845" spans="1:9" hidden="1">
      <c r="A845" s="31">
        <f t="shared" si="2"/>
        <v>843</v>
      </c>
      <c r="B845" s="10" t="str">
        <f>LEFT(Table1[[#This Row],[EPI_DGN_ANTIC]],1)</f>
        <v>P</v>
      </c>
      <c r="C845" s="10" t="str">
        <f>LEFT(Table1[[#This Row],[EPI_DGN_ANTIC]],2)</f>
        <v>PE</v>
      </c>
      <c r="D845" s="10" t="s">
        <v>1687</v>
      </c>
      <c r="E845" s="10">
        <v>0</v>
      </c>
      <c r="F845" s="10"/>
      <c r="G845" s="10"/>
      <c r="H845" s="31">
        <v>152</v>
      </c>
      <c r="I845" s="7" t="s">
        <v>1688</v>
      </c>
    </row>
    <row r="846" spans="1:9" hidden="1">
      <c r="A846" s="31">
        <f t="shared" si="2"/>
        <v>844</v>
      </c>
      <c r="B846" s="10" t="str">
        <f>LEFT(Table1[[#This Row],[EPI_DGN_ANTIC]],1)</f>
        <v>P</v>
      </c>
      <c r="C846" s="10" t="str">
        <f>LEFT(Table1[[#This Row],[EPI_DGN_ANTIC]],2)</f>
        <v>PO</v>
      </c>
      <c r="D846" s="10" t="s">
        <v>1689</v>
      </c>
      <c r="E846" s="10">
        <v>1</v>
      </c>
      <c r="F846" s="10" t="s">
        <v>1690</v>
      </c>
      <c r="G846" s="10"/>
      <c r="H846" s="31">
        <v>153</v>
      </c>
      <c r="I846" s="7" t="s">
        <v>1691</v>
      </c>
    </row>
    <row r="847" spans="1:9" hidden="1">
      <c r="A847" s="31">
        <f t="shared" si="2"/>
        <v>845</v>
      </c>
      <c r="B847" s="10" t="str">
        <f>LEFT(Table1[[#This Row],[EPI_DGN_ANTIC]],1)</f>
        <v>P</v>
      </c>
      <c r="C847" s="10" t="str">
        <f>LEFT(Table1[[#This Row],[EPI_DGN_ANTIC]],2)</f>
        <v>PO</v>
      </c>
      <c r="D847" s="10" t="s">
        <v>1692</v>
      </c>
      <c r="E847" s="10">
        <v>1</v>
      </c>
      <c r="F847" s="10" t="s">
        <v>1693</v>
      </c>
      <c r="G847" s="10"/>
      <c r="H847" s="31">
        <v>154</v>
      </c>
      <c r="I847" s="7" t="s">
        <v>1694</v>
      </c>
    </row>
    <row r="848" spans="1:9" hidden="1">
      <c r="A848" s="31">
        <f t="shared" si="2"/>
        <v>846</v>
      </c>
      <c r="B848" s="10" t="str">
        <f>LEFT(Table1[[#This Row],[EPI_DGN_ANTIC]],1)</f>
        <v>P</v>
      </c>
      <c r="C848" s="10" t="str">
        <f>LEFT(Table1[[#This Row],[EPI_DGN_ANTIC]],2)</f>
        <v>PO</v>
      </c>
      <c r="D848" s="10" t="s">
        <v>1695</v>
      </c>
      <c r="E848" s="10">
        <v>1</v>
      </c>
      <c r="F848" s="10" t="s">
        <v>348</v>
      </c>
      <c r="G848" s="10"/>
      <c r="H848" s="31">
        <v>155</v>
      </c>
      <c r="I848" s="7" t="s">
        <v>1696</v>
      </c>
    </row>
    <row r="849" spans="1:9" hidden="1">
      <c r="A849" s="31">
        <f t="shared" si="2"/>
        <v>847</v>
      </c>
      <c r="B849" s="10" t="str">
        <f>LEFT(Table1[[#This Row],[EPI_DGN_ANTIC]],1)</f>
        <v>P</v>
      </c>
      <c r="C849" s="10" t="str">
        <f>LEFT(Table1[[#This Row],[EPI_DGN_ANTIC]],2)</f>
        <v>PO</v>
      </c>
      <c r="D849" s="10" t="s">
        <v>1697</v>
      </c>
      <c r="E849" s="10">
        <v>1</v>
      </c>
      <c r="F849" s="10" t="s">
        <v>1698</v>
      </c>
      <c r="G849" s="10"/>
      <c r="H849" s="31">
        <v>156</v>
      </c>
      <c r="I849" s="7" t="s">
        <v>1699</v>
      </c>
    </row>
    <row r="850" spans="1:9" hidden="1">
      <c r="A850" s="31">
        <f t="shared" si="2"/>
        <v>848</v>
      </c>
      <c r="B850" s="10" t="str">
        <f>LEFT(Table1[[#This Row],[EPI_DGN_ANTIC]],1)</f>
        <v>P</v>
      </c>
      <c r="C850" s="10" t="str">
        <f>LEFT(Table1[[#This Row],[EPI_DGN_ANTIC]],2)</f>
        <v>PO</v>
      </c>
      <c r="D850" s="10" t="s">
        <v>1700</v>
      </c>
      <c r="E850" s="10">
        <v>1</v>
      </c>
      <c r="F850" s="10" t="s">
        <v>1701</v>
      </c>
      <c r="G850" s="10"/>
      <c r="H850" s="31">
        <v>157</v>
      </c>
      <c r="I850" s="7" t="s">
        <v>1702</v>
      </c>
    </row>
    <row r="851" spans="1:9" hidden="1">
      <c r="A851" s="31">
        <f t="shared" si="2"/>
        <v>849</v>
      </c>
      <c r="B851" s="10" t="str">
        <f>LEFT(Table1[[#This Row],[EPI_DGN_ANTIC]],1)</f>
        <v>P</v>
      </c>
      <c r="C851" s="10" t="str">
        <f>LEFT(Table1[[#This Row],[EPI_DGN_ANTIC]],2)</f>
        <v>PO</v>
      </c>
      <c r="D851" s="10" t="s">
        <v>1703</v>
      </c>
      <c r="E851" s="10">
        <v>0</v>
      </c>
      <c r="F851" s="10"/>
      <c r="G851" s="10"/>
      <c r="H851" s="31">
        <v>158</v>
      </c>
      <c r="I851" s="7" t="s">
        <v>1704</v>
      </c>
    </row>
    <row r="852" spans="1:9" hidden="1">
      <c r="A852" s="31">
        <f t="shared" si="2"/>
        <v>850</v>
      </c>
      <c r="B852" s="10" t="str">
        <f>LEFT(Table1[[#This Row],[EPI_DGN_ANTIC]],1)</f>
        <v>P</v>
      </c>
      <c r="C852" s="10" t="str">
        <f>LEFT(Table1[[#This Row],[EPI_DGN_ANTIC]],2)</f>
        <v>PE</v>
      </c>
      <c r="D852" s="10" t="s">
        <v>1705</v>
      </c>
      <c r="E852" s="10">
        <v>0</v>
      </c>
      <c r="F852" s="10"/>
      <c r="G852" s="10"/>
      <c r="H852" s="31">
        <v>159</v>
      </c>
      <c r="I852" s="7" t="s">
        <v>1706</v>
      </c>
    </row>
    <row r="853" spans="1:9" hidden="1">
      <c r="A853" s="31">
        <f t="shared" si="2"/>
        <v>851</v>
      </c>
      <c r="B853" s="10" t="str">
        <f>LEFT(Table1[[#This Row],[EPI_DGN_ANTIC]],1)</f>
        <v>P</v>
      </c>
      <c r="C853" s="10" t="str">
        <f>LEFT(Table1[[#This Row],[EPI_DGN_ANTIC]],2)</f>
        <v>PE</v>
      </c>
      <c r="D853" s="10" t="s">
        <v>1707</v>
      </c>
      <c r="E853" s="10">
        <v>0</v>
      </c>
      <c r="F853" s="10"/>
      <c r="G853" s="10"/>
      <c r="H853" s="31">
        <v>160</v>
      </c>
      <c r="I853" s="7" t="s">
        <v>1708</v>
      </c>
    </row>
    <row r="854" spans="1:9" hidden="1">
      <c r="A854" s="31">
        <f t="shared" si="2"/>
        <v>852</v>
      </c>
      <c r="B854" s="10" t="str">
        <f>LEFT(Table1[[#This Row],[EPI_DGN_ANTIC]],1)</f>
        <v>Q</v>
      </c>
      <c r="C854" s="10" t="str">
        <f>LEFT(Table1[[#This Row],[EPI_DGN_ANTIC]],2)</f>
        <v>QH</v>
      </c>
      <c r="D854" s="10" t="s">
        <v>1709</v>
      </c>
      <c r="E854" s="10">
        <v>0</v>
      </c>
      <c r="F854" s="10"/>
      <c r="G854" s="10"/>
      <c r="H854" s="31">
        <v>161</v>
      </c>
      <c r="I854" s="7" t="s">
        <v>285</v>
      </c>
    </row>
    <row r="855" spans="1:9" hidden="1">
      <c r="A855" s="31">
        <f t="shared" si="2"/>
        <v>853</v>
      </c>
      <c r="B855" s="10" t="str">
        <f>LEFT(Table1[[#This Row],[EPI_DGN_ANTIC]],1)</f>
        <v>N</v>
      </c>
      <c r="C855" s="10" t="str">
        <f>LEFT(Table1[[#This Row],[EPI_DGN_ANTIC]],2)</f>
        <v>NM</v>
      </c>
      <c r="D855" s="10" t="s">
        <v>1710</v>
      </c>
      <c r="E855" s="10">
        <v>1</v>
      </c>
      <c r="F855" s="10" t="s">
        <v>1711</v>
      </c>
      <c r="G855" s="10"/>
      <c r="H855" s="31">
        <v>162</v>
      </c>
      <c r="I855" s="7" t="s">
        <v>1712</v>
      </c>
    </row>
    <row r="856" spans="1:9" hidden="1">
      <c r="A856" s="31">
        <f t="shared" si="2"/>
        <v>854</v>
      </c>
      <c r="B856" s="10" t="str">
        <f>LEFT(Table1[[#This Row],[EPI_DGN_ANTIC]],1)</f>
        <v>2</v>
      </c>
      <c r="C856" s="10" t="str">
        <f>LEFT(Table1[[#This Row],[EPI_DGN_ANTIC]],2)</f>
        <v>29</v>
      </c>
      <c r="D856" s="10" t="s">
        <v>1713</v>
      </c>
      <c r="E856" s="10">
        <v>1</v>
      </c>
      <c r="F856" s="10" t="s">
        <v>1714</v>
      </c>
      <c r="G856" s="10"/>
      <c r="H856" s="31">
        <v>163</v>
      </c>
      <c r="I856" s="7" t="s">
        <v>1702</v>
      </c>
    </row>
    <row r="857" spans="1:9" hidden="1">
      <c r="A857" s="31">
        <f t="shared" si="2"/>
        <v>855</v>
      </c>
      <c r="B857" s="10" t="str">
        <f>LEFT(Table1[[#This Row],[EPI_DGN_ANTIC]],1)</f>
        <v>1</v>
      </c>
      <c r="C857" s="10" t="str">
        <f>LEFT(Table1[[#This Row],[EPI_DGN_ANTIC]],2)</f>
        <v>1/</v>
      </c>
      <c r="D857" s="10" t="s">
        <v>1715</v>
      </c>
      <c r="E857" s="10">
        <v>1</v>
      </c>
      <c r="F857" s="10" t="s">
        <v>1716</v>
      </c>
      <c r="G857" s="10"/>
      <c r="H857" s="31">
        <v>164</v>
      </c>
      <c r="I857" s="7" t="s">
        <v>1717</v>
      </c>
    </row>
    <row r="858" spans="1:9" hidden="1">
      <c r="A858" s="31">
        <f t="shared" si="2"/>
        <v>856</v>
      </c>
      <c r="B858" s="10" t="str">
        <f>LEFT(Table1[[#This Row],[EPI_DGN_ANTIC]],1)</f>
        <v>6</v>
      </c>
      <c r="C858" s="10" t="str">
        <f>LEFT(Table1[[#This Row],[EPI_DGN_ANTIC]],2)</f>
        <v>6/</v>
      </c>
      <c r="D858" s="10" t="s">
        <v>1718</v>
      </c>
      <c r="E858" s="10">
        <v>0</v>
      </c>
      <c r="F858" s="10"/>
      <c r="G858" s="10"/>
      <c r="H858" s="31">
        <v>165</v>
      </c>
      <c r="I858" s="7" t="s">
        <v>1719</v>
      </c>
    </row>
    <row r="859" spans="1:9" hidden="1">
      <c r="A859" s="31">
        <f t="shared" si="2"/>
        <v>857</v>
      </c>
      <c r="B859" s="10" t="str">
        <f>LEFT(Table1[[#This Row],[EPI_DGN_ANTIC]],1)</f>
        <v>1</v>
      </c>
      <c r="C859" s="10" t="str">
        <f>LEFT(Table1[[#This Row],[EPI_DGN_ANTIC]],2)</f>
        <v>10</v>
      </c>
      <c r="D859" s="10" t="s">
        <v>1718</v>
      </c>
      <c r="E859" s="10">
        <v>1</v>
      </c>
      <c r="F859" s="10" t="s">
        <v>1720</v>
      </c>
      <c r="G859" s="10"/>
      <c r="H859" s="31">
        <v>166</v>
      </c>
      <c r="I859" s="7" t="s">
        <v>1721</v>
      </c>
    </row>
    <row r="860" spans="1:9" hidden="1">
      <c r="A860" s="31">
        <f t="shared" si="2"/>
        <v>858</v>
      </c>
      <c r="B860" s="10" t="str">
        <f>LEFT(Table1[[#This Row],[EPI_DGN_ANTIC]],1)</f>
        <v>1</v>
      </c>
      <c r="C860" s="10" t="str">
        <f>LEFT(Table1[[#This Row],[EPI_DGN_ANTIC]],2)</f>
        <v>14</v>
      </c>
      <c r="D860" s="10" t="s">
        <v>1722</v>
      </c>
      <c r="E860" s="10">
        <v>0</v>
      </c>
      <c r="F860" s="10"/>
      <c r="G860" s="10"/>
      <c r="H860" s="31">
        <v>167</v>
      </c>
      <c r="I860" s="7" t="s">
        <v>1723</v>
      </c>
    </row>
    <row r="861" spans="1:9" hidden="1">
      <c r="A861" s="31">
        <f t="shared" si="2"/>
        <v>859</v>
      </c>
      <c r="B861" s="10" t="str">
        <f>LEFT(Table1[[#This Row],[EPI_DGN_ANTIC]],1)</f>
        <v>2</v>
      </c>
      <c r="C861" s="10" t="str">
        <f>LEFT(Table1[[#This Row],[EPI_DGN_ANTIC]],3)</f>
        <v>24/</v>
      </c>
      <c r="D861" s="10" t="s">
        <v>1724</v>
      </c>
      <c r="E861" s="10">
        <v>1</v>
      </c>
      <c r="F861" s="10" t="s">
        <v>1725</v>
      </c>
      <c r="G861" s="10"/>
      <c r="H861" s="31">
        <v>168</v>
      </c>
      <c r="I861" s="7" t="s">
        <v>1726</v>
      </c>
    </row>
    <row r="862" spans="1:9" hidden="1">
      <c r="A862" s="31">
        <f t="shared" si="2"/>
        <v>860</v>
      </c>
      <c r="B862" s="10" t="str">
        <f>LEFT(Table1[[#This Row],[EPI_DGN_ANTIC]],1)</f>
        <v>2</v>
      </c>
      <c r="C862" s="10" t="str">
        <f>LEFT(Table1[[#This Row],[EPI_DGN_ANTIC]],3)</f>
        <v>26/</v>
      </c>
      <c r="D862" s="10" t="s">
        <v>1727</v>
      </c>
      <c r="E862" s="10">
        <v>0</v>
      </c>
      <c r="F862" s="10"/>
      <c r="G862" s="10"/>
      <c r="H862" s="31">
        <v>169</v>
      </c>
      <c r="I862" s="7" t="s">
        <v>1728</v>
      </c>
    </row>
    <row r="863" spans="1:9" hidden="1">
      <c r="A863" s="31">
        <f t="shared" si="2"/>
        <v>861</v>
      </c>
      <c r="B863" s="10" t="str">
        <f>LEFT(Table1[[#This Row],[EPI_DGN_ANTIC]],1)</f>
        <v>3</v>
      </c>
      <c r="C863" s="10" t="str">
        <f>LEFT(Table1[[#This Row],[EPI_DGN_ANTIC]],3)</f>
        <v>30/</v>
      </c>
      <c r="D863" s="10" t="s">
        <v>1729</v>
      </c>
      <c r="E863" s="10">
        <v>1</v>
      </c>
      <c r="F863" s="10" t="s">
        <v>1730</v>
      </c>
      <c r="G863" s="10"/>
      <c r="H863" s="31">
        <v>170</v>
      </c>
      <c r="I863" s="7" t="s">
        <v>1731</v>
      </c>
    </row>
    <row r="864" spans="1:9" hidden="1">
      <c r="A864" s="31">
        <f t="shared" si="2"/>
        <v>862</v>
      </c>
      <c r="B864" s="10" t="str">
        <f>LEFT(Table1[[#This Row],[EPI_DGN_ANTIC]],1)</f>
        <v>2</v>
      </c>
      <c r="C864" s="10" t="str">
        <f>LEFT(Table1[[#This Row],[EPI_DGN_ANTIC]],2)</f>
        <v>2/</v>
      </c>
      <c r="D864" s="10" t="s">
        <v>1355</v>
      </c>
      <c r="E864" s="10">
        <v>0</v>
      </c>
      <c r="F864" s="10"/>
      <c r="G864" s="10"/>
      <c r="H864" s="31">
        <v>171</v>
      </c>
      <c r="I864" s="7" t="s">
        <v>1574</v>
      </c>
    </row>
    <row r="865" spans="1:9" hidden="1">
      <c r="A865" s="31">
        <f t="shared" si="2"/>
        <v>863</v>
      </c>
      <c r="B865" s="10" t="str">
        <f>LEFT(Table1[[#This Row],[EPI_DGN_ANTIC]],1)</f>
        <v>7</v>
      </c>
      <c r="C865" s="10" t="str">
        <f>LEFT(Table1[[#This Row],[EPI_DGN_ANTIC]],2)</f>
        <v>7/</v>
      </c>
      <c r="D865" s="10" t="s">
        <v>1732</v>
      </c>
      <c r="E865" s="10">
        <v>0</v>
      </c>
      <c r="F865" s="10"/>
      <c r="G865" s="10"/>
      <c r="H865" s="31">
        <v>172</v>
      </c>
      <c r="I865" s="7" t="s">
        <v>1733</v>
      </c>
    </row>
    <row r="866" spans="1:9" hidden="1">
      <c r="A866" s="31">
        <f t="shared" si="2"/>
        <v>864</v>
      </c>
      <c r="B866" s="10" t="str">
        <f>LEFT(Table1[[#This Row],[EPI_DGN_ANTIC]],1)</f>
        <v>2</v>
      </c>
      <c r="C866" s="10" t="str">
        <f>LEFT(Table1[[#This Row],[EPI_DGN_ANTIC]],3)</f>
        <v>20/</v>
      </c>
      <c r="D866" s="10" t="s">
        <v>1734</v>
      </c>
      <c r="E866" s="10">
        <v>1</v>
      </c>
      <c r="F866" s="10" t="s">
        <v>1735</v>
      </c>
      <c r="G866" s="10"/>
      <c r="H866" s="31">
        <v>173</v>
      </c>
      <c r="I866" s="7" t="s">
        <v>1736</v>
      </c>
    </row>
    <row r="867" spans="1:9" hidden="1">
      <c r="A867" s="31">
        <f t="shared" si="2"/>
        <v>865</v>
      </c>
      <c r="B867" s="10" t="str">
        <f>LEFT(Table1[[#This Row],[EPI_DGN_ANTIC]],1)</f>
        <v>2</v>
      </c>
      <c r="C867" s="10" t="str">
        <f>LEFT(Table1[[#This Row],[EPI_DGN_ANTIC]],3)</f>
        <v>21/</v>
      </c>
      <c r="D867" s="10" t="s">
        <v>1737</v>
      </c>
      <c r="E867" s="10">
        <v>1</v>
      </c>
      <c r="F867" s="10" t="s">
        <v>1738</v>
      </c>
      <c r="G867" s="10"/>
      <c r="H867" s="31">
        <v>174</v>
      </c>
      <c r="I867" s="7" t="s">
        <v>1739</v>
      </c>
    </row>
    <row r="868" spans="1:9" hidden="1">
      <c r="A868" s="31">
        <f t="shared" si="2"/>
        <v>866</v>
      </c>
      <c r="B868" s="10" t="str">
        <f>LEFT(Table1[[#This Row],[EPI_DGN_ANTIC]],1)</f>
        <v>8</v>
      </c>
      <c r="C868" s="10" t="str">
        <f>LEFT(Table1[[#This Row],[EPI_DGN_ANTIC]],3)</f>
        <v>8/3</v>
      </c>
      <c r="D868" s="10" t="s">
        <v>1740</v>
      </c>
      <c r="E868" s="10">
        <v>1</v>
      </c>
      <c r="F868" s="10" t="s">
        <v>1741</v>
      </c>
      <c r="G868" s="10"/>
      <c r="H868" s="31">
        <v>175</v>
      </c>
      <c r="I868" s="7" t="s">
        <v>1742</v>
      </c>
    </row>
    <row r="869" spans="1:9" hidden="1">
      <c r="A869" s="31">
        <f t="shared" si="2"/>
        <v>867</v>
      </c>
      <c r="B869" s="10" t="str">
        <f>LEFT(Table1[[#This Row],[EPI_DGN_ANTIC]],1)</f>
        <v>1</v>
      </c>
      <c r="C869" s="10" t="str">
        <f>LEFT(Table1[[#This Row],[EPI_DGN_ANTIC]],2)</f>
        <v>11</v>
      </c>
      <c r="D869" s="10" t="s">
        <v>1743</v>
      </c>
      <c r="E869" s="10">
        <v>1</v>
      </c>
      <c r="F869" s="10" t="s">
        <v>1638</v>
      </c>
      <c r="G869" s="10"/>
      <c r="H869" s="31">
        <v>176</v>
      </c>
      <c r="I869" s="7" t="s">
        <v>1378</v>
      </c>
    </row>
    <row r="870" spans="1:9" hidden="1">
      <c r="A870" s="31">
        <f t="shared" si="2"/>
        <v>868</v>
      </c>
      <c r="B870" s="10" t="str">
        <f>LEFT(Table1[[#This Row],[EPI_DGN_ANTIC]],1)</f>
        <v>2</v>
      </c>
      <c r="C870" s="10" t="str">
        <f>LEFT(Table1[[#This Row],[EPI_DGN_ANTIC]],2)</f>
        <v>25</v>
      </c>
      <c r="D870" s="10" t="s">
        <v>1744</v>
      </c>
      <c r="E870" s="10">
        <v>1</v>
      </c>
      <c r="F870" s="10" t="s">
        <v>1745</v>
      </c>
      <c r="G870" s="10"/>
      <c r="H870" s="31">
        <v>177</v>
      </c>
      <c r="I870" s="7" t="s">
        <v>1746</v>
      </c>
    </row>
    <row r="871" spans="1:9" hidden="1">
      <c r="A871" s="31">
        <f t="shared" si="2"/>
        <v>869</v>
      </c>
      <c r="B871" s="10" t="str">
        <f>LEFT(Table1[[#This Row],[EPI_DGN_ANTIC]],1)</f>
        <v>2</v>
      </c>
      <c r="C871" s="10" t="str">
        <f>LEFT(Table1[[#This Row],[EPI_DGN_ANTIC]],2)</f>
        <v>27</v>
      </c>
      <c r="D871" s="10" t="s">
        <v>1747</v>
      </c>
      <c r="E871" s="10">
        <v>1</v>
      </c>
      <c r="F871" s="10" t="s">
        <v>1641</v>
      </c>
      <c r="G871" s="10"/>
      <c r="H871" s="31">
        <v>178</v>
      </c>
      <c r="I871" s="7" t="s">
        <v>1748</v>
      </c>
    </row>
    <row r="872" spans="1:9" hidden="1">
      <c r="A872" s="31">
        <f t="shared" si="2"/>
        <v>870</v>
      </c>
      <c r="B872" s="10" t="str">
        <f>LEFT(Table1[[#This Row],[EPI_DGN_ANTIC]],1)</f>
        <v>2</v>
      </c>
      <c r="C872" s="10" t="str">
        <f>LEFT(Table1[[#This Row],[EPI_DGN_ANTIC]],2)</f>
        <v>28</v>
      </c>
      <c r="D872" s="10" t="s">
        <v>1749</v>
      </c>
      <c r="E872" s="10">
        <v>1</v>
      </c>
      <c r="F872" s="10" t="s">
        <v>1638</v>
      </c>
      <c r="G872" s="10"/>
      <c r="H872" s="31">
        <v>179</v>
      </c>
      <c r="I872" s="7" t="s">
        <v>1750</v>
      </c>
    </row>
    <row r="873" spans="1:9" hidden="1">
      <c r="A873" s="31">
        <f t="shared" si="2"/>
        <v>871</v>
      </c>
      <c r="B873" s="10" t="str">
        <f>LEFT(Table1[[#This Row],[EPI_DGN_ANTIC]],1)</f>
        <v>9</v>
      </c>
      <c r="C873" s="10" t="str">
        <f>LEFT(Table1[[#This Row],[EPI_DGN_ANTIC]],2)</f>
        <v>9/</v>
      </c>
      <c r="D873" s="10" t="s">
        <v>1751</v>
      </c>
      <c r="E873" s="10">
        <v>1</v>
      </c>
      <c r="F873" s="10" t="s">
        <v>1752</v>
      </c>
      <c r="G873" s="10"/>
      <c r="H873" s="31">
        <v>180</v>
      </c>
      <c r="I873" s="7" t="s">
        <v>1491</v>
      </c>
    </row>
    <row r="874" spans="1:9" hidden="1">
      <c r="A874" s="31">
        <f t="shared" si="2"/>
        <v>872</v>
      </c>
      <c r="B874" s="10" t="str">
        <f>LEFT(Table1[[#This Row],[EPI_DGN_ANTIC]],1)</f>
        <v>2</v>
      </c>
      <c r="C874" s="10" t="str">
        <f>LEFT(Table1[[#This Row],[EPI_DGN_ANTIC]],2)</f>
        <v>22</v>
      </c>
      <c r="D874" s="10" t="s">
        <v>1753</v>
      </c>
      <c r="E874" s="10">
        <v>0</v>
      </c>
      <c r="F874" s="10"/>
      <c r="G874" s="10"/>
      <c r="H874" s="31">
        <v>181</v>
      </c>
      <c r="I874" s="7" t="s">
        <v>1491</v>
      </c>
    </row>
    <row r="875" spans="1:9" hidden="1">
      <c r="A875" s="31">
        <f t="shared" si="2"/>
        <v>873</v>
      </c>
      <c r="B875" s="10" t="str">
        <f>LEFT(Table1[[#This Row],[EPI_DGN_ANTIC]],1)</f>
        <v>2</v>
      </c>
      <c r="C875" s="10" t="str">
        <f>LEFT(Table1[[#This Row],[EPI_DGN_ANTIC]],2)</f>
        <v>23</v>
      </c>
      <c r="D875" s="10" t="s">
        <v>1754</v>
      </c>
      <c r="E875" s="10">
        <v>1</v>
      </c>
      <c r="F875" s="10" t="s">
        <v>1755</v>
      </c>
      <c r="G875" s="10"/>
      <c r="H875" s="31">
        <v>182</v>
      </c>
      <c r="I875" s="7" t="s">
        <v>1491</v>
      </c>
    </row>
    <row r="876" spans="1:9" hidden="1">
      <c r="A876" s="31">
        <f t="shared" si="2"/>
        <v>874</v>
      </c>
      <c r="B876" s="10" t="str">
        <f>LEFT(Table1[[#This Row],[EPI_DGN_ANTIC]],1)</f>
        <v>1</v>
      </c>
      <c r="C876" s="10" t="str">
        <f>LEFT(Table1[[#This Row],[EPI_DGN_ANTIC]],2)</f>
        <v>15</v>
      </c>
      <c r="D876" s="10" t="s">
        <v>1756</v>
      </c>
      <c r="E876" s="10">
        <v>1</v>
      </c>
      <c r="F876" s="10" t="s">
        <v>1638</v>
      </c>
      <c r="G876" s="10"/>
      <c r="H876" s="31">
        <v>183</v>
      </c>
      <c r="I876" s="7" t="s">
        <v>1726</v>
      </c>
    </row>
    <row r="877" spans="1:9" hidden="1">
      <c r="A877" s="31">
        <f t="shared" si="2"/>
        <v>875</v>
      </c>
      <c r="B877" s="10" t="str">
        <f>LEFT(Table1[[#This Row],[EPI_DGN_ANTIC]],1)</f>
        <v>1</v>
      </c>
      <c r="C877" s="10" t="str">
        <f>LEFT(Table1[[#This Row],[EPI_DGN_ANTIC]],2)</f>
        <v>16</v>
      </c>
      <c r="D877" s="10" t="s">
        <v>1757</v>
      </c>
      <c r="E877" s="10">
        <v>1</v>
      </c>
      <c r="F877" s="10" t="s">
        <v>1758</v>
      </c>
      <c r="G877" s="10"/>
      <c r="H877" s="31">
        <v>184</v>
      </c>
      <c r="I877" s="7" t="s">
        <v>1759</v>
      </c>
    </row>
    <row r="878" spans="1:9" hidden="1">
      <c r="A878" s="31">
        <f t="shared" si="2"/>
        <v>876</v>
      </c>
      <c r="B878" s="10" t="str">
        <f>LEFT(Table1[[#This Row],[EPI_DGN_ANTIC]],1)</f>
        <v>1</v>
      </c>
      <c r="C878" s="10" t="str">
        <f>LEFT(Table1[[#This Row],[EPI_DGN_ANTIC]],2)</f>
        <v>17</v>
      </c>
      <c r="D878" s="10" t="s">
        <v>1760</v>
      </c>
      <c r="E878" s="10">
        <v>1</v>
      </c>
      <c r="F878" s="10" t="s">
        <v>1638</v>
      </c>
      <c r="G878" s="10"/>
      <c r="H878" s="31">
        <v>185</v>
      </c>
      <c r="I878" s="7" t="s">
        <v>1103</v>
      </c>
    </row>
    <row r="879" spans="1:9" hidden="1">
      <c r="A879" s="31">
        <f t="shared" si="2"/>
        <v>877</v>
      </c>
      <c r="B879" s="10" t="str">
        <f>LEFT(Table1[[#This Row],[EPI_DGN_ANTIC]],1)</f>
        <v>1</v>
      </c>
      <c r="C879" s="10" t="str">
        <f>LEFT(Table1[[#This Row],[EPI_DGN_ANTIC]],2)</f>
        <v>18</v>
      </c>
      <c r="D879" s="10" t="s">
        <v>1761</v>
      </c>
      <c r="E879" s="10">
        <v>1</v>
      </c>
      <c r="F879" s="10" t="s">
        <v>1755</v>
      </c>
      <c r="G879" s="10"/>
      <c r="H879" s="31">
        <v>186</v>
      </c>
      <c r="I879" s="7" t="s">
        <v>1762</v>
      </c>
    </row>
    <row r="880" spans="1:9" hidden="1">
      <c r="A880" s="31">
        <f t="shared" si="2"/>
        <v>878</v>
      </c>
      <c r="B880" s="10" t="str">
        <f>LEFT(Table1[[#This Row],[EPI_DGN_ANTIC]],1)</f>
        <v>1</v>
      </c>
      <c r="C880" s="10" t="str">
        <f>LEFT(Table1[[#This Row],[EPI_DGN_ANTIC]],2)</f>
        <v>19</v>
      </c>
      <c r="D880" s="10" t="s">
        <v>1763</v>
      </c>
      <c r="E880" s="10">
        <v>1</v>
      </c>
      <c r="F880" s="10" t="s">
        <v>1764</v>
      </c>
      <c r="G880" s="10"/>
      <c r="H880" s="31">
        <v>187</v>
      </c>
      <c r="I880" s="7" t="s">
        <v>1765</v>
      </c>
    </row>
    <row r="881" spans="1:9" hidden="1">
      <c r="A881" s="31">
        <f t="shared" si="2"/>
        <v>879</v>
      </c>
      <c r="B881" s="10" t="str">
        <f>LEFT(Table1[[#This Row],[EPI_DGN_ANTIC]],1)</f>
        <v>3</v>
      </c>
      <c r="C881" s="10" t="str">
        <f>LEFT(Table1[[#This Row],[EPI_DGN_ANTIC]],2)</f>
        <v>31</v>
      </c>
      <c r="D881" s="10" t="s">
        <v>1766</v>
      </c>
      <c r="E881" s="10">
        <v>1</v>
      </c>
      <c r="F881" s="10" t="s">
        <v>1767</v>
      </c>
      <c r="G881" s="10"/>
      <c r="H881" s="31">
        <v>188</v>
      </c>
      <c r="I881" s="7" t="s">
        <v>1768</v>
      </c>
    </row>
    <row r="882" spans="1:9" hidden="1">
      <c r="A882" s="31">
        <f t="shared" si="2"/>
        <v>880</v>
      </c>
      <c r="B882" s="10" t="str">
        <f>LEFT(Table1[[#This Row],[EPI_DGN_ANTIC]],1)</f>
        <v>3</v>
      </c>
      <c r="C882" s="10" t="str">
        <f>LEFT(Table1[[#This Row],[EPI_DGN_ANTIC]],2)</f>
        <v>3/</v>
      </c>
      <c r="D882" s="10" t="s">
        <v>1769</v>
      </c>
      <c r="E882" s="10">
        <v>1</v>
      </c>
      <c r="F882" s="10" t="s">
        <v>1758</v>
      </c>
      <c r="G882" s="10"/>
      <c r="H882" s="31">
        <v>189</v>
      </c>
      <c r="I882" s="7" t="s">
        <v>1770</v>
      </c>
    </row>
    <row r="883" spans="1:9" hidden="1">
      <c r="A883" s="31">
        <f t="shared" si="2"/>
        <v>881</v>
      </c>
      <c r="B883" s="10" t="str">
        <f>LEFT(Table1[[#This Row],[EPI_DGN_ANTIC]],1)</f>
        <v>4</v>
      </c>
      <c r="C883" s="10" t="str">
        <f>LEFT(Table1[[#This Row],[EPI_DGN_ANTIC]],2)</f>
        <v>4/</v>
      </c>
      <c r="D883" s="10" t="s">
        <v>1771</v>
      </c>
      <c r="E883" s="10">
        <v>1</v>
      </c>
      <c r="F883" s="10" t="s">
        <v>1772</v>
      </c>
      <c r="G883" s="10"/>
      <c r="H883" s="31">
        <v>190</v>
      </c>
      <c r="I883" s="7" t="s">
        <v>1773</v>
      </c>
    </row>
    <row r="884" spans="1:9" hidden="1">
      <c r="A884" s="31">
        <f t="shared" si="2"/>
        <v>882</v>
      </c>
      <c r="B884" s="10" t="str">
        <f>LEFT(Table1[[#This Row],[EPI_DGN_ANTIC]],1)</f>
        <v>5</v>
      </c>
      <c r="C884" s="10" t="str">
        <f>LEFT(Table1[[#This Row],[EPI_DGN_ANTIC]],2)</f>
        <v>5/</v>
      </c>
      <c r="D884" s="10" t="s">
        <v>1774</v>
      </c>
      <c r="E884" s="10">
        <v>1</v>
      </c>
      <c r="F884" s="10" t="s">
        <v>1641</v>
      </c>
      <c r="G884" s="10"/>
      <c r="H884" s="31">
        <v>191</v>
      </c>
      <c r="I884" s="7" t="s">
        <v>1775</v>
      </c>
    </row>
    <row r="885" spans="1:9" hidden="1">
      <c r="A885" s="31">
        <f t="shared" si="2"/>
        <v>883</v>
      </c>
      <c r="B885" s="10" t="str">
        <f>LEFT(Table1[[#This Row],[EPI_DGN_ANTIC]],1)</f>
        <v>1</v>
      </c>
      <c r="C885" s="10" t="str">
        <f>LEFT(Table1[[#This Row],[EPI_DGN_ANTIC]],2)</f>
        <v>12</v>
      </c>
      <c r="D885" s="10" t="s">
        <v>1776</v>
      </c>
      <c r="E885" s="10">
        <v>1</v>
      </c>
      <c r="F885" s="10" t="s">
        <v>1777</v>
      </c>
      <c r="G885" s="10"/>
      <c r="H885" s="31">
        <v>192</v>
      </c>
      <c r="I885" s="7" t="s">
        <v>1778</v>
      </c>
    </row>
    <row r="886" spans="1:9" hidden="1">
      <c r="A886" s="31">
        <f t="shared" si="2"/>
        <v>884</v>
      </c>
      <c r="B886" s="10" t="str">
        <f>LEFT(Table1[[#This Row],[EPI_DGN_ANTIC]],1)</f>
        <v>1</v>
      </c>
      <c r="C886" s="10" t="str">
        <f>LEFT(Table1[[#This Row],[EPI_DGN_ANTIC]],2)</f>
        <v>13</v>
      </c>
      <c r="D886" s="10" t="s">
        <v>1779</v>
      </c>
      <c r="E886" s="10">
        <v>1</v>
      </c>
      <c r="F886" s="10" t="s">
        <v>1780</v>
      </c>
      <c r="G886" s="10"/>
      <c r="H886" s="31">
        <v>193</v>
      </c>
      <c r="I886" s="7" t="s">
        <v>1778</v>
      </c>
    </row>
    <row r="887" spans="1:9" hidden="1">
      <c r="A887" s="31">
        <f t="shared" ref="A887:A950" si="3">A886+1</f>
        <v>885</v>
      </c>
      <c r="B887" s="10" t="e">
        <f>LEFT(Table1[[#This Row],[EPI_DGN_ANTIC]],1)</f>
        <v>#VALUE!</v>
      </c>
      <c r="C887" s="10" t="e">
        <f>LEFT(Table1[[#This Row],[EPI_DGN_ANTIC]],3)</f>
        <v>#VALUE!</v>
      </c>
      <c r="D887" s="10" t="s">
        <v>1781</v>
      </c>
      <c r="E887" s="10">
        <v>1</v>
      </c>
      <c r="F887" s="10" t="s">
        <v>1782</v>
      </c>
      <c r="G887" s="10"/>
      <c r="H887" s="31">
        <v>194</v>
      </c>
      <c r="I887" s="7" t="s">
        <v>1783</v>
      </c>
    </row>
    <row r="888" spans="1:9" hidden="1">
      <c r="A888" s="31">
        <f t="shared" si="3"/>
        <v>886</v>
      </c>
      <c r="B888" s="10" t="e">
        <f>LEFT(Table1[[#This Row],[EPI_DGN_ANTIC]],1)</f>
        <v>#VALUE!</v>
      </c>
      <c r="C888" s="10" t="e">
        <f>LEFT(Table1[[#This Row],[EPI_DGN_ANTIC]],3)</f>
        <v>#VALUE!</v>
      </c>
      <c r="D888" s="10" t="s">
        <v>1727</v>
      </c>
      <c r="E888" s="10">
        <v>1</v>
      </c>
      <c r="F888" s="10" t="s">
        <v>1784</v>
      </c>
      <c r="G888" s="10"/>
      <c r="H888" s="31">
        <v>195</v>
      </c>
      <c r="I888" s="7" t="s">
        <v>1785</v>
      </c>
    </row>
    <row r="889" spans="1:9" hidden="1">
      <c r="A889" s="31">
        <f t="shared" si="3"/>
        <v>887</v>
      </c>
      <c r="B889" s="10" t="s">
        <v>1632</v>
      </c>
      <c r="C889" s="10" t="s">
        <v>1727</v>
      </c>
      <c r="D889" s="10" t="s">
        <v>1786</v>
      </c>
      <c r="E889" s="10">
        <v>1</v>
      </c>
      <c r="F889" s="10" t="s">
        <v>1784</v>
      </c>
      <c r="G889" s="24" t="s">
        <v>786</v>
      </c>
      <c r="H889" s="31">
        <v>196</v>
      </c>
      <c r="I889" s="7" t="s">
        <v>1787</v>
      </c>
    </row>
    <row r="890" spans="1:9" hidden="1">
      <c r="A890" s="31">
        <f t="shared" si="3"/>
        <v>888</v>
      </c>
      <c r="B890" s="10" t="s">
        <v>1632</v>
      </c>
      <c r="C890" s="10" t="s">
        <v>1727</v>
      </c>
      <c r="D890" s="10" t="s">
        <v>1788</v>
      </c>
      <c r="E890" s="10">
        <v>1</v>
      </c>
      <c r="F890" s="10" t="s">
        <v>1730</v>
      </c>
      <c r="G890" s="24" t="s">
        <v>786</v>
      </c>
      <c r="H890" s="31">
        <v>197</v>
      </c>
      <c r="I890" s="7" t="s">
        <v>1789</v>
      </c>
    </row>
    <row r="891" spans="1:9" hidden="1">
      <c r="A891" s="31">
        <f t="shared" si="3"/>
        <v>889</v>
      </c>
      <c r="B891" s="10" t="e">
        <f>LEFT(Table1[[#This Row],[EPI_DGN_ANTIC]],1)</f>
        <v>#VALUE!</v>
      </c>
      <c r="C891" s="10" t="e">
        <f>LEFT(Table1[[#This Row],[EPI_DGN_ANTIC]],3)</f>
        <v>#VALUE!</v>
      </c>
      <c r="D891" s="10" t="s">
        <v>1790</v>
      </c>
      <c r="E891" s="10">
        <v>1</v>
      </c>
      <c r="F891" s="10" t="s">
        <v>1791</v>
      </c>
      <c r="G891" s="10"/>
      <c r="H891" s="31">
        <v>198</v>
      </c>
      <c r="I891" s="7" t="s">
        <v>1792</v>
      </c>
    </row>
    <row r="892" spans="1:9" hidden="1">
      <c r="A892" s="31">
        <f t="shared" si="3"/>
        <v>890</v>
      </c>
      <c r="B892" s="10" t="e">
        <f>LEFT(Table1[[#This Row],[EPI_DGN_ANTIC]],1)</f>
        <v>#VALUE!</v>
      </c>
      <c r="C892" s="10" t="e">
        <f>LEFT(Table1[[#This Row],[EPI_DGN_ANTIC]],3)</f>
        <v>#VALUE!</v>
      </c>
      <c r="D892" s="10" t="s">
        <v>1793</v>
      </c>
      <c r="E892" s="10">
        <v>1</v>
      </c>
      <c r="F892" s="10" t="s">
        <v>1791</v>
      </c>
      <c r="G892" s="10"/>
      <c r="H892" s="31">
        <v>199</v>
      </c>
      <c r="I892" s="7" t="s">
        <v>1794</v>
      </c>
    </row>
    <row r="893" spans="1:9" hidden="1">
      <c r="A893" s="31">
        <f t="shared" si="3"/>
        <v>891</v>
      </c>
      <c r="B893" s="10" t="e">
        <f>LEFT(Table1[[#This Row],[EPI_DGN_ANTIC]],1)</f>
        <v>#VALUE!</v>
      </c>
      <c r="C893" s="10" t="e">
        <f>LEFT(Table1[[#This Row],[EPI_DGN_ANTIC]],2)</f>
        <v>#VALUE!</v>
      </c>
      <c r="D893" s="10" t="s">
        <v>1795</v>
      </c>
      <c r="E893" s="10">
        <v>1</v>
      </c>
      <c r="F893" s="10" t="s">
        <v>1796</v>
      </c>
      <c r="G893" s="10"/>
      <c r="H893" s="31">
        <v>200</v>
      </c>
      <c r="I893" s="7" t="s">
        <v>1797</v>
      </c>
    </row>
    <row r="894" spans="1:9" hidden="1">
      <c r="A894" s="31">
        <f t="shared" si="3"/>
        <v>892</v>
      </c>
      <c r="B894" s="10" t="e">
        <f>LEFT(Table1[[#This Row],[EPI_DGN_ANTIC]],1)</f>
        <v>#VALUE!</v>
      </c>
      <c r="C894" s="10" t="e">
        <f>LEFT(Table1[[#This Row],[EPI_DGN_ANTIC]],2)</f>
        <v>#VALUE!</v>
      </c>
      <c r="D894" s="10" t="s">
        <v>1798</v>
      </c>
      <c r="E894" s="10">
        <v>0</v>
      </c>
      <c r="F894" s="10"/>
      <c r="G894" s="10"/>
      <c r="H894" s="31">
        <v>201</v>
      </c>
      <c r="I894" s="7" t="s">
        <v>1799</v>
      </c>
    </row>
    <row r="895" spans="1:9" hidden="1">
      <c r="A895" s="31">
        <f t="shared" si="3"/>
        <v>893</v>
      </c>
      <c r="B895" s="10" t="e">
        <f>LEFT(Table1[[#This Row],[EPI_DGN_ANTIC]],1)</f>
        <v>#VALUE!</v>
      </c>
      <c r="C895" s="10" t="e">
        <f>LEFT(Table1[[#This Row],[EPI_DGN_ANTIC]],2)</f>
        <v>#VALUE!</v>
      </c>
      <c r="D895" s="10" t="s">
        <v>1800</v>
      </c>
      <c r="E895" s="10">
        <v>1</v>
      </c>
      <c r="F895" s="10" t="s">
        <v>1801</v>
      </c>
      <c r="G895" s="10"/>
      <c r="H895" s="31">
        <v>202</v>
      </c>
      <c r="I895" s="7" t="s">
        <v>1802</v>
      </c>
    </row>
    <row r="896" spans="1:9" hidden="1">
      <c r="A896" s="31">
        <f t="shared" si="3"/>
        <v>894</v>
      </c>
      <c r="B896" s="10" t="e">
        <f>LEFT(Table1[[#This Row],[EPI_DGN_ANTIC]],1)</f>
        <v>#VALUE!</v>
      </c>
      <c r="C896" s="10" t="e">
        <f>LEFT(Table1[[#This Row],[EPI_DGN_ANTIC]],2)</f>
        <v>#VALUE!</v>
      </c>
      <c r="D896" s="10" t="s">
        <v>1803</v>
      </c>
      <c r="E896" s="10">
        <v>1</v>
      </c>
      <c r="F896" s="10" t="s">
        <v>1804</v>
      </c>
      <c r="G896" s="10"/>
      <c r="H896" s="31">
        <v>203</v>
      </c>
      <c r="I896" s="7" t="s">
        <v>1805</v>
      </c>
    </row>
    <row r="897" spans="1:9" hidden="1">
      <c r="A897" s="31">
        <f t="shared" si="3"/>
        <v>895</v>
      </c>
      <c r="B897" s="10" t="e">
        <f>LEFT(Table1[[#This Row],[EPI_DGN_ANTIC]],1)</f>
        <v>#VALUE!</v>
      </c>
      <c r="C897" s="10" t="e">
        <f>LEFT(Table1[[#This Row],[EPI_DGN_ANTIC]],2)</f>
        <v>#VALUE!</v>
      </c>
      <c r="D897" s="10" t="s">
        <v>1806</v>
      </c>
      <c r="E897" s="10">
        <v>1</v>
      </c>
      <c r="F897" s="10" t="s">
        <v>1807</v>
      </c>
      <c r="G897" s="10"/>
      <c r="H897" s="31">
        <v>204</v>
      </c>
      <c r="I897" s="7" t="s">
        <v>1808</v>
      </c>
    </row>
    <row r="898" spans="1:9" hidden="1">
      <c r="A898" s="31">
        <f t="shared" si="3"/>
        <v>896</v>
      </c>
      <c r="B898" s="10" t="e">
        <f>LEFT(Table1[[#This Row],[EPI_DGN_ANTIC]],1)</f>
        <v>#VALUE!</v>
      </c>
      <c r="C898" s="10" t="e">
        <f>LEFT(Table1[[#This Row],[EPI_DGN_ANTIC]],2)</f>
        <v>#VALUE!</v>
      </c>
      <c r="D898" s="10" t="s">
        <v>1809</v>
      </c>
      <c r="E898" s="10">
        <v>1</v>
      </c>
      <c r="F898" s="10" t="s">
        <v>1810</v>
      </c>
      <c r="G898" s="10"/>
      <c r="H898" s="31">
        <v>205</v>
      </c>
      <c r="I898" s="7" t="s">
        <v>1811</v>
      </c>
    </row>
    <row r="899" spans="1:9" hidden="1">
      <c r="A899" s="31">
        <f t="shared" si="3"/>
        <v>897</v>
      </c>
      <c r="B899" s="10" t="e">
        <f>LEFT(Table1[[#This Row],[EPI_DGN_ANTIC]],1)</f>
        <v>#VALUE!</v>
      </c>
      <c r="C899" s="10" t="e">
        <f>LEFT(Table1[[#This Row],[EPI_DGN_ANTIC]],2)</f>
        <v>#VALUE!</v>
      </c>
      <c r="D899" s="10" t="s">
        <v>1812</v>
      </c>
      <c r="E899" s="10">
        <v>0</v>
      </c>
      <c r="F899" s="10"/>
      <c r="G899" s="10"/>
      <c r="H899" s="31">
        <v>206</v>
      </c>
      <c r="I899" s="7" t="s">
        <v>944</v>
      </c>
    </row>
    <row r="900" spans="1:9" hidden="1">
      <c r="A900" s="31">
        <f t="shared" si="3"/>
        <v>898</v>
      </c>
      <c r="B900" s="10" t="e">
        <f>LEFT(Table1[[#This Row],[EPI_DGN_ANTIC]],1)</f>
        <v>#VALUE!</v>
      </c>
      <c r="C900" s="10" t="e">
        <f>LEFT(Table1[[#This Row],[EPI_DGN_ANTIC]],2)</f>
        <v>#VALUE!</v>
      </c>
      <c r="D900" s="10" t="s">
        <v>1813</v>
      </c>
      <c r="E900" s="10">
        <v>1</v>
      </c>
      <c r="F900" s="10" t="s">
        <v>1814</v>
      </c>
      <c r="G900" s="10"/>
      <c r="H900" s="31">
        <v>207</v>
      </c>
      <c r="I900" s="7" t="s">
        <v>274</v>
      </c>
    </row>
    <row r="901" spans="1:9" hidden="1">
      <c r="A901" s="31">
        <f t="shared" si="3"/>
        <v>899</v>
      </c>
      <c r="B901" s="10" t="e">
        <f>LEFT(Table1[[#This Row],[EPI_DGN_ANTIC]],1)</f>
        <v>#VALUE!</v>
      </c>
      <c r="C901" s="10" t="e">
        <f>LEFT(Table1[[#This Row],[EPI_DGN_ANTIC]],2)</f>
        <v>#VALUE!</v>
      </c>
      <c r="D901" s="10" t="s">
        <v>1815</v>
      </c>
      <c r="E901" s="10">
        <v>1</v>
      </c>
      <c r="F901" s="10" t="s">
        <v>1466</v>
      </c>
      <c r="G901" s="10"/>
      <c r="H901" s="31">
        <v>208</v>
      </c>
      <c r="I901" s="7" t="s">
        <v>242</v>
      </c>
    </row>
    <row r="902" spans="1:9" hidden="1">
      <c r="A902" s="31">
        <f t="shared" si="3"/>
        <v>900</v>
      </c>
      <c r="B902" s="10" t="e">
        <f>LEFT(Table1[[#This Row],[EPI_DGN_ANTIC]],1)</f>
        <v>#VALUE!</v>
      </c>
      <c r="C902" s="10" t="e">
        <f>LEFT(Table1[[#This Row],[EPI_DGN_ANTIC]],2)</f>
        <v>#VALUE!</v>
      </c>
      <c r="D902" s="10" t="s">
        <v>1816</v>
      </c>
      <c r="E902" s="10">
        <v>1</v>
      </c>
      <c r="F902" s="10" t="s">
        <v>1817</v>
      </c>
      <c r="G902" s="10"/>
      <c r="H902" s="31">
        <v>209</v>
      </c>
      <c r="I902" s="7" t="s">
        <v>1818</v>
      </c>
    </row>
    <row r="903" spans="1:9" hidden="1">
      <c r="A903" s="31">
        <f t="shared" si="3"/>
        <v>901</v>
      </c>
      <c r="B903" s="10" t="e">
        <f>LEFT(Table1[[#This Row],[EPI_DGN_ANTIC]],1)</f>
        <v>#VALUE!</v>
      </c>
      <c r="C903" s="10" t="e">
        <f>LEFT(Table1[[#This Row],[EPI_DGN_ANTIC]],2)</f>
        <v>#VALUE!</v>
      </c>
      <c r="D903" s="10" t="s">
        <v>1819</v>
      </c>
      <c r="E903" s="10">
        <v>1</v>
      </c>
      <c r="F903" s="10" t="s">
        <v>1820</v>
      </c>
      <c r="G903" s="10"/>
      <c r="H903" s="31">
        <v>210</v>
      </c>
      <c r="I903" s="7" t="s">
        <v>1821</v>
      </c>
    </row>
    <row r="904" spans="1:9" hidden="1">
      <c r="A904" s="31">
        <f t="shared" si="3"/>
        <v>902</v>
      </c>
      <c r="B904" s="10" t="e">
        <f>LEFT(Table1[[#This Row],[EPI_DGN_ANTIC]],1)</f>
        <v>#VALUE!</v>
      </c>
      <c r="C904" s="10" t="e">
        <f>LEFT(Table1[[#This Row],[EPI_DGN_ANTIC]],3)</f>
        <v>#VALUE!</v>
      </c>
      <c r="D904" s="10" t="s">
        <v>1822</v>
      </c>
      <c r="E904" s="10">
        <v>0</v>
      </c>
      <c r="F904" s="10"/>
      <c r="G904" s="10"/>
      <c r="H904" s="31">
        <v>211</v>
      </c>
      <c r="I904" s="7" t="s">
        <v>779</v>
      </c>
    </row>
    <row r="905" spans="1:9" hidden="1">
      <c r="A905" s="31">
        <f t="shared" si="3"/>
        <v>903</v>
      </c>
      <c r="B905" s="10" t="e">
        <f>LEFT(Table1[[#This Row],[EPI_DGN_ANTIC]],1)</f>
        <v>#VALUE!</v>
      </c>
      <c r="C905" s="10" t="e">
        <f>LEFT(Table1[[#This Row],[EPI_DGN_ANTIC]],3)</f>
        <v>#VALUE!</v>
      </c>
      <c r="D905" s="10" t="s">
        <v>1823</v>
      </c>
      <c r="E905" s="10">
        <v>1</v>
      </c>
      <c r="F905" s="10" t="s">
        <v>1824</v>
      </c>
      <c r="G905" s="10"/>
      <c r="H905" s="31">
        <v>212</v>
      </c>
      <c r="I905" s="7" t="s">
        <v>509</v>
      </c>
    </row>
    <row r="906" spans="1:9" hidden="1">
      <c r="A906" s="31">
        <f t="shared" si="3"/>
        <v>904</v>
      </c>
      <c r="B906" s="10" t="e">
        <f>LEFT(Table1[[#This Row],[EPI_DGN_ANTIC]],1)</f>
        <v>#VALUE!</v>
      </c>
      <c r="C906" s="10" t="e">
        <f>LEFT(Table1[[#This Row],[EPI_DGN_ANTIC]],2)</f>
        <v>#VALUE!</v>
      </c>
      <c r="D906" s="10" t="s">
        <v>1825</v>
      </c>
      <c r="E906" s="10">
        <v>1</v>
      </c>
      <c r="F906" s="10" t="s">
        <v>1576</v>
      </c>
      <c r="G906" s="10"/>
      <c r="H906" s="31">
        <v>213</v>
      </c>
      <c r="I906" s="7" t="s">
        <v>1530</v>
      </c>
    </row>
    <row r="907" spans="1:9" hidden="1">
      <c r="A907" s="31">
        <f t="shared" si="3"/>
        <v>905</v>
      </c>
      <c r="B907" s="10" t="e">
        <f>LEFT(Table1[[#This Row],[EPI_DGN_ANTIC]],1)</f>
        <v>#VALUE!</v>
      </c>
      <c r="C907" s="10" t="e">
        <f>LEFT(Table1[[#This Row],[EPI_DGN_ANTIC]],2)</f>
        <v>#VALUE!</v>
      </c>
      <c r="D907" s="10" t="s">
        <v>1826</v>
      </c>
      <c r="E907" s="10">
        <v>1</v>
      </c>
      <c r="F907" s="10" t="s">
        <v>1827</v>
      </c>
      <c r="G907" s="10"/>
      <c r="H907" s="31">
        <v>214</v>
      </c>
      <c r="I907" s="7" t="s">
        <v>129</v>
      </c>
    </row>
    <row r="908" spans="1:9" hidden="1">
      <c r="A908" s="31">
        <f t="shared" si="3"/>
        <v>906</v>
      </c>
      <c r="B908" s="10" t="e">
        <f>LEFT(Table1[[#This Row],[EPI_DGN_ANTIC]],1)</f>
        <v>#VALUE!</v>
      </c>
      <c r="C908" s="10" t="e">
        <f>LEFT(Table1[[#This Row],[EPI_DGN_ANTIC]],2)</f>
        <v>#VALUE!</v>
      </c>
      <c r="D908" s="10" t="s">
        <v>1828</v>
      </c>
      <c r="E908" s="10">
        <v>1</v>
      </c>
      <c r="F908" s="10" t="s">
        <v>1829</v>
      </c>
      <c r="G908" s="10"/>
      <c r="H908" s="31">
        <v>215</v>
      </c>
      <c r="I908" s="7" t="s">
        <v>582</v>
      </c>
    </row>
    <row r="909" spans="1:9" hidden="1">
      <c r="A909" s="31">
        <f t="shared" si="3"/>
        <v>907</v>
      </c>
      <c r="B909" s="10" t="e">
        <f>LEFT(Table1[[#This Row],[EPI_DGN_ANTIC]],1)</f>
        <v>#VALUE!</v>
      </c>
      <c r="C909" s="10" t="e">
        <f>LEFT(Table1[[#This Row],[EPI_DGN_ANTIC]],2)</f>
        <v>#VALUE!</v>
      </c>
      <c r="D909" s="10" t="s">
        <v>1830</v>
      </c>
      <c r="E909" s="10">
        <v>1</v>
      </c>
      <c r="F909" s="10" t="s">
        <v>1831</v>
      </c>
      <c r="G909" s="10"/>
      <c r="H909" s="31">
        <v>216</v>
      </c>
      <c r="I909" s="7" t="s">
        <v>1832</v>
      </c>
    </row>
    <row r="910" spans="1:9" hidden="1">
      <c r="A910" s="31">
        <f t="shared" si="3"/>
        <v>908</v>
      </c>
      <c r="B910" s="10" t="s">
        <v>1632</v>
      </c>
      <c r="C910" s="10" t="s">
        <v>1727</v>
      </c>
      <c r="D910" s="10" t="s">
        <v>1833</v>
      </c>
      <c r="E910" s="10">
        <v>1</v>
      </c>
      <c r="F910" s="10" t="s">
        <v>1730</v>
      </c>
      <c r="G910" s="32" t="s">
        <v>704</v>
      </c>
      <c r="H910" s="31">
        <v>217</v>
      </c>
      <c r="I910" s="7" t="s">
        <v>1834</v>
      </c>
    </row>
    <row r="911" spans="1:9" hidden="1">
      <c r="A911" s="31">
        <f t="shared" si="3"/>
        <v>909</v>
      </c>
      <c r="B911" s="10" t="s">
        <v>1632</v>
      </c>
      <c r="C911" s="10" t="s">
        <v>1727</v>
      </c>
      <c r="D911" s="10" t="s">
        <v>1835</v>
      </c>
      <c r="E911" s="10">
        <v>1</v>
      </c>
      <c r="F911" s="10" t="s">
        <v>1730</v>
      </c>
      <c r="G911" s="32" t="s">
        <v>704</v>
      </c>
      <c r="H911" s="31">
        <v>218</v>
      </c>
      <c r="I911" s="7" t="s">
        <v>1359</v>
      </c>
    </row>
    <row r="912" spans="1:9" hidden="1">
      <c r="A912" s="31">
        <f t="shared" si="3"/>
        <v>910</v>
      </c>
      <c r="B912" s="10" t="s">
        <v>1632</v>
      </c>
      <c r="C912" s="10" t="s">
        <v>1727</v>
      </c>
      <c r="D912" s="10" t="s">
        <v>1836</v>
      </c>
      <c r="E912" s="10">
        <v>1</v>
      </c>
      <c r="F912" s="10" t="s">
        <v>1730</v>
      </c>
      <c r="G912" s="32" t="s">
        <v>704</v>
      </c>
      <c r="H912" s="31">
        <v>219</v>
      </c>
      <c r="I912" s="7" t="s">
        <v>1837</v>
      </c>
    </row>
    <row r="913" spans="1:9" hidden="1">
      <c r="A913" s="31">
        <f t="shared" si="3"/>
        <v>911</v>
      </c>
      <c r="B913" s="10" t="s">
        <v>1355</v>
      </c>
      <c r="C913" s="10" t="e">
        <f>LEFT(Table1[[#This Row],[EPI_DGN_ANTIC]],1)</f>
        <v>#VALUE!</v>
      </c>
      <c r="D913" s="10" t="s">
        <v>1150</v>
      </c>
      <c r="E913" s="10">
        <v>0</v>
      </c>
      <c r="F913" s="10"/>
      <c r="G913" s="10"/>
      <c r="H913" s="31">
        <v>220</v>
      </c>
      <c r="I913" s="7" t="s">
        <v>1411</v>
      </c>
    </row>
    <row r="914" spans="1:9" hidden="1">
      <c r="A914" s="31">
        <f t="shared" si="3"/>
        <v>912</v>
      </c>
      <c r="B914" s="10" t="s">
        <v>1355</v>
      </c>
      <c r="C914" s="10" t="e">
        <f>LEFT(Table1[[#This Row],[EPI_DGN_ANTIC]],1)</f>
        <v>#VALUE!</v>
      </c>
      <c r="D914" s="10" t="s">
        <v>1150</v>
      </c>
      <c r="E914" s="10">
        <v>0</v>
      </c>
      <c r="F914" s="10"/>
      <c r="G914" s="10"/>
      <c r="H914" s="31">
        <v>221</v>
      </c>
      <c r="I914" s="7" t="s">
        <v>1838</v>
      </c>
    </row>
    <row r="915" spans="1:9" hidden="1">
      <c r="A915" s="31">
        <f t="shared" si="3"/>
        <v>913</v>
      </c>
      <c r="B915" s="10" t="s">
        <v>1355</v>
      </c>
      <c r="C915" s="10" t="e">
        <f>LEFT(Table1[[#This Row],[EPI_DGN_ANTIC]],1)</f>
        <v>#VALUE!</v>
      </c>
      <c r="D915" s="10" t="s">
        <v>1839</v>
      </c>
      <c r="E915" s="10">
        <v>0</v>
      </c>
      <c r="F915" s="10"/>
      <c r="G915" s="10"/>
      <c r="H915" s="31">
        <v>222</v>
      </c>
      <c r="I915" s="7" t="s">
        <v>1840</v>
      </c>
    </row>
    <row r="916" spans="1:9" hidden="1">
      <c r="A916" s="31">
        <f t="shared" si="3"/>
        <v>914</v>
      </c>
      <c r="B916" s="10" t="s">
        <v>1355</v>
      </c>
      <c r="C916" s="10" t="e">
        <f>LEFT(Table1[[#This Row],[EPI_DGN_ANTIC]],1)</f>
        <v>#VALUE!</v>
      </c>
      <c r="D916" s="10" t="s">
        <v>1841</v>
      </c>
      <c r="E916" s="10">
        <v>0</v>
      </c>
      <c r="F916" s="10"/>
      <c r="G916" s="10"/>
      <c r="H916" s="31">
        <v>223</v>
      </c>
      <c r="I916" s="7" t="s">
        <v>1840</v>
      </c>
    </row>
    <row r="917" spans="1:9" hidden="1">
      <c r="A917" s="31">
        <f t="shared" si="3"/>
        <v>915</v>
      </c>
      <c r="B917" s="10" t="s">
        <v>1355</v>
      </c>
      <c r="C917" s="10" t="e">
        <f>LEFT(Table1[[#This Row],[EPI_DGN_ANTIC]],1)</f>
        <v>#VALUE!</v>
      </c>
      <c r="D917" s="10" t="s">
        <v>1842</v>
      </c>
      <c r="E917" s="10">
        <v>0</v>
      </c>
      <c r="F917" s="10"/>
      <c r="G917" s="10"/>
      <c r="H917" s="31">
        <v>224</v>
      </c>
      <c r="I917" s="7" t="s">
        <v>1840</v>
      </c>
    </row>
    <row r="918" spans="1:9" hidden="1">
      <c r="A918" s="31">
        <f t="shared" si="3"/>
        <v>916</v>
      </c>
      <c r="B918" s="10" t="s">
        <v>1355</v>
      </c>
      <c r="C918" s="10" t="e">
        <f>LEFT(Table1[[#This Row],[EPI_DGN_ANTIC]],1)</f>
        <v>#VALUE!</v>
      </c>
      <c r="D918" s="10" t="s">
        <v>1843</v>
      </c>
      <c r="E918" s="10">
        <v>0</v>
      </c>
      <c r="F918" s="10"/>
      <c r="G918" s="10"/>
      <c r="H918" s="31">
        <v>225</v>
      </c>
      <c r="I918" s="7" t="s">
        <v>1840</v>
      </c>
    </row>
    <row r="919" spans="1:9" hidden="1">
      <c r="A919" s="31">
        <f t="shared" si="3"/>
        <v>917</v>
      </c>
      <c r="B919" s="10" t="s">
        <v>1355</v>
      </c>
      <c r="C919" s="10" t="e">
        <f>LEFT(Table1[[#This Row],[EPI_DGN_ANTIC]],1)</f>
        <v>#VALUE!</v>
      </c>
      <c r="D919" s="10" t="s">
        <v>1844</v>
      </c>
      <c r="E919" s="10">
        <v>0</v>
      </c>
      <c r="F919" s="10"/>
      <c r="G919" s="10"/>
      <c r="H919" s="31">
        <v>226</v>
      </c>
      <c r="I919" s="7" t="s">
        <v>1845</v>
      </c>
    </row>
    <row r="920" spans="1:9" hidden="1">
      <c r="A920" s="31">
        <f t="shared" si="3"/>
        <v>918</v>
      </c>
      <c r="B920" s="10" t="s">
        <v>1355</v>
      </c>
      <c r="C920" s="10" t="e">
        <f>LEFT(Table1[[#This Row],[EPI_DGN_ANTIC]],1)</f>
        <v>#VALUE!</v>
      </c>
      <c r="D920" s="10" t="s">
        <v>1150</v>
      </c>
      <c r="E920" s="10">
        <v>0</v>
      </c>
      <c r="F920" s="10"/>
      <c r="G920" s="10"/>
      <c r="H920" s="31">
        <v>227</v>
      </c>
      <c r="I920" s="7" t="s">
        <v>1846</v>
      </c>
    </row>
    <row r="921" spans="1:9" hidden="1">
      <c r="A921" s="31">
        <f t="shared" si="3"/>
        <v>919</v>
      </c>
      <c r="B921" s="10" t="s">
        <v>1355</v>
      </c>
      <c r="C921" s="10" t="e">
        <f>LEFT(Table1[[#This Row],[EPI_DGN_ANTIC]],1)</f>
        <v>#VALUE!</v>
      </c>
      <c r="D921" s="10" t="s">
        <v>1839</v>
      </c>
      <c r="E921" s="10">
        <v>0</v>
      </c>
      <c r="F921" s="10"/>
      <c r="G921" s="10"/>
      <c r="H921" s="31">
        <v>228</v>
      </c>
      <c r="I921" s="7" t="s">
        <v>1847</v>
      </c>
    </row>
    <row r="922" spans="1:9" hidden="1">
      <c r="A922" s="31">
        <f t="shared" si="3"/>
        <v>920</v>
      </c>
      <c r="B922" s="10" t="s">
        <v>1355</v>
      </c>
      <c r="C922" s="10" t="e">
        <f>LEFT(Table1[[#This Row],[EPI_DGN_ANTIC]],1)</f>
        <v>#VALUE!</v>
      </c>
      <c r="D922" s="10" t="s">
        <v>1843</v>
      </c>
      <c r="E922" s="10">
        <v>0</v>
      </c>
      <c r="F922" s="10"/>
      <c r="G922" s="10"/>
      <c r="H922" s="31">
        <v>229</v>
      </c>
      <c r="I922" s="7" t="s">
        <v>1848</v>
      </c>
    </row>
    <row r="923" spans="1:9" hidden="1">
      <c r="A923" s="31">
        <f t="shared" si="3"/>
        <v>921</v>
      </c>
      <c r="B923" s="10" t="s">
        <v>1355</v>
      </c>
      <c r="C923" s="10" t="e">
        <f>LEFT(Table1[[#This Row],[EPI_DGN_ANTIC]],1)</f>
        <v>#VALUE!</v>
      </c>
      <c r="D923" s="10" t="s">
        <v>1842</v>
      </c>
      <c r="E923" s="10">
        <v>0</v>
      </c>
      <c r="F923" s="10"/>
      <c r="G923" s="10"/>
      <c r="H923" s="31">
        <v>230</v>
      </c>
      <c r="I923" s="7" t="s">
        <v>1846</v>
      </c>
    </row>
    <row r="924" spans="1:9" hidden="1">
      <c r="A924" s="31">
        <f t="shared" si="3"/>
        <v>922</v>
      </c>
      <c r="B924" s="10" t="s">
        <v>1355</v>
      </c>
      <c r="C924" s="10" t="e">
        <f>LEFT(Table1[[#This Row],[EPI_DGN_ANTIC]],1)</f>
        <v>#VALUE!</v>
      </c>
      <c r="D924" s="10" t="s">
        <v>1844</v>
      </c>
      <c r="E924" s="10">
        <v>0</v>
      </c>
      <c r="F924" s="10"/>
      <c r="G924" s="10"/>
      <c r="H924" s="31">
        <v>231</v>
      </c>
      <c r="I924" s="7" t="s">
        <v>1849</v>
      </c>
    </row>
    <row r="925" spans="1:9" hidden="1">
      <c r="A925" s="31">
        <f t="shared" si="3"/>
        <v>923</v>
      </c>
      <c r="B925" s="10" t="s">
        <v>1355</v>
      </c>
      <c r="C925" s="10" t="e">
        <f>LEFT(Table1[[#This Row],[EPI_DGN_ANTIC]],1)</f>
        <v>#VALUE!</v>
      </c>
      <c r="D925" s="10" t="s">
        <v>1841</v>
      </c>
      <c r="E925" s="10">
        <v>0</v>
      </c>
      <c r="F925" s="10"/>
      <c r="G925" s="10"/>
      <c r="H925" s="31">
        <v>232</v>
      </c>
      <c r="I925" s="7" t="s">
        <v>1850</v>
      </c>
    </row>
    <row r="926" spans="1:9" hidden="1">
      <c r="A926" s="31">
        <f t="shared" si="3"/>
        <v>924</v>
      </c>
      <c r="B926" s="10" t="s">
        <v>1355</v>
      </c>
      <c r="C926" s="10" t="e">
        <f>LEFT(Table1[[#This Row],[EPI_DGN_ANTIC]],1)</f>
        <v>#VALUE!</v>
      </c>
      <c r="D926" s="10" t="s">
        <v>1851</v>
      </c>
      <c r="E926" s="10">
        <v>0</v>
      </c>
      <c r="F926" s="10"/>
      <c r="G926" s="10"/>
      <c r="H926" s="31">
        <v>233</v>
      </c>
      <c r="I926" s="7" t="s">
        <v>1852</v>
      </c>
    </row>
    <row r="927" spans="1:9" hidden="1">
      <c r="A927" s="31">
        <f t="shared" si="3"/>
        <v>925</v>
      </c>
      <c r="B927" s="10" t="s">
        <v>1355</v>
      </c>
      <c r="C927" s="10" t="e">
        <f>LEFT(Table1[[#This Row],[EPI_DGN_ANTIC]],1)</f>
        <v>#VALUE!</v>
      </c>
      <c r="D927" s="10" t="s">
        <v>10</v>
      </c>
      <c r="E927" s="10">
        <v>0</v>
      </c>
      <c r="F927" s="10"/>
      <c r="G927" s="10"/>
      <c r="H927" s="31">
        <v>234</v>
      </c>
      <c r="I927" s="7" t="s">
        <v>1853</v>
      </c>
    </row>
    <row r="928" spans="1:9" hidden="1">
      <c r="A928" s="31">
        <f t="shared" si="3"/>
        <v>926</v>
      </c>
      <c r="B928" s="10" t="s">
        <v>1355</v>
      </c>
      <c r="C928" s="10" t="e">
        <f>LEFT(Table1[[#This Row],[EPI_DGN_ANTIC]],1)</f>
        <v>#VALUE!</v>
      </c>
      <c r="D928" s="10" t="s">
        <v>270</v>
      </c>
      <c r="E928" s="10">
        <v>0</v>
      </c>
      <c r="F928" s="10"/>
      <c r="G928" s="10"/>
      <c r="H928" s="31">
        <v>235</v>
      </c>
      <c r="I928" s="7" t="s">
        <v>1719</v>
      </c>
    </row>
    <row r="929" spans="1:9" hidden="1">
      <c r="A929" s="31">
        <f t="shared" si="3"/>
        <v>927</v>
      </c>
      <c r="B929" s="10" t="e">
        <f>LEFT(Table1[[#This Row],[EPI_DGN_ANTIC]],1)</f>
        <v>#VALUE!</v>
      </c>
      <c r="C929" s="10" t="e">
        <f>LEFT(Table1[[#This Row],[EPI_DGN_ANTIC]],2)</f>
        <v>#VALUE!</v>
      </c>
      <c r="D929" s="10" t="s">
        <v>1550</v>
      </c>
      <c r="E929" s="10">
        <v>0</v>
      </c>
      <c r="F929" s="10"/>
      <c r="G929" s="10"/>
      <c r="H929" s="31">
        <v>236</v>
      </c>
      <c r="I929" s="7" t="s">
        <v>1704</v>
      </c>
    </row>
    <row r="930" spans="1:9" hidden="1">
      <c r="A930" s="31">
        <f t="shared" si="3"/>
        <v>928</v>
      </c>
      <c r="B930" s="10" t="e">
        <f>LEFT(Table1[[#This Row],[EPI_DGN_ANTIC]],1)</f>
        <v>#VALUE!</v>
      </c>
      <c r="C930" s="10" t="e">
        <f>LEFT(Table1[[#This Row],[EPI_DGN_ANTIC]],2)</f>
        <v>#VALUE!</v>
      </c>
      <c r="D930" s="10" t="s">
        <v>1358</v>
      </c>
      <c r="E930" s="10">
        <v>0</v>
      </c>
      <c r="F930" s="10"/>
      <c r="G930" s="10"/>
      <c r="H930" s="31">
        <v>237</v>
      </c>
      <c r="I930" s="7" t="s">
        <v>1854</v>
      </c>
    </row>
    <row r="931" spans="1:9" hidden="1">
      <c r="A931" s="31">
        <f t="shared" si="3"/>
        <v>929</v>
      </c>
      <c r="B931" s="10" t="s">
        <v>1355</v>
      </c>
      <c r="C931" s="10" t="e">
        <f>LEFT(Table1[[#This Row],[EPI_DGN_ANTIC]],1)</f>
        <v>#VALUE!</v>
      </c>
      <c r="D931" s="10" t="s">
        <v>1855</v>
      </c>
      <c r="E931" s="10">
        <v>0</v>
      </c>
      <c r="F931" s="10"/>
      <c r="G931" s="10"/>
      <c r="H931" s="31">
        <v>238</v>
      </c>
      <c r="I931" s="7" t="s">
        <v>1570</v>
      </c>
    </row>
    <row r="932" spans="1:9" hidden="1">
      <c r="A932" s="31">
        <f t="shared" si="3"/>
        <v>930</v>
      </c>
      <c r="B932" s="10" t="s">
        <v>1355</v>
      </c>
      <c r="C932" s="10" t="e">
        <f>LEFT(Table1[[#This Row],[EPI_DGN_ANTIC]],1)</f>
        <v>#VALUE!</v>
      </c>
      <c r="D932" s="10" t="s">
        <v>1856</v>
      </c>
      <c r="E932" s="10">
        <v>0</v>
      </c>
      <c r="F932" s="10"/>
      <c r="G932" s="10"/>
      <c r="H932" s="31">
        <v>239</v>
      </c>
      <c r="I932" s="7" t="s">
        <v>1691</v>
      </c>
    </row>
    <row r="933" spans="1:9" hidden="1">
      <c r="A933" s="31">
        <f t="shared" si="3"/>
        <v>931</v>
      </c>
      <c r="B933" s="10" t="e">
        <f>LEFT(Table1[[#This Row],[EPI_DGN_ANTIC]],1)</f>
        <v>#VALUE!</v>
      </c>
      <c r="C933" s="10" t="e">
        <f>LEFT(Table1[[#This Row],[EPI_DGN_ANTIC]],2)</f>
        <v>#VALUE!</v>
      </c>
      <c r="D933" s="10" t="s">
        <v>1857</v>
      </c>
      <c r="E933" s="10">
        <v>0</v>
      </c>
      <c r="F933" s="10"/>
      <c r="G933" s="10"/>
      <c r="H933" s="31">
        <v>240</v>
      </c>
      <c r="I933" s="7" t="s">
        <v>1696</v>
      </c>
    </row>
    <row r="934" spans="1:9" hidden="1">
      <c r="A934" s="31">
        <f t="shared" si="3"/>
        <v>932</v>
      </c>
      <c r="B934" s="10" t="e">
        <f>LEFT(Table1[[#This Row],[EPI_DGN_ANTIC]],1)</f>
        <v>#VALUE!</v>
      </c>
      <c r="C934" s="10" t="e">
        <f>LEFT(Table1[[#This Row],[EPI_DGN_ANTIC]],2)</f>
        <v>#VALUE!</v>
      </c>
      <c r="D934" s="10" t="s">
        <v>1415</v>
      </c>
      <c r="E934" s="10">
        <v>0</v>
      </c>
      <c r="F934" s="10"/>
      <c r="G934" s="10"/>
      <c r="H934" s="31">
        <v>241</v>
      </c>
      <c r="I934" s="7" t="s">
        <v>1574</v>
      </c>
    </row>
    <row r="935" spans="1:9" hidden="1">
      <c r="A935" s="31">
        <f t="shared" si="3"/>
        <v>933</v>
      </c>
      <c r="B935" s="10" t="s">
        <v>1355</v>
      </c>
      <c r="C935" s="10" t="e">
        <f>LEFT(Table1[[#This Row],[EPI_DGN_ANTIC]],1)</f>
        <v>#VALUE!</v>
      </c>
      <c r="D935" s="10" t="s">
        <v>1858</v>
      </c>
      <c r="E935" s="10">
        <v>0</v>
      </c>
      <c r="F935" s="10"/>
      <c r="G935" s="10"/>
      <c r="H935" s="31">
        <v>242</v>
      </c>
      <c r="I935" s="7" t="s">
        <v>1859</v>
      </c>
    </row>
    <row r="936" spans="1:9" hidden="1">
      <c r="A936" s="31">
        <f t="shared" si="3"/>
        <v>934</v>
      </c>
      <c r="B936" s="10" t="s">
        <v>1355</v>
      </c>
      <c r="C936" s="10" t="e">
        <f>LEFT(Table1[[#This Row],[EPI_DGN_ANTIC]],1)</f>
        <v>#VALUE!</v>
      </c>
      <c r="D936" s="10" t="s">
        <v>1860</v>
      </c>
      <c r="E936" s="10">
        <v>0</v>
      </c>
      <c r="F936" s="10"/>
      <c r="G936" s="10"/>
      <c r="H936" s="31">
        <v>243</v>
      </c>
      <c r="I936" s="7" t="s">
        <v>151</v>
      </c>
    </row>
    <row r="937" spans="1:9" hidden="1">
      <c r="A937" s="31">
        <f t="shared" si="3"/>
        <v>935</v>
      </c>
      <c r="B937" s="10" t="s">
        <v>1355</v>
      </c>
      <c r="C937" s="10" t="e">
        <f>LEFT(Table1[[#This Row],[EPI_DGN_ANTIC]],1)</f>
        <v>#VALUE!</v>
      </c>
      <c r="D937" s="10" t="s">
        <v>1861</v>
      </c>
      <c r="E937" s="10">
        <v>0</v>
      </c>
      <c r="F937" s="10"/>
      <c r="G937" s="10"/>
      <c r="H937" s="31">
        <v>244</v>
      </c>
      <c r="I937" s="7" t="s">
        <v>1522</v>
      </c>
    </row>
    <row r="938" spans="1:9" hidden="1">
      <c r="A938" s="31">
        <f t="shared" si="3"/>
        <v>936</v>
      </c>
      <c r="B938" s="10" t="s">
        <v>1355</v>
      </c>
      <c r="C938" s="10" t="e">
        <f>LEFT(Table1[[#This Row],[EPI_DGN_ANTIC]],1)</f>
        <v>#VALUE!</v>
      </c>
      <c r="D938" s="10" t="s">
        <v>1862</v>
      </c>
      <c r="E938" s="10">
        <v>0</v>
      </c>
      <c r="F938" s="10"/>
      <c r="G938" s="10"/>
      <c r="H938" s="31">
        <v>245</v>
      </c>
      <c r="I938" s="7" t="s">
        <v>1863</v>
      </c>
    </row>
    <row r="939" spans="1:9" hidden="1">
      <c r="A939" s="31">
        <f t="shared" si="3"/>
        <v>937</v>
      </c>
      <c r="B939" s="10" t="s">
        <v>1355</v>
      </c>
      <c r="C939" s="10" t="e">
        <f>LEFT(Table1[[#This Row],[EPI_DGN_ANTIC]],1)</f>
        <v>#VALUE!</v>
      </c>
      <c r="D939" s="10" t="s">
        <v>1864</v>
      </c>
      <c r="E939" s="10">
        <v>0</v>
      </c>
      <c r="F939" s="10"/>
      <c r="G939" s="10"/>
      <c r="H939" s="31">
        <v>246</v>
      </c>
      <c r="I939" s="7" t="s">
        <v>1863</v>
      </c>
    </row>
    <row r="940" spans="1:9" hidden="1">
      <c r="A940" s="31">
        <f t="shared" si="3"/>
        <v>938</v>
      </c>
      <c r="B940" s="10" t="s">
        <v>1355</v>
      </c>
      <c r="C940" s="10" t="e">
        <f>LEFT(Table1[[#This Row],[EPI_DGN_ANTIC]],1)</f>
        <v>#VALUE!</v>
      </c>
      <c r="D940" s="10" t="s">
        <v>1865</v>
      </c>
      <c r="E940" s="10">
        <v>0</v>
      </c>
      <c r="F940" s="10"/>
      <c r="G940" s="10"/>
      <c r="H940" s="31">
        <v>247</v>
      </c>
      <c r="I940" s="7" t="s">
        <v>1852</v>
      </c>
    </row>
    <row r="941" spans="1:9" hidden="1">
      <c r="A941" s="31">
        <f t="shared" si="3"/>
        <v>939</v>
      </c>
      <c r="B941" s="10" t="s">
        <v>1355</v>
      </c>
      <c r="C941" s="10" t="e">
        <f>LEFT(Table1[[#This Row],[EPI_DGN_ANTIC]],1)</f>
        <v>#VALUE!</v>
      </c>
      <c r="D941" s="10" t="s">
        <v>1866</v>
      </c>
      <c r="E941" s="10">
        <v>0</v>
      </c>
      <c r="F941" s="10"/>
      <c r="G941" s="10"/>
      <c r="H941" s="31">
        <v>248</v>
      </c>
      <c r="I941" s="7" t="s">
        <v>1853</v>
      </c>
    </row>
    <row r="942" spans="1:9" hidden="1">
      <c r="A942" s="31">
        <f t="shared" si="3"/>
        <v>940</v>
      </c>
      <c r="B942" s="10" t="s">
        <v>1355</v>
      </c>
      <c r="C942" s="10" t="e">
        <f>LEFT(Table1[[#This Row],[EPI_DGN_ANTIC]],1)</f>
        <v>#VALUE!</v>
      </c>
      <c r="D942" s="10" t="s">
        <v>1867</v>
      </c>
      <c r="E942" s="10">
        <v>0</v>
      </c>
      <c r="F942" s="10"/>
      <c r="G942" s="10"/>
      <c r="H942" s="31">
        <v>249</v>
      </c>
      <c r="I942" s="7" t="s">
        <v>1868</v>
      </c>
    </row>
    <row r="943" spans="1:9" hidden="1">
      <c r="A943" s="31">
        <f t="shared" si="3"/>
        <v>941</v>
      </c>
      <c r="B943" s="10" t="s">
        <v>1355</v>
      </c>
      <c r="C943" s="10" t="e">
        <f>LEFT(Table1[[#This Row],[EPI_DGN_ANTIC]],1)</f>
        <v>#VALUE!</v>
      </c>
      <c r="D943" s="10" t="s">
        <v>1869</v>
      </c>
      <c r="E943" s="10">
        <v>0</v>
      </c>
      <c r="F943" s="10"/>
      <c r="G943" s="10"/>
      <c r="H943" s="31">
        <v>250</v>
      </c>
      <c r="I943" s="7" t="s">
        <v>1870</v>
      </c>
    </row>
    <row r="944" spans="1:9" hidden="1">
      <c r="A944" s="31">
        <f t="shared" si="3"/>
        <v>942</v>
      </c>
      <c r="B944" s="10" t="s">
        <v>1355</v>
      </c>
      <c r="C944" s="10" t="e">
        <f>LEFT(Table1[[#This Row],[EPI_DGN_ANTIC]],1)</f>
        <v>#VALUE!</v>
      </c>
      <c r="D944" s="10" t="s">
        <v>1871</v>
      </c>
      <c r="E944" s="10">
        <v>0</v>
      </c>
      <c r="F944" s="10"/>
      <c r="G944" s="10"/>
      <c r="H944" s="31">
        <v>251</v>
      </c>
      <c r="I944" s="7" t="s">
        <v>1872</v>
      </c>
    </row>
    <row r="945" spans="1:9" hidden="1">
      <c r="A945" s="31">
        <f t="shared" si="3"/>
        <v>943</v>
      </c>
      <c r="B945" s="10" t="e">
        <f>LEFT(Table1[[#This Row],[EPI_DGN_ANTIC]],1)</f>
        <v>#VALUE!</v>
      </c>
      <c r="C945" s="10" t="e">
        <f>LEFT(Table1[[#This Row],[EPI_DGN_ANTIC]],3)</f>
        <v>#VALUE!</v>
      </c>
      <c r="D945" s="10" t="s">
        <v>1873</v>
      </c>
      <c r="E945" s="10">
        <v>0</v>
      </c>
      <c r="F945" s="10" t="s">
        <v>1393</v>
      </c>
      <c r="G945" s="10"/>
      <c r="H945" s="31">
        <v>252</v>
      </c>
      <c r="I945" s="7" t="s">
        <v>1874</v>
      </c>
    </row>
    <row r="946" spans="1:9" hidden="1">
      <c r="A946" s="31">
        <f t="shared" si="3"/>
        <v>944</v>
      </c>
      <c r="B946" s="10" t="s">
        <v>1355</v>
      </c>
      <c r="C946" s="10" t="e">
        <f>LEFT(Table1[[#This Row],[EPI_DGN_ANTIC]],1)</f>
        <v>#VALUE!</v>
      </c>
      <c r="D946" s="10" t="s">
        <v>1875</v>
      </c>
      <c r="E946" s="10">
        <v>0</v>
      </c>
      <c r="F946" s="10"/>
      <c r="G946" s="10"/>
      <c r="H946" s="31">
        <v>253</v>
      </c>
      <c r="I946" s="7" t="s">
        <v>1876</v>
      </c>
    </row>
    <row r="947" spans="1:9" hidden="1">
      <c r="A947" s="31">
        <f t="shared" si="3"/>
        <v>945</v>
      </c>
      <c r="B947" s="10" t="s">
        <v>1355</v>
      </c>
      <c r="C947" s="10" t="e">
        <f>LEFT(Table1[[#This Row],[EPI_DGN_ANTIC]],2)</f>
        <v>#VALUE!</v>
      </c>
      <c r="D947" s="10" t="s">
        <v>1877</v>
      </c>
      <c r="E947" s="10">
        <v>0</v>
      </c>
      <c r="F947" s="10"/>
      <c r="G947" s="10"/>
      <c r="H947" s="31">
        <v>254</v>
      </c>
      <c r="I947" s="7" t="s">
        <v>1878</v>
      </c>
    </row>
    <row r="948" spans="1:9" hidden="1">
      <c r="A948" s="31">
        <f t="shared" si="3"/>
        <v>946</v>
      </c>
      <c r="B948" s="10" t="s">
        <v>1355</v>
      </c>
      <c r="C948" s="10" t="e">
        <f>LEFT(Table1[[#This Row],[EPI_DGN_ANTIC]],2)</f>
        <v>#VALUE!</v>
      </c>
      <c r="D948" s="10" t="s">
        <v>1879</v>
      </c>
      <c r="E948" s="10">
        <v>0</v>
      </c>
      <c r="F948" s="10"/>
      <c r="G948" s="10"/>
      <c r="H948" s="31">
        <v>255</v>
      </c>
      <c r="I948" s="7" t="s">
        <v>1880</v>
      </c>
    </row>
    <row r="949" spans="1:9" hidden="1">
      <c r="A949" s="31">
        <f t="shared" si="3"/>
        <v>947</v>
      </c>
      <c r="B949" s="10" t="s">
        <v>1355</v>
      </c>
      <c r="C949" s="10" t="e">
        <f>LEFT(Table1[[#This Row],[EPI_DGN_ANTIC]],2)</f>
        <v>#VALUE!</v>
      </c>
      <c r="D949" s="10" t="s">
        <v>1881</v>
      </c>
      <c r="E949" s="10">
        <v>0</v>
      </c>
      <c r="F949" s="10"/>
      <c r="G949" s="10"/>
      <c r="H949" s="31">
        <v>256</v>
      </c>
      <c r="I949" s="7" t="s">
        <v>1882</v>
      </c>
    </row>
    <row r="950" spans="1:9" hidden="1">
      <c r="A950" s="31">
        <f t="shared" si="3"/>
        <v>948</v>
      </c>
      <c r="B950" s="10" t="s">
        <v>1355</v>
      </c>
      <c r="C950" s="10" t="e">
        <f>LEFT(Table1[[#This Row],[EPI_DGN_ANTIC]],1)</f>
        <v>#VALUE!</v>
      </c>
      <c r="D950" s="10" t="s">
        <v>1316</v>
      </c>
      <c r="E950" s="10">
        <v>0</v>
      </c>
      <c r="F950" s="10"/>
      <c r="G950" s="10"/>
      <c r="H950" s="31">
        <v>257</v>
      </c>
      <c r="I950" s="7" t="s">
        <v>990</v>
      </c>
    </row>
    <row r="951" spans="1:9" hidden="1">
      <c r="A951" s="31">
        <f t="shared" ref="A951:A1014" si="4">A950+1</f>
        <v>949</v>
      </c>
      <c r="B951" s="10" t="s">
        <v>1355</v>
      </c>
      <c r="C951" s="10" t="e">
        <f>LEFT(Table1[[#This Row],[EPI_DGN_ANTIC]],1)</f>
        <v>#VALUE!</v>
      </c>
      <c r="D951" s="10" t="s">
        <v>1883</v>
      </c>
      <c r="E951" s="10">
        <v>0</v>
      </c>
      <c r="F951" s="10"/>
      <c r="G951" s="10"/>
      <c r="H951" s="31">
        <v>258</v>
      </c>
      <c r="I951" s="7" t="s">
        <v>1487</v>
      </c>
    </row>
    <row r="952" spans="1:9" hidden="1">
      <c r="A952" s="31">
        <f t="shared" si="4"/>
        <v>950</v>
      </c>
      <c r="B952" s="10" t="s">
        <v>1355</v>
      </c>
      <c r="C952" s="10" t="e">
        <f>LEFT(Table1[[#This Row],[EPI_DGN_ANTIC]],1)</f>
        <v>#VALUE!</v>
      </c>
      <c r="D952" s="10" t="s">
        <v>292</v>
      </c>
      <c r="E952" s="10">
        <v>0</v>
      </c>
      <c r="F952" s="10"/>
      <c r="G952" s="10"/>
      <c r="H952" s="31">
        <v>259</v>
      </c>
      <c r="I952" s="7" t="s">
        <v>1487</v>
      </c>
    </row>
    <row r="953" spans="1:9" hidden="1">
      <c r="A953" s="31">
        <f t="shared" si="4"/>
        <v>951</v>
      </c>
      <c r="B953" s="10" t="s">
        <v>1355</v>
      </c>
      <c r="C953" s="10" t="e">
        <f>LEFT(Table1[[#This Row],[EPI_DGN_ANTIC]],1)</f>
        <v>#VALUE!</v>
      </c>
      <c r="D953" s="10" t="s">
        <v>1884</v>
      </c>
      <c r="E953" s="10">
        <v>0</v>
      </c>
      <c r="F953" s="10"/>
      <c r="G953" s="10"/>
      <c r="H953" s="31">
        <v>260</v>
      </c>
      <c r="I953" s="7" t="s">
        <v>1491</v>
      </c>
    </row>
    <row r="954" spans="1:9" hidden="1">
      <c r="A954" s="31">
        <f t="shared" si="4"/>
        <v>952</v>
      </c>
      <c r="B954" s="10" t="s">
        <v>1355</v>
      </c>
      <c r="C954" s="10" t="e">
        <f>LEFT(Table1[[#This Row],[EPI_DGN_ANTIC]],1)</f>
        <v>#VALUE!</v>
      </c>
      <c r="D954" s="10" t="s">
        <v>1885</v>
      </c>
      <c r="E954" s="10">
        <v>0</v>
      </c>
      <c r="F954" s="10"/>
      <c r="G954" s="10"/>
      <c r="H954" s="31">
        <v>261</v>
      </c>
      <c r="I954" s="7" t="s">
        <v>1585</v>
      </c>
    </row>
    <row r="955" spans="1:9" hidden="1">
      <c r="A955" s="31">
        <f t="shared" si="4"/>
        <v>953</v>
      </c>
      <c r="B955" s="10" t="s">
        <v>1355</v>
      </c>
      <c r="C955" s="10" t="e">
        <f>LEFT(Table1[[#This Row],[EPI_DGN_ANTIC]],1)</f>
        <v>#VALUE!</v>
      </c>
      <c r="D955" s="10" t="s">
        <v>1886</v>
      </c>
      <c r="E955" s="10">
        <v>0</v>
      </c>
      <c r="F955" s="10"/>
      <c r="G955" s="10"/>
      <c r="H955" s="31">
        <v>262</v>
      </c>
      <c r="I955" s="7" t="s">
        <v>1840</v>
      </c>
    </row>
    <row r="956" spans="1:9" hidden="1">
      <c r="A956" s="31">
        <f t="shared" si="4"/>
        <v>954</v>
      </c>
      <c r="B956" s="10" t="s">
        <v>1355</v>
      </c>
      <c r="C956" s="10" t="e">
        <f>LEFT(Table1[[#This Row],[EPI_DGN_ANTIC]],1)</f>
        <v>#VALUE!</v>
      </c>
      <c r="D956" s="10" t="s">
        <v>867</v>
      </c>
      <c r="E956" s="10">
        <v>0</v>
      </c>
      <c r="F956" s="10"/>
      <c r="G956" s="10"/>
      <c r="H956" s="31">
        <v>263</v>
      </c>
      <c r="I956" s="7" t="s">
        <v>1491</v>
      </c>
    </row>
    <row r="957" spans="1:9" hidden="1">
      <c r="A957" s="31">
        <f t="shared" si="4"/>
        <v>955</v>
      </c>
      <c r="B957" s="10" t="s">
        <v>1355</v>
      </c>
      <c r="C957" s="10" t="e">
        <f>LEFT(Table1[[#This Row],[EPI_DGN_ANTIC]],1)</f>
        <v>#VALUE!</v>
      </c>
      <c r="D957" s="10" t="s">
        <v>870</v>
      </c>
      <c r="E957" s="10">
        <v>0</v>
      </c>
      <c r="F957" s="10"/>
      <c r="G957" s="10"/>
      <c r="H957" s="31">
        <v>264</v>
      </c>
      <c r="I957" s="7" t="s">
        <v>1887</v>
      </c>
    </row>
    <row r="958" spans="1:9" hidden="1">
      <c r="A958" s="31">
        <f t="shared" si="4"/>
        <v>956</v>
      </c>
      <c r="B958" s="10" t="s">
        <v>1355</v>
      </c>
      <c r="C958" s="10" t="e">
        <f>LEFT(Table1[[#This Row],[EPI_DGN_ANTIC]],1)</f>
        <v>#VALUE!</v>
      </c>
      <c r="D958" s="10" t="s">
        <v>867</v>
      </c>
      <c r="E958" s="10">
        <v>0</v>
      </c>
      <c r="F958" s="10"/>
      <c r="G958" s="10"/>
      <c r="H958" s="31">
        <v>265</v>
      </c>
      <c r="I958" s="7" t="s">
        <v>1888</v>
      </c>
    </row>
    <row r="959" spans="1:9" hidden="1">
      <c r="A959" s="31">
        <f t="shared" si="4"/>
        <v>957</v>
      </c>
      <c r="B959" s="10" t="s">
        <v>1355</v>
      </c>
      <c r="C959" s="10" t="e">
        <f>LEFT(Table1[[#This Row],[EPI_DGN_ANTIC]],1)</f>
        <v>#VALUE!</v>
      </c>
      <c r="D959" s="10" t="s">
        <v>350</v>
      </c>
      <c r="E959" s="10">
        <v>0</v>
      </c>
      <c r="F959" s="10"/>
      <c r="G959" s="10"/>
      <c r="H959" s="31">
        <v>266</v>
      </c>
      <c r="I959" s="7" t="s">
        <v>1889</v>
      </c>
    </row>
    <row r="960" spans="1:9" hidden="1">
      <c r="A960" s="31">
        <f t="shared" si="4"/>
        <v>958</v>
      </c>
      <c r="B960" s="10" t="s">
        <v>1355</v>
      </c>
      <c r="C960" s="10" t="e">
        <f>LEFT(Table1[[#This Row],[EPI_DGN_ANTIC]],1)</f>
        <v>#VALUE!</v>
      </c>
      <c r="D960" s="10" t="s">
        <v>568</v>
      </c>
      <c r="E960" s="10">
        <v>0</v>
      </c>
      <c r="F960" s="10"/>
      <c r="G960" s="10"/>
      <c r="H960" s="31">
        <v>267</v>
      </c>
      <c r="I960" s="7" t="s">
        <v>1890</v>
      </c>
    </row>
    <row r="961" spans="1:9" hidden="1">
      <c r="A961" s="31">
        <f t="shared" si="4"/>
        <v>959</v>
      </c>
      <c r="B961" s="10" t="s">
        <v>1355</v>
      </c>
      <c r="C961" s="10" t="e">
        <f>LEFT(Table1[[#This Row],[EPI_DGN_ANTIC]],1)</f>
        <v>#VALUE!</v>
      </c>
      <c r="D961" s="10" t="s">
        <v>128</v>
      </c>
      <c r="E961" s="10">
        <v>0</v>
      </c>
      <c r="F961" s="10"/>
      <c r="G961" s="10"/>
      <c r="H961" s="31">
        <v>268</v>
      </c>
      <c r="I961" s="7" t="s">
        <v>1891</v>
      </c>
    </row>
    <row r="962" spans="1:9" hidden="1">
      <c r="A962" s="31">
        <f t="shared" si="4"/>
        <v>960</v>
      </c>
      <c r="B962" s="10" t="s">
        <v>1355</v>
      </c>
      <c r="C962" s="10" t="e">
        <f>LEFT(Table1[[#This Row],[EPI_DGN_ANTIC]],2)</f>
        <v>#VALUE!</v>
      </c>
      <c r="D962" s="10" t="s">
        <v>1700</v>
      </c>
      <c r="E962" s="10">
        <v>0</v>
      </c>
      <c r="F962" s="10"/>
      <c r="G962" s="10"/>
      <c r="H962" s="31">
        <v>269</v>
      </c>
      <c r="I962" s="7" t="s">
        <v>1892</v>
      </c>
    </row>
    <row r="963" spans="1:9" hidden="1">
      <c r="A963" s="31">
        <f t="shared" si="4"/>
        <v>961</v>
      </c>
      <c r="B963" s="10" t="e">
        <f>LEFT(Table1[[#This Row],[EPI_DGN_ANTIC]],1)</f>
        <v>#VALUE!</v>
      </c>
      <c r="C963" s="10" t="e">
        <f>LEFT(Table1[[#This Row],[EPI_DGN_ANTIC]],2)</f>
        <v>#VALUE!</v>
      </c>
      <c r="D963" s="10" t="s">
        <v>1649</v>
      </c>
      <c r="E963" s="10">
        <v>0</v>
      </c>
      <c r="F963" s="10"/>
      <c r="G963" s="10"/>
      <c r="H963" s="31">
        <v>270</v>
      </c>
      <c r="I963" s="7" t="s">
        <v>1893</v>
      </c>
    </row>
    <row r="964" spans="1:9" hidden="1">
      <c r="A964" s="31">
        <f t="shared" si="4"/>
        <v>962</v>
      </c>
      <c r="B964" s="10" t="s">
        <v>1355</v>
      </c>
      <c r="C964" s="10" t="e">
        <f>LEFT(Table1[[#This Row],[EPI_DGN_ANTIC]],1)</f>
        <v>#VALUE!</v>
      </c>
      <c r="D964" s="10" t="s">
        <v>34</v>
      </c>
      <c r="E964" s="10">
        <v>0</v>
      </c>
      <c r="F964" s="10"/>
      <c r="G964" s="10"/>
      <c r="H964" s="31">
        <v>271</v>
      </c>
      <c r="I964" s="7" t="s">
        <v>1894</v>
      </c>
    </row>
    <row r="965" spans="1:9" hidden="1">
      <c r="A965" s="31">
        <f t="shared" si="4"/>
        <v>963</v>
      </c>
      <c r="B965" s="10" t="s">
        <v>1355</v>
      </c>
      <c r="C965" s="10" t="e">
        <f>LEFT(Table1[[#This Row],[EPI_DGN_ANTIC]],1)</f>
        <v>#VALUE!</v>
      </c>
      <c r="D965" s="10" t="s">
        <v>292</v>
      </c>
      <c r="E965" s="10">
        <v>0</v>
      </c>
      <c r="F965" s="10"/>
      <c r="G965" s="10"/>
      <c r="H965" s="31">
        <v>272</v>
      </c>
      <c r="I965" s="7" t="s">
        <v>1895</v>
      </c>
    </row>
    <row r="966" spans="1:9" hidden="1">
      <c r="A966" s="31">
        <f t="shared" si="4"/>
        <v>964</v>
      </c>
      <c r="B966" s="10" t="s">
        <v>1355</v>
      </c>
      <c r="C966" s="10" t="e">
        <f>LEFT(Table1[[#This Row],[EPI_DGN_ANTIC]],1)</f>
        <v>#VALUE!</v>
      </c>
      <c r="D966" s="10" t="s">
        <v>639</v>
      </c>
      <c r="E966" s="10">
        <v>0</v>
      </c>
      <c r="F966" s="10"/>
      <c r="G966" s="10"/>
      <c r="H966" s="31">
        <v>273</v>
      </c>
      <c r="I966" s="7" t="s">
        <v>1406</v>
      </c>
    </row>
    <row r="967" spans="1:9" hidden="1">
      <c r="A967" s="31">
        <f t="shared" si="4"/>
        <v>965</v>
      </c>
      <c r="B967" s="10" t="e">
        <f>LEFT(Table1[[#This Row],[EPI_DGN_ANTIC]],1)</f>
        <v>#VALUE!</v>
      </c>
      <c r="C967" s="10" t="e">
        <f>LEFT(Table1[[#This Row],[EPI_DGN_ANTIC]],2)</f>
        <v>#VALUE!</v>
      </c>
      <c r="D967" s="10" t="s">
        <v>1550</v>
      </c>
      <c r="E967" s="10">
        <v>0</v>
      </c>
      <c r="F967" s="10"/>
      <c r="G967" s="10"/>
      <c r="H967" s="31">
        <v>274</v>
      </c>
      <c r="I967" s="7" t="s">
        <v>1896</v>
      </c>
    </row>
    <row r="968" spans="1:9" hidden="1">
      <c r="A968" s="31">
        <f t="shared" si="4"/>
        <v>966</v>
      </c>
      <c r="B968" s="10" t="e">
        <f>LEFT(Table1[[#This Row],[EPI_DGN_ANTIC]],1)</f>
        <v>#VALUE!</v>
      </c>
      <c r="C968" s="10" t="e">
        <f>LEFT(Table1[[#This Row],[EPI_DGN_ANTIC]],3)</f>
        <v>#VALUE!</v>
      </c>
      <c r="D968" s="10" t="s">
        <v>1897</v>
      </c>
      <c r="E968" s="10">
        <v>0</v>
      </c>
      <c r="F968" s="10"/>
      <c r="G968" s="10"/>
      <c r="H968" s="31">
        <v>275</v>
      </c>
      <c r="I968" s="7" t="s">
        <v>1898</v>
      </c>
    </row>
    <row r="969" spans="1:9" hidden="1">
      <c r="A969" s="31">
        <f t="shared" si="4"/>
        <v>967</v>
      </c>
      <c r="B969" s="10" t="e">
        <f>LEFT(Table1[[#This Row],[EPI_DGN_ANTIC]],1)</f>
        <v>#VALUE!</v>
      </c>
      <c r="C969" s="10" t="e">
        <f>LEFT(Table1[[#This Row],[EPI_DGN_ANTIC]],3)</f>
        <v>#VALUE!</v>
      </c>
      <c r="D969" s="10" t="s">
        <v>1899</v>
      </c>
      <c r="E969" s="10">
        <v>1</v>
      </c>
      <c r="F969" s="10" t="s">
        <v>1735</v>
      </c>
      <c r="G969" s="10"/>
      <c r="H969" s="31">
        <v>276</v>
      </c>
      <c r="I969" s="7" t="s">
        <v>1900</v>
      </c>
    </row>
    <row r="970" spans="1:9" hidden="1">
      <c r="A970" s="31">
        <f t="shared" si="4"/>
        <v>968</v>
      </c>
      <c r="B970" s="10" t="e">
        <f>LEFT(Table1[[#This Row],[EPI_DGN_ANTIC]],1)</f>
        <v>#VALUE!</v>
      </c>
      <c r="C970" s="10" t="e">
        <f>LEFT(Table1[[#This Row],[EPI_DGN_ANTIC]],2)</f>
        <v>#VALUE!</v>
      </c>
      <c r="D970" s="10" t="s">
        <v>1901</v>
      </c>
      <c r="E970" s="10">
        <v>0</v>
      </c>
      <c r="F970" s="10"/>
      <c r="G970" s="10"/>
      <c r="H970" s="31">
        <v>277</v>
      </c>
      <c r="I970" s="7" t="s">
        <v>1902</v>
      </c>
    </row>
    <row r="971" spans="1:9" hidden="1">
      <c r="A971" s="31">
        <f t="shared" si="4"/>
        <v>969</v>
      </c>
      <c r="B971" s="10" t="e">
        <f>LEFT(Table1[[#This Row],[EPI_DGN_ANTIC]],1)</f>
        <v>#VALUE!</v>
      </c>
      <c r="C971" s="10" t="e">
        <f>LEFT(Table1[[#This Row],[EPI_DGN_ANTIC]],2)</f>
        <v>#VALUE!</v>
      </c>
      <c r="D971" s="10" t="s">
        <v>1903</v>
      </c>
      <c r="E971" s="10">
        <v>1</v>
      </c>
      <c r="F971" s="10" t="s">
        <v>1904</v>
      </c>
      <c r="G971" s="10"/>
      <c r="H971" s="31">
        <v>278</v>
      </c>
      <c r="I971" s="7" t="s">
        <v>1905</v>
      </c>
    </row>
    <row r="972" spans="1:9" hidden="1">
      <c r="A972" s="31">
        <f t="shared" si="4"/>
        <v>970</v>
      </c>
      <c r="B972" s="10" t="e">
        <f>LEFT(Table1[[#This Row],[EPI_DGN_ANTIC]],1)</f>
        <v>#VALUE!</v>
      </c>
      <c r="C972" s="10" t="e">
        <f>LEFT(Table1[[#This Row],[EPI_DGN_ANTIC]],2)</f>
        <v>#VALUE!</v>
      </c>
      <c r="D972" s="10" t="s">
        <v>1550</v>
      </c>
      <c r="E972" s="10">
        <v>0</v>
      </c>
      <c r="F972" s="10"/>
      <c r="G972" s="10"/>
      <c r="H972" s="31">
        <v>279</v>
      </c>
      <c r="I972" s="7" t="s">
        <v>1906</v>
      </c>
    </row>
    <row r="973" spans="1:9" hidden="1">
      <c r="A973" s="31">
        <f t="shared" si="4"/>
        <v>971</v>
      </c>
      <c r="B973" s="10" t="e">
        <f>LEFT(Table1[[#This Row],[EPI_DGN_ANTIC]],1)</f>
        <v>#VALUE!</v>
      </c>
      <c r="C973" s="10" t="e">
        <f>LEFT(Table1[[#This Row],[EPI_DGN_ANTIC]],2)</f>
        <v>#VALUE!</v>
      </c>
      <c r="D973" s="10" t="s">
        <v>1632</v>
      </c>
      <c r="E973" s="10">
        <v>0</v>
      </c>
      <c r="F973" s="10"/>
      <c r="G973" s="10"/>
      <c r="H973" s="31">
        <v>280</v>
      </c>
      <c r="I973" s="7" t="s">
        <v>1907</v>
      </c>
    </row>
    <row r="974" spans="1:9" hidden="1">
      <c r="A974" s="31">
        <f t="shared" si="4"/>
        <v>972</v>
      </c>
      <c r="B974" s="10" t="e">
        <f>LEFT(Table1[[#This Row],[EPI_DGN_ANTIC]],1)</f>
        <v>#VALUE!</v>
      </c>
      <c r="C974" s="10" t="e">
        <f>LEFT(Table1[[#This Row],[EPI_DGN_ANTIC]],2)</f>
        <v>#VALUE!</v>
      </c>
      <c r="D974" s="10" t="s">
        <v>1722</v>
      </c>
      <c r="E974" s="10">
        <v>1</v>
      </c>
      <c r="F974" s="10" t="s">
        <v>1908</v>
      </c>
      <c r="G974" s="10"/>
      <c r="H974" s="31">
        <v>281</v>
      </c>
      <c r="I974" s="7" t="s">
        <v>1095</v>
      </c>
    </row>
    <row r="975" spans="1:9" hidden="1">
      <c r="A975" s="31">
        <f t="shared" si="4"/>
        <v>973</v>
      </c>
      <c r="B975" s="10" t="s">
        <v>1632</v>
      </c>
      <c r="C975" s="10" t="s">
        <v>1722</v>
      </c>
      <c r="D975" s="10" t="s">
        <v>1909</v>
      </c>
      <c r="E975" s="10">
        <v>1</v>
      </c>
      <c r="F975" s="10" t="s">
        <v>1908</v>
      </c>
      <c r="G975" s="32" t="s">
        <v>704</v>
      </c>
      <c r="H975" s="31">
        <v>282</v>
      </c>
      <c r="I975" s="7" t="s">
        <v>1910</v>
      </c>
    </row>
    <row r="976" spans="1:9" hidden="1">
      <c r="A976" s="31">
        <f t="shared" si="4"/>
        <v>974</v>
      </c>
      <c r="B976" s="10" t="s">
        <v>1632</v>
      </c>
      <c r="C976" s="10" t="s">
        <v>1722</v>
      </c>
      <c r="D976" s="10" t="s">
        <v>1911</v>
      </c>
      <c r="E976" s="10">
        <v>1</v>
      </c>
      <c r="F976" s="10" t="s">
        <v>1908</v>
      </c>
      <c r="G976" s="32" t="s">
        <v>704</v>
      </c>
      <c r="H976" s="31">
        <v>283</v>
      </c>
      <c r="I976" s="7" t="s">
        <v>1912</v>
      </c>
    </row>
    <row r="977" spans="1:9" hidden="1">
      <c r="A977" s="31">
        <f t="shared" si="4"/>
        <v>975</v>
      </c>
      <c r="B977" s="10" t="s">
        <v>1632</v>
      </c>
      <c r="C977" s="10" t="s">
        <v>1722</v>
      </c>
      <c r="D977" s="10" t="s">
        <v>1913</v>
      </c>
      <c r="E977" s="10">
        <v>1</v>
      </c>
      <c r="F977" s="10" t="s">
        <v>1908</v>
      </c>
      <c r="G977" s="32" t="s">
        <v>704</v>
      </c>
      <c r="H977" s="31">
        <v>284</v>
      </c>
      <c r="I977" s="7" t="s">
        <v>1912</v>
      </c>
    </row>
    <row r="978" spans="1:9" hidden="1">
      <c r="A978" s="31">
        <f t="shared" si="4"/>
        <v>976</v>
      </c>
      <c r="B978" s="10" t="s">
        <v>1632</v>
      </c>
      <c r="C978" s="10" t="s">
        <v>1722</v>
      </c>
      <c r="D978" s="10" t="s">
        <v>1914</v>
      </c>
      <c r="E978" s="10">
        <v>1</v>
      </c>
      <c r="F978" s="10" t="s">
        <v>1915</v>
      </c>
      <c r="G978" s="24" t="s">
        <v>786</v>
      </c>
      <c r="H978" s="31">
        <v>285</v>
      </c>
      <c r="I978" s="7" t="s">
        <v>1916</v>
      </c>
    </row>
    <row r="979" spans="1:9" hidden="1">
      <c r="A979" s="31">
        <f t="shared" si="4"/>
        <v>977</v>
      </c>
      <c r="B979" s="10" t="e">
        <f>LEFT(Table1[[#This Row],[EPI_DGN_ANTIC]],1)</f>
        <v>#VALUE!</v>
      </c>
      <c r="C979" s="10" t="e">
        <f>LEFT(Table1[[#This Row],[EPI_DGN_ANTIC]],2)</f>
        <v>#VALUE!</v>
      </c>
      <c r="D979" s="10" t="s">
        <v>1632</v>
      </c>
      <c r="E979" s="10">
        <v>0</v>
      </c>
      <c r="F979" s="10"/>
      <c r="G979" s="10"/>
      <c r="H979" s="31">
        <v>286</v>
      </c>
      <c r="I979" s="7" t="s">
        <v>1917</v>
      </c>
    </row>
    <row r="980" spans="1:9" hidden="1">
      <c r="A980" s="31">
        <f t="shared" si="4"/>
        <v>978</v>
      </c>
      <c r="B980" s="10" t="e">
        <f>LEFT(Table1[[#This Row],[EPI_DGN_ANTIC]],1)</f>
        <v>#VALUE!</v>
      </c>
      <c r="C980" s="10" t="e">
        <f>LEFT(Table1[[#This Row],[EPI_DGN_ANTIC]],2)</f>
        <v>#VALUE!</v>
      </c>
      <c r="D980" s="10" t="s">
        <v>1649</v>
      </c>
      <c r="E980" s="10">
        <v>0</v>
      </c>
      <c r="F980" s="10"/>
      <c r="G980" s="10"/>
      <c r="H980" s="31">
        <v>287</v>
      </c>
      <c r="I980" s="7" t="s">
        <v>1918</v>
      </c>
    </row>
    <row r="981" spans="1:9" hidden="1">
      <c r="A981" s="31">
        <f t="shared" si="4"/>
        <v>979</v>
      </c>
      <c r="B981" s="10" t="e">
        <f>LEFT(Table1[[#This Row],[EPI_DGN_ANTIC]],1)</f>
        <v>#VALUE!</v>
      </c>
      <c r="C981" s="10" t="e">
        <f>LEFT(Table1[[#This Row],[EPI_DGN_ANTIC]],2)</f>
        <v>#VALUE!</v>
      </c>
      <c r="D981" s="10" t="s">
        <v>1919</v>
      </c>
      <c r="E981" s="10">
        <v>0</v>
      </c>
      <c r="F981" s="10"/>
      <c r="G981" s="10"/>
      <c r="H981" s="31">
        <v>288</v>
      </c>
      <c r="I981" s="7" t="s">
        <v>1920</v>
      </c>
    </row>
    <row r="982" spans="1:9" hidden="1">
      <c r="A982" s="31">
        <f t="shared" si="4"/>
        <v>980</v>
      </c>
      <c r="B982" s="10" t="e">
        <f>LEFT(Table1[[#This Row],[EPI_DGN_ANTIC]],1)</f>
        <v>#VALUE!</v>
      </c>
      <c r="C982" s="10" t="e">
        <f>LEFT(Table1[[#This Row],[EPI_DGN_ANTIC]],2)</f>
        <v>#VALUE!</v>
      </c>
      <c r="D982" s="10" t="s">
        <v>1703</v>
      </c>
      <c r="E982" s="10">
        <v>1</v>
      </c>
      <c r="F982" s="10" t="s">
        <v>1921</v>
      </c>
      <c r="G982" s="10"/>
      <c r="H982" s="31">
        <v>289</v>
      </c>
      <c r="I982" s="7" t="s">
        <v>1922</v>
      </c>
    </row>
    <row r="983" spans="1:9" hidden="1">
      <c r="A983" s="31">
        <f t="shared" si="4"/>
        <v>981</v>
      </c>
      <c r="B983" s="10" t="e">
        <f>LEFT(Table1[[#This Row],[EPI_DGN_ANTIC]],1)</f>
        <v>#VALUE!</v>
      </c>
      <c r="C983" s="10" t="s">
        <v>1657</v>
      </c>
      <c r="D983" s="10" t="s">
        <v>1923</v>
      </c>
      <c r="E983" s="10">
        <v>1</v>
      </c>
      <c r="F983" s="10" t="s">
        <v>1924</v>
      </c>
      <c r="G983" s="10"/>
      <c r="H983" s="31">
        <v>290</v>
      </c>
      <c r="I983" s="7" t="s">
        <v>1912</v>
      </c>
    </row>
    <row r="984" spans="1:9" hidden="1">
      <c r="A984" s="31">
        <f t="shared" si="4"/>
        <v>982</v>
      </c>
      <c r="B984" s="10" t="e">
        <f>LEFT(Table1[[#This Row],[EPI_DGN_ANTIC]],1)</f>
        <v>#VALUE!</v>
      </c>
      <c r="C984" s="10" t="e">
        <f>LEFT(Table1[[#This Row],[EPI_DGN_ANTIC]],2)</f>
        <v>#VALUE!</v>
      </c>
      <c r="D984" s="10" t="s">
        <v>1358</v>
      </c>
      <c r="E984" s="10">
        <v>0</v>
      </c>
      <c r="F984" s="10"/>
      <c r="G984" s="10"/>
      <c r="H984" s="31">
        <v>291</v>
      </c>
      <c r="I984" s="7" t="s">
        <v>1918</v>
      </c>
    </row>
    <row r="985" spans="1:9" hidden="1">
      <c r="A985" s="31">
        <f t="shared" si="4"/>
        <v>983</v>
      </c>
      <c r="B985" s="10" t="e">
        <f>LEFT(Table1[[#This Row],[EPI_DGN_ANTIC]],1)</f>
        <v>#VALUE!</v>
      </c>
      <c r="C985" s="10" t="e">
        <f>LEFT(Table1[[#This Row],[EPI_DGN_ANTIC]],3)</f>
        <v>#VALUE!</v>
      </c>
      <c r="D985" s="10" t="s">
        <v>1379</v>
      </c>
      <c r="E985" s="10">
        <v>1</v>
      </c>
      <c r="F985" s="10" t="s">
        <v>1925</v>
      </c>
      <c r="G985" s="10"/>
      <c r="H985" s="31">
        <v>292</v>
      </c>
      <c r="I985" s="7" t="s">
        <v>1912</v>
      </c>
    </row>
    <row r="986" spans="1:9" hidden="1">
      <c r="A986" s="31">
        <f t="shared" si="4"/>
        <v>984</v>
      </c>
      <c r="B986" s="10" t="e">
        <f>LEFT(Table1[[#This Row],[EPI_DGN_ANTIC]],1)</f>
        <v>#VALUE!</v>
      </c>
      <c r="C986" s="10" t="e">
        <f>LEFT(Table1[[#This Row],[EPI_DGN_ANTIC]],2)</f>
        <v>#VALUE!</v>
      </c>
      <c r="D986" s="10" t="s">
        <v>1705</v>
      </c>
      <c r="E986" s="10">
        <v>0</v>
      </c>
      <c r="F986" s="10"/>
      <c r="G986" s="10"/>
      <c r="H986" s="31">
        <v>293</v>
      </c>
      <c r="I986" s="7" t="s">
        <v>1912</v>
      </c>
    </row>
    <row r="987" spans="1:9" hidden="1">
      <c r="A987" s="31">
        <f t="shared" si="4"/>
        <v>985</v>
      </c>
      <c r="B987" s="10" t="e">
        <f>LEFT(Table1[[#This Row],[EPI_DGN_ANTIC]],1)</f>
        <v>#VALUE!</v>
      </c>
      <c r="C987" s="10" t="e">
        <f>LEFT(Table1[[#This Row],[EPI_DGN_ANTIC]],2)</f>
        <v>#VALUE!</v>
      </c>
      <c r="D987" s="10" t="s">
        <v>1709</v>
      </c>
      <c r="E987" s="10">
        <v>1</v>
      </c>
      <c r="F987" s="10" t="s">
        <v>1926</v>
      </c>
      <c r="G987" s="10"/>
      <c r="H987" s="31">
        <v>294</v>
      </c>
      <c r="I987" s="7" t="s">
        <v>1726</v>
      </c>
    </row>
    <row r="988" spans="1:9" hidden="1">
      <c r="A988" s="31">
        <f t="shared" si="4"/>
        <v>986</v>
      </c>
      <c r="B988" s="10" t="e">
        <f>LEFT(Table1[[#This Row],[EPI_DGN_ANTIC]],1)</f>
        <v>#VALUE!</v>
      </c>
      <c r="C988" s="10" t="e">
        <f>LEFT(Table1[[#This Row],[EPI_DGN_ANTIC]],2)</f>
        <v>#VALUE!</v>
      </c>
      <c r="D988" s="10" t="s">
        <v>1927</v>
      </c>
      <c r="E988" s="10">
        <v>1</v>
      </c>
      <c r="F988" s="10" t="s">
        <v>1801</v>
      </c>
      <c r="G988" s="10"/>
      <c r="H988" s="31">
        <v>295</v>
      </c>
      <c r="I988" s="7" t="s">
        <v>1726</v>
      </c>
    </row>
    <row r="989" spans="1:9" hidden="1">
      <c r="A989" s="31">
        <f t="shared" si="4"/>
        <v>987</v>
      </c>
      <c r="B989" s="10" t="e">
        <f>LEFT(Table1[[#This Row],[EPI_DGN_ANTIC]],1)</f>
        <v>#VALUE!</v>
      </c>
      <c r="C989" s="10" t="e">
        <f>LEFT(Table1[[#This Row],[EPI_DGN_ANTIC]],2)</f>
        <v>#VALUE!</v>
      </c>
      <c r="D989" s="10" t="s">
        <v>1705</v>
      </c>
      <c r="E989" s="10">
        <v>0</v>
      </c>
      <c r="F989" s="10"/>
      <c r="G989" s="10"/>
      <c r="H989" s="31">
        <v>296</v>
      </c>
      <c r="I989" s="7" t="s">
        <v>1928</v>
      </c>
    </row>
    <row r="990" spans="1:9" hidden="1">
      <c r="A990" s="31">
        <f t="shared" si="4"/>
        <v>988</v>
      </c>
      <c r="B990" s="10" t="e">
        <f>LEFT(Table1[[#This Row],[EPI_DGN_ANTIC]],1)</f>
        <v>#VALUE!</v>
      </c>
      <c r="C990" s="10" t="e">
        <f>LEFT(Table1[[#This Row],[EPI_DGN_ANTIC]],2)</f>
        <v>#VALUE!</v>
      </c>
      <c r="D990" s="10" t="s">
        <v>1680</v>
      </c>
      <c r="E990" s="10">
        <v>0</v>
      </c>
      <c r="F990" s="10"/>
      <c r="G990" s="10"/>
      <c r="H990" s="31">
        <v>297</v>
      </c>
      <c r="I990" s="7" t="s">
        <v>1929</v>
      </c>
    </row>
    <row r="991" spans="1:9" hidden="1">
      <c r="A991" s="31">
        <f t="shared" si="4"/>
        <v>989</v>
      </c>
      <c r="B991" s="10" t="e">
        <f>LEFT(Table1[[#This Row],[EPI_DGN_ANTIC]],1)</f>
        <v>#VALUE!</v>
      </c>
      <c r="C991" s="10" t="e">
        <f>LEFT(Table1[[#This Row],[EPI_DGN_ANTIC]],2)</f>
        <v>#VALUE!</v>
      </c>
      <c r="D991" s="10" t="s">
        <v>1930</v>
      </c>
      <c r="E991" s="10">
        <v>0</v>
      </c>
      <c r="F991" s="10"/>
      <c r="G991" s="10"/>
      <c r="H991" s="31">
        <v>298</v>
      </c>
      <c r="I991" s="7" t="s">
        <v>1928</v>
      </c>
    </row>
    <row r="992" spans="1:9" hidden="1">
      <c r="A992" s="31">
        <f t="shared" si="4"/>
        <v>990</v>
      </c>
      <c r="B992" s="10" t="e">
        <f>LEFT(Table1[[#This Row],[EPI_DGN_ANTIC]],1)</f>
        <v>#VALUE!</v>
      </c>
      <c r="C992" s="10" t="e">
        <f>LEFT(Table1[[#This Row],[EPI_DGN_ANTIC]],3)</f>
        <v>#VALUE!</v>
      </c>
      <c r="D992" s="10" t="s">
        <v>1492</v>
      </c>
      <c r="E992" s="10">
        <v>1</v>
      </c>
      <c r="F992" s="10" t="s">
        <v>1931</v>
      </c>
      <c r="G992" s="10"/>
      <c r="H992" s="31">
        <v>299</v>
      </c>
      <c r="I992" s="7" t="s">
        <v>1928</v>
      </c>
    </row>
    <row r="993" spans="1:9" hidden="1">
      <c r="A993" s="31">
        <f t="shared" si="4"/>
        <v>991</v>
      </c>
      <c r="B993" s="10" t="e">
        <f>LEFT(Table1[[#This Row],[EPI_DGN_ANTIC]],1)</f>
        <v>#VALUE!</v>
      </c>
      <c r="C993" s="10" t="e">
        <f>LEFT(Table1[[#This Row],[EPI_DGN_ANTIC]],3)</f>
        <v>#VALUE!</v>
      </c>
      <c r="D993" s="10" t="s">
        <v>1363</v>
      </c>
      <c r="E993" s="10">
        <v>1</v>
      </c>
      <c r="F993" s="10" t="s">
        <v>1932</v>
      </c>
      <c r="G993" s="10"/>
      <c r="H993" s="31">
        <v>300</v>
      </c>
      <c r="I993" s="7" t="s">
        <v>1916</v>
      </c>
    </row>
    <row r="994" spans="1:9" hidden="1">
      <c r="A994" s="31">
        <f t="shared" si="4"/>
        <v>992</v>
      </c>
      <c r="B994" s="10" t="e">
        <f>LEFT(Table1[[#This Row],[EPI_DGN_ANTIC]],1)</f>
        <v>#VALUE!</v>
      </c>
      <c r="C994" s="10" t="e">
        <f>LEFT(Table1[[#This Row],[EPI_DGN_ANTIC]],2)</f>
        <v>#VALUE!</v>
      </c>
      <c r="D994" s="10" t="s">
        <v>1358</v>
      </c>
      <c r="E994" s="10">
        <v>0</v>
      </c>
      <c r="F994" s="10"/>
      <c r="G994" s="10"/>
      <c r="H994" s="31">
        <v>301</v>
      </c>
      <c r="I994" s="7" t="s">
        <v>1912</v>
      </c>
    </row>
    <row r="995" spans="1:9" hidden="1">
      <c r="A995" s="31">
        <f t="shared" si="4"/>
        <v>993</v>
      </c>
      <c r="B995" s="10" t="e">
        <f>LEFT(Table1[[#This Row],[EPI_DGN_ANTIC]],1)</f>
        <v>#VALUE!</v>
      </c>
      <c r="C995" s="10" t="e">
        <f>LEFT(Table1[[#This Row],[EPI_DGN_ANTIC]],3)</f>
        <v>#VALUE!</v>
      </c>
      <c r="D995" s="10" t="s">
        <v>1822</v>
      </c>
      <c r="E995" s="10">
        <v>1</v>
      </c>
      <c r="F995" s="10" t="s">
        <v>1933</v>
      </c>
      <c r="G995" s="10"/>
      <c r="H995" s="31">
        <v>302</v>
      </c>
      <c r="I995" s="7" t="s">
        <v>1928</v>
      </c>
    </row>
    <row r="996" spans="1:9" hidden="1">
      <c r="A996" s="31">
        <f t="shared" si="4"/>
        <v>994</v>
      </c>
      <c r="B996" s="10" t="e">
        <f>LEFT(Table1[[#This Row],[EPI_DGN_ANTIC]],1)</f>
        <v>#VALUE!</v>
      </c>
      <c r="C996" s="10" t="e">
        <f>LEFT(Table1[[#This Row],[EPI_DGN_ANTIC]],3)</f>
        <v>#VALUE!</v>
      </c>
      <c r="D996" s="10" t="s">
        <v>1934</v>
      </c>
      <c r="E996" s="10">
        <v>0</v>
      </c>
      <c r="F996" s="10"/>
      <c r="G996" s="10"/>
      <c r="H996" s="31">
        <v>303</v>
      </c>
      <c r="I996" s="7" t="s">
        <v>1917</v>
      </c>
    </row>
    <row r="997" spans="1:9" hidden="1">
      <c r="A997" s="31">
        <f t="shared" si="4"/>
        <v>995</v>
      </c>
      <c r="B997" s="10" t="e">
        <f>LEFT(Table1[[#This Row],[EPI_DGN_ANTIC]],1)</f>
        <v>#VALUE!</v>
      </c>
      <c r="C997" s="10" t="e">
        <f>LEFT(Table1[[#This Row],[EPI_DGN_ANTIC]],3)</f>
        <v>#VALUE!</v>
      </c>
      <c r="D997" s="10" t="s">
        <v>1498</v>
      </c>
      <c r="E997" s="10">
        <v>1</v>
      </c>
      <c r="F997" s="10" t="s">
        <v>1935</v>
      </c>
      <c r="G997" s="10"/>
      <c r="H997" s="31">
        <v>304</v>
      </c>
      <c r="I997" s="7" t="s">
        <v>1936</v>
      </c>
    </row>
    <row r="998" spans="1:9" hidden="1">
      <c r="A998" s="31">
        <f t="shared" si="4"/>
        <v>996</v>
      </c>
      <c r="B998" s="10" t="e">
        <f>LEFT(Table1[[#This Row],[EPI_DGN_ANTIC]],1)</f>
        <v>#VALUE!</v>
      </c>
      <c r="C998" s="10" t="e">
        <f>LEFT(Table1[[#This Row],[EPI_DGN_ANTIC]],3)</f>
        <v>#VALUE!</v>
      </c>
      <c r="D998" s="10" t="s">
        <v>1937</v>
      </c>
      <c r="E998" s="10">
        <v>0</v>
      </c>
      <c r="F998" s="10"/>
      <c r="G998" s="10"/>
      <c r="H998" s="31">
        <v>305</v>
      </c>
      <c r="I998" s="7" t="s">
        <v>1938</v>
      </c>
    </row>
    <row r="999" spans="1:9" hidden="1">
      <c r="A999" s="31">
        <f t="shared" si="4"/>
        <v>997</v>
      </c>
      <c r="B999" s="10" t="e">
        <f>LEFT(Table1[[#This Row],[EPI_DGN_ANTIC]],1)</f>
        <v>#VALUE!</v>
      </c>
      <c r="C999" s="10" t="e">
        <f>LEFT(Table1[[#This Row],[EPI_DGN_ANTIC]],3)</f>
        <v>#VALUE!</v>
      </c>
      <c r="D999" s="10" t="s">
        <v>1518</v>
      </c>
      <c r="E999" s="10">
        <v>1</v>
      </c>
      <c r="F999" s="10" t="s">
        <v>1939</v>
      </c>
      <c r="G999" s="10"/>
      <c r="H999" s="31">
        <v>306</v>
      </c>
      <c r="I999" s="7" t="s">
        <v>948</v>
      </c>
    </row>
    <row r="1000" spans="1:9" hidden="1">
      <c r="A1000" s="31">
        <f t="shared" si="4"/>
        <v>998</v>
      </c>
      <c r="B1000" s="10" t="e">
        <f>LEFT(Table1[[#This Row],[EPI_DGN_ANTIC]],1)</f>
        <v>#VALUE!</v>
      </c>
      <c r="C1000" s="10" t="e">
        <f>LEFT(Table1[[#This Row],[EPI_DGN_ANTIC]],2)</f>
        <v>#VALUE!</v>
      </c>
      <c r="D1000" s="10" t="s">
        <v>1358</v>
      </c>
      <c r="E1000" s="10">
        <v>0</v>
      </c>
      <c r="F1000" s="10"/>
      <c r="G1000" s="10"/>
      <c r="H1000" s="31">
        <v>307</v>
      </c>
      <c r="I1000" s="7" t="s">
        <v>1717</v>
      </c>
    </row>
    <row r="1001" spans="1:9" hidden="1">
      <c r="A1001" s="31">
        <f t="shared" si="4"/>
        <v>999</v>
      </c>
      <c r="B1001" s="10" t="s">
        <v>1355</v>
      </c>
      <c r="C1001" s="10" t="e">
        <f>LEFT(Table1[[#This Row],[EPI_DGN_ANTIC]],1)</f>
        <v>#VALUE!</v>
      </c>
      <c r="D1001" s="10" t="s">
        <v>1940</v>
      </c>
      <c r="E1001" s="10">
        <v>0</v>
      </c>
      <c r="F1001" s="10"/>
      <c r="G1001" s="10"/>
      <c r="H1001" s="31">
        <v>308</v>
      </c>
      <c r="I1001" s="7" t="s">
        <v>887</v>
      </c>
    </row>
    <row r="1002" spans="1:9" hidden="1">
      <c r="A1002" s="31">
        <f t="shared" si="4"/>
        <v>1000</v>
      </c>
      <c r="B1002" s="10" t="s">
        <v>1705</v>
      </c>
      <c r="C1002" s="10" t="s">
        <v>1709</v>
      </c>
      <c r="D1002" s="10" t="s">
        <v>1941</v>
      </c>
      <c r="E1002" s="10">
        <v>1</v>
      </c>
      <c r="F1002" s="10" t="s">
        <v>1714</v>
      </c>
      <c r="G1002" s="24" t="s">
        <v>786</v>
      </c>
      <c r="H1002" s="31">
        <v>309</v>
      </c>
      <c r="I1002" s="7" t="s">
        <v>1942</v>
      </c>
    </row>
    <row r="1003" spans="1:9" hidden="1">
      <c r="A1003" s="31">
        <f t="shared" si="4"/>
        <v>1001</v>
      </c>
      <c r="B1003" s="10" t="s">
        <v>1705</v>
      </c>
      <c r="C1003" s="10" t="s">
        <v>1707</v>
      </c>
      <c r="D1003" s="10" t="s">
        <v>1943</v>
      </c>
      <c r="E1003" s="10">
        <v>1</v>
      </c>
      <c r="F1003" s="10" t="s">
        <v>1711</v>
      </c>
      <c r="G1003" s="24" t="s">
        <v>786</v>
      </c>
      <c r="H1003" s="31">
        <v>310</v>
      </c>
      <c r="I1003" s="7" t="s">
        <v>1406</v>
      </c>
    </row>
    <row r="1004" spans="1:9" hidden="1">
      <c r="A1004" s="31">
        <f t="shared" si="4"/>
        <v>1002</v>
      </c>
      <c r="B1004" s="10" t="s">
        <v>1355</v>
      </c>
      <c r="C1004" s="10" t="e">
        <f>LEFT(Table1[[#This Row],[EPI_DGN_ANTIC]],1)</f>
        <v>#VALUE!</v>
      </c>
      <c r="D1004" s="10" t="s">
        <v>1944</v>
      </c>
      <c r="E1004" s="10">
        <v>0</v>
      </c>
      <c r="F1004" s="10"/>
      <c r="G1004" s="10"/>
      <c r="H1004" s="31">
        <v>311</v>
      </c>
      <c r="I1004" s="7" t="s">
        <v>1945</v>
      </c>
    </row>
    <row r="1005" spans="1:9" hidden="1">
      <c r="A1005" s="31">
        <f t="shared" si="4"/>
        <v>1003</v>
      </c>
      <c r="B1005" s="10" t="e">
        <f>LEFT(Table1[[#This Row],[EPI_DGN_ANTIC]],1)</f>
        <v>#VALUE!</v>
      </c>
      <c r="C1005" s="10" t="e">
        <f>LEFT(Table1[[#This Row],[EPI_DGN_ANTIC]],2)</f>
        <v>#VALUE!</v>
      </c>
      <c r="D1005" s="10" t="s">
        <v>1946</v>
      </c>
      <c r="E1005" s="10">
        <v>1</v>
      </c>
      <c r="F1005" s="10" t="s">
        <v>1947</v>
      </c>
      <c r="G1005" s="10"/>
      <c r="H1005" s="31">
        <v>312</v>
      </c>
      <c r="I1005" s="7" t="s">
        <v>1948</v>
      </c>
    </row>
    <row r="1006" spans="1:9" hidden="1">
      <c r="A1006" s="31">
        <f t="shared" si="4"/>
        <v>1004</v>
      </c>
      <c r="B1006" s="10" t="e">
        <f>LEFT(Table1[[#This Row],[EPI_DGN_ANTIC]],1)</f>
        <v>#VALUE!</v>
      </c>
      <c r="C1006" s="10" t="e">
        <f>LEFT(Table1[[#This Row],[EPI_DGN_ANTIC]],2)</f>
        <v>#VALUE!</v>
      </c>
      <c r="D1006" s="10" t="s">
        <v>1949</v>
      </c>
      <c r="E1006" s="10">
        <v>1</v>
      </c>
      <c r="F1006" s="10" t="s">
        <v>420</v>
      </c>
      <c r="G1006" s="10"/>
      <c r="H1006" s="31">
        <v>313</v>
      </c>
      <c r="I1006" s="7" t="s">
        <v>1945</v>
      </c>
    </row>
    <row r="1007" spans="1:9" hidden="1">
      <c r="A1007" s="31">
        <f t="shared" si="4"/>
        <v>1005</v>
      </c>
      <c r="B1007" s="10" t="e">
        <f>LEFT(Table1[[#This Row],[EPI_DGN_ANTIC]],1)</f>
        <v>#VALUE!</v>
      </c>
      <c r="C1007" s="10" t="e">
        <f>LEFT(Table1[[#This Row],[EPI_DGN_ANTIC]],2)</f>
        <v>#VALUE!</v>
      </c>
      <c r="D1007" s="10" t="s">
        <v>1950</v>
      </c>
      <c r="E1007" s="10">
        <v>1</v>
      </c>
      <c r="F1007" s="10" t="s">
        <v>1661</v>
      </c>
      <c r="G1007" s="10"/>
      <c r="H1007" s="31">
        <v>314</v>
      </c>
      <c r="I1007" s="7" t="s">
        <v>1948</v>
      </c>
    </row>
    <row r="1008" spans="1:9" hidden="1">
      <c r="A1008" s="31">
        <f t="shared" si="4"/>
        <v>1006</v>
      </c>
      <c r="B1008" s="10" t="e">
        <f>LEFT(Table1[[#This Row],[EPI_DGN_ANTIC]],1)</f>
        <v>#VALUE!</v>
      </c>
      <c r="C1008" s="10" t="e">
        <f>LEFT(Table1[[#This Row],[EPI_DGN_ANTIC]],2)</f>
        <v>#VALUE!</v>
      </c>
      <c r="D1008" s="10" t="s">
        <v>1951</v>
      </c>
      <c r="E1008" s="10">
        <v>0</v>
      </c>
      <c r="F1008" s="10"/>
      <c r="G1008" s="10"/>
      <c r="H1008" s="31">
        <v>315</v>
      </c>
      <c r="I1008" s="7" t="s">
        <v>1952</v>
      </c>
    </row>
    <row r="1009" spans="1:9" hidden="1">
      <c r="A1009" s="31">
        <f t="shared" si="4"/>
        <v>1007</v>
      </c>
      <c r="B1009" s="10" t="e">
        <f>LEFT(Table1[[#This Row],[EPI_DGN_ANTIC]],1)</f>
        <v>#VALUE!</v>
      </c>
      <c r="C1009" s="10" t="e">
        <f>LEFT(Table1[[#This Row],[EPI_DGN_ANTIC]],2)</f>
        <v>#VALUE!</v>
      </c>
      <c r="D1009" s="10" t="s">
        <v>1953</v>
      </c>
      <c r="E1009" s="10">
        <v>1</v>
      </c>
      <c r="F1009" s="10" t="s">
        <v>1954</v>
      </c>
      <c r="G1009" s="10"/>
      <c r="H1009" s="31">
        <v>316</v>
      </c>
      <c r="I1009" s="7" t="s">
        <v>1952</v>
      </c>
    </row>
    <row r="1010" spans="1:9" hidden="1">
      <c r="A1010" s="31">
        <f t="shared" si="4"/>
        <v>1008</v>
      </c>
      <c r="B1010" s="10" t="s">
        <v>1705</v>
      </c>
      <c r="C1010" s="10" t="s">
        <v>1951</v>
      </c>
      <c r="D1010" s="10" t="s">
        <v>1955</v>
      </c>
      <c r="E1010" s="10">
        <v>1</v>
      </c>
      <c r="F1010" s="10" t="s">
        <v>1954</v>
      </c>
      <c r="G1010" s="24" t="s">
        <v>786</v>
      </c>
      <c r="H1010" s="31">
        <v>317</v>
      </c>
      <c r="I1010" s="7" t="s">
        <v>1775</v>
      </c>
    </row>
    <row r="1011" spans="1:9" hidden="1">
      <c r="A1011" s="31">
        <f t="shared" si="4"/>
        <v>1009</v>
      </c>
      <c r="B1011" s="10" t="s">
        <v>1705</v>
      </c>
      <c r="C1011" s="10" t="s">
        <v>1705</v>
      </c>
      <c r="D1011" s="10" t="s">
        <v>1956</v>
      </c>
      <c r="E1011" s="10">
        <v>1</v>
      </c>
      <c r="F1011" s="10" t="s">
        <v>1957</v>
      </c>
      <c r="G1011" s="24" t="s">
        <v>786</v>
      </c>
      <c r="H1011" s="31">
        <v>318</v>
      </c>
      <c r="I1011" s="7" t="s">
        <v>125</v>
      </c>
    </row>
    <row r="1012" spans="1:9" hidden="1">
      <c r="A1012" s="31">
        <f t="shared" si="4"/>
        <v>1010</v>
      </c>
      <c r="B1012" s="10" t="s">
        <v>1705</v>
      </c>
      <c r="C1012" s="10" t="s">
        <v>1709</v>
      </c>
      <c r="D1012" s="10" t="s">
        <v>1958</v>
      </c>
      <c r="E1012" s="10">
        <v>1</v>
      </c>
      <c r="F1012" s="10" t="s">
        <v>1926</v>
      </c>
      <c r="G1012" s="24" t="s">
        <v>786</v>
      </c>
      <c r="H1012" s="31">
        <v>319</v>
      </c>
      <c r="I1012" s="7" t="s">
        <v>986</v>
      </c>
    </row>
    <row r="1013" spans="1:9" hidden="1">
      <c r="A1013" s="31">
        <f t="shared" si="4"/>
        <v>1011</v>
      </c>
      <c r="B1013" s="10" t="e">
        <f>LEFT(Table1[[#This Row],[EPI_DGN_ANTIC]],1)</f>
        <v>#VALUE!</v>
      </c>
      <c r="C1013" s="10" t="e">
        <f>LEFT(Table1[[#This Row],[EPI_DGN_ANTIC]],2)</f>
        <v>#VALUE!</v>
      </c>
      <c r="D1013" s="10" t="s">
        <v>1959</v>
      </c>
      <c r="E1013" s="10">
        <v>0</v>
      </c>
      <c r="F1013" s="10"/>
      <c r="G1013" s="10"/>
      <c r="H1013" s="31">
        <v>320</v>
      </c>
      <c r="I1013" s="7" t="s">
        <v>1702</v>
      </c>
    </row>
    <row r="1014" spans="1:9" hidden="1">
      <c r="A1014" s="31">
        <f t="shared" si="4"/>
        <v>1012</v>
      </c>
      <c r="B1014" s="10" t="e">
        <f>LEFT(Table1[[#This Row],[EPI_DGN_ANTIC]],1)</f>
        <v>#VALUE!</v>
      </c>
      <c r="C1014" s="10" t="e">
        <f>LEFT(Table1[[#This Row],[EPI_DGN_ANTIC]],2)</f>
        <v>#VALUE!</v>
      </c>
      <c r="D1014" s="10" t="s">
        <v>1960</v>
      </c>
      <c r="E1014" s="10">
        <v>1</v>
      </c>
      <c r="F1014" s="10" t="s">
        <v>1961</v>
      </c>
      <c r="G1014" s="10"/>
      <c r="H1014" s="31">
        <v>321</v>
      </c>
      <c r="I1014" s="7" t="s">
        <v>1708</v>
      </c>
    </row>
    <row r="1015" spans="1:9" hidden="1">
      <c r="A1015" s="31">
        <f t="shared" ref="A1015:A1078" si="5">A1014+1</f>
        <v>1013</v>
      </c>
      <c r="B1015" s="10" t="e">
        <f>LEFT(Table1[[#This Row],[EPI_DGN_ANTIC]],1)</f>
        <v>#VALUE!</v>
      </c>
      <c r="C1015" s="10" t="e">
        <f>LEFT(Table1[[#This Row],[EPI_DGN_ANTIC]],2)</f>
        <v>#VALUE!</v>
      </c>
      <c r="D1015" s="10" t="s">
        <v>1962</v>
      </c>
      <c r="E1015" s="10">
        <v>1</v>
      </c>
      <c r="F1015" s="10" t="s">
        <v>1963</v>
      </c>
      <c r="G1015" s="10"/>
      <c r="H1015" s="31">
        <v>322</v>
      </c>
      <c r="I1015" s="7" t="s">
        <v>494</v>
      </c>
    </row>
    <row r="1016" spans="1:9" hidden="1">
      <c r="A1016" s="31">
        <f t="shared" si="5"/>
        <v>1014</v>
      </c>
      <c r="B1016" s="10" t="e">
        <f>LEFT(Table1[[#This Row],[EPI_DGN_ANTIC]],1)</f>
        <v>#VALUE!</v>
      </c>
      <c r="C1016" s="10" t="e">
        <f>LEFT(Table1[[#This Row],[EPI_DGN_ANTIC]],2)</f>
        <v>#VALUE!</v>
      </c>
      <c r="D1016" s="10" t="s">
        <v>1964</v>
      </c>
      <c r="E1016" s="10">
        <v>1</v>
      </c>
      <c r="F1016" s="10" t="s">
        <v>1965</v>
      </c>
      <c r="G1016" s="10"/>
      <c r="H1016" s="31">
        <v>323</v>
      </c>
      <c r="I1016" s="7" t="s">
        <v>1966</v>
      </c>
    </row>
    <row r="1017" spans="1:9" hidden="1">
      <c r="A1017" s="31">
        <f t="shared" si="5"/>
        <v>1015</v>
      </c>
      <c r="B1017" s="10" t="e">
        <f>LEFT(Table1[[#This Row],[EPI_DGN_ANTIC]],1)</f>
        <v>#VALUE!</v>
      </c>
      <c r="C1017" s="10" t="e">
        <f>LEFT(Table1[[#This Row],[EPI_DGN_ANTIC]],2)</f>
        <v>#VALUE!</v>
      </c>
      <c r="D1017" s="10" t="s">
        <v>1967</v>
      </c>
      <c r="E1017" s="10">
        <v>1</v>
      </c>
      <c r="F1017" s="10" t="s">
        <v>1968</v>
      </c>
      <c r="G1017" s="10"/>
      <c r="H1017" s="31">
        <v>324</v>
      </c>
      <c r="I1017" s="7" t="s">
        <v>1969</v>
      </c>
    </row>
    <row r="1018" spans="1:9" hidden="1">
      <c r="A1018" s="31">
        <f t="shared" si="5"/>
        <v>1016</v>
      </c>
      <c r="B1018" s="10" t="s">
        <v>1355</v>
      </c>
      <c r="C1018" s="10" t="e">
        <f>LEFT(Table1[[#This Row],[EPI_DGN_ANTIC]],1)</f>
        <v>#VALUE!</v>
      </c>
      <c r="D1018" s="10" t="s">
        <v>1970</v>
      </c>
      <c r="E1018" s="10">
        <v>0</v>
      </c>
      <c r="F1018" s="10"/>
      <c r="G1018" s="10"/>
      <c r="H1018" s="31">
        <v>325</v>
      </c>
      <c r="I1018" s="7" t="s">
        <v>1966</v>
      </c>
    </row>
    <row r="1019" spans="1:9" hidden="1">
      <c r="A1019" s="31">
        <f t="shared" si="5"/>
        <v>1017</v>
      </c>
      <c r="B1019" s="10" t="s">
        <v>1355</v>
      </c>
      <c r="C1019" s="10" t="e">
        <f>LEFT(Table1[[#This Row],[EPI_DGN_ANTIC]],1)</f>
        <v>#VALUE!</v>
      </c>
      <c r="D1019" s="10" t="s">
        <v>1971</v>
      </c>
      <c r="E1019" s="10">
        <v>0</v>
      </c>
      <c r="F1019" s="10"/>
      <c r="G1019" s="10"/>
      <c r="H1019" s="31">
        <v>326</v>
      </c>
      <c r="I1019" s="7" t="s">
        <v>1818</v>
      </c>
    </row>
    <row r="1020" spans="1:9" hidden="1">
      <c r="A1020" s="31">
        <f t="shared" si="5"/>
        <v>1018</v>
      </c>
      <c r="B1020" s="10" t="e">
        <f>LEFT(Table1[[#This Row],[EPI_DGN_ANTIC]],1)</f>
        <v>#VALUE!</v>
      </c>
      <c r="C1020" s="10" t="e">
        <f>LEFT(Table1[[#This Row],[EPI_DGN_ANTIC]],2)</f>
        <v>#VALUE!</v>
      </c>
      <c r="D1020" s="10" t="s">
        <v>1972</v>
      </c>
      <c r="E1020" s="10">
        <v>1</v>
      </c>
      <c r="F1020" s="10" t="s">
        <v>1973</v>
      </c>
      <c r="G1020" s="10"/>
      <c r="H1020" s="31">
        <v>327</v>
      </c>
      <c r="I1020" s="7" t="s">
        <v>1974</v>
      </c>
    </row>
    <row r="1021" spans="1:9" hidden="1">
      <c r="A1021" s="31">
        <f t="shared" si="5"/>
        <v>1019</v>
      </c>
      <c r="B1021" s="10" t="e">
        <f>LEFT(Table1[[#This Row],[EPI_DGN_ANTIC]],1)</f>
        <v>#VALUE!</v>
      </c>
      <c r="C1021" s="10" t="e">
        <f>LEFT(Table1[[#This Row],[EPI_DGN_ANTIC]],2)</f>
        <v>#VALUE!</v>
      </c>
      <c r="D1021" s="10" t="s">
        <v>1975</v>
      </c>
      <c r="E1021" s="10">
        <v>1</v>
      </c>
      <c r="F1021" s="10" t="s">
        <v>1976</v>
      </c>
      <c r="G1021" s="10"/>
      <c r="H1021" s="31">
        <v>328</v>
      </c>
      <c r="I1021" s="7" t="s">
        <v>1977</v>
      </c>
    </row>
    <row r="1022" spans="1:9" hidden="1">
      <c r="A1022" s="31">
        <f t="shared" si="5"/>
        <v>1020</v>
      </c>
      <c r="B1022" s="10" t="s">
        <v>1632</v>
      </c>
      <c r="C1022" s="10" t="s">
        <v>1727</v>
      </c>
      <c r="D1022" s="10" t="s">
        <v>1978</v>
      </c>
      <c r="E1022" s="10">
        <v>1</v>
      </c>
      <c r="F1022" s="10" t="s">
        <v>1784</v>
      </c>
      <c r="G1022" s="32" t="s">
        <v>704</v>
      </c>
      <c r="H1022" s="31">
        <v>329</v>
      </c>
      <c r="I1022" s="7" t="s">
        <v>1570</v>
      </c>
    </row>
    <row r="1023" spans="1:9" hidden="1">
      <c r="A1023" s="31">
        <f t="shared" si="5"/>
        <v>1021</v>
      </c>
      <c r="B1023" s="10" t="s">
        <v>1632</v>
      </c>
      <c r="C1023" s="10" t="s">
        <v>1727</v>
      </c>
      <c r="D1023" s="10" t="s">
        <v>1979</v>
      </c>
      <c r="E1023" s="10">
        <v>1</v>
      </c>
      <c r="F1023" s="10" t="s">
        <v>1784</v>
      </c>
      <c r="G1023" s="32" t="s">
        <v>704</v>
      </c>
      <c r="H1023" s="31">
        <v>330</v>
      </c>
      <c r="I1023" s="7" t="s">
        <v>1980</v>
      </c>
    </row>
    <row r="1024" spans="1:9" hidden="1">
      <c r="A1024" s="31">
        <f t="shared" si="5"/>
        <v>1022</v>
      </c>
      <c r="B1024" s="10" t="s">
        <v>1632</v>
      </c>
      <c r="C1024" s="10" t="s">
        <v>1727</v>
      </c>
      <c r="D1024" s="10" t="s">
        <v>1981</v>
      </c>
      <c r="E1024" s="10">
        <v>1</v>
      </c>
      <c r="F1024" s="10" t="s">
        <v>1730</v>
      </c>
      <c r="G1024" s="32" t="s">
        <v>704</v>
      </c>
      <c r="H1024" s="31">
        <v>331</v>
      </c>
      <c r="I1024" s="7" t="s">
        <v>1982</v>
      </c>
    </row>
    <row r="1025" spans="1:9" hidden="1">
      <c r="A1025" s="31">
        <f t="shared" si="5"/>
        <v>1023</v>
      </c>
      <c r="B1025" s="10" t="e">
        <f>LEFT(Table1[[#This Row],[EPI_DGN_ANTIC]],1)</f>
        <v>#VALUE!</v>
      </c>
      <c r="C1025" s="10" t="e">
        <f>LEFT(Table1[[#This Row],[EPI_DGN_ANTIC]],3)</f>
        <v>#VALUE!</v>
      </c>
      <c r="D1025" s="10" t="s">
        <v>1983</v>
      </c>
      <c r="E1025" s="10">
        <v>1</v>
      </c>
      <c r="F1025" s="10" t="s">
        <v>1426</v>
      </c>
      <c r="G1025" s="10"/>
      <c r="H1025" s="31">
        <v>332</v>
      </c>
      <c r="I1025" s="7" t="s">
        <v>1984</v>
      </c>
    </row>
    <row r="1026" spans="1:9" hidden="1">
      <c r="A1026" s="31">
        <f t="shared" si="5"/>
        <v>1024</v>
      </c>
      <c r="B1026" s="10" t="s">
        <v>1632</v>
      </c>
      <c r="C1026" s="10" t="s">
        <v>1722</v>
      </c>
      <c r="D1026" s="10" t="s">
        <v>1985</v>
      </c>
      <c r="E1026" s="10">
        <v>1</v>
      </c>
      <c r="F1026" s="10" t="s">
        <v>1908</v>
      </c>
      <c r="G1026" s="32" t="s">
        <v>704</v>
      </c>
      <c r="H1026" s="31">
        <v>333</v>
      </c>
      <c r="I1026" s="7" t="s">
        <v>1574</v>
      </c>
    </row>
    <row r="1027" spans="1:9" hidden="1">
      <c r="A1027" s="31">
        <f t="shared" si="5"/>
        <v>1025</v>
      </c>
      <c r="B1027" s="10" t="s">
        <v>1632</v>
      </c>
      <c r="C1027" s="10" t="s">
        <v>1727</v>
      </c>
      <c r="D1027" s="10" t="s">
        <v>1986</v>
      </c>
      <c r="E1027" s="10">
        <v>1</v>
      </c>
      <c r="F1027" s="10" t="s">
        <v>1730</v>
      </c>
      <c r="G1027" s="24" t="s">
        <v>897</v>
      </c>
      <c r="H1027" s="31">
        <v>334</v>
      </c>
      <c r="I1027" s="7" t="s">
        <v>1987</v>
      </c>
    </row>
    <row r="1028" spans="1:9" hidden="1">
      <c r="A1028" s="31">
        <f t="shared" si="5"/>
        <v>1026</v>
      </c>
      <c r="B1028" s="10" t="e">
        <f>LEFT(Table1[[#This Row],[EPI_DGN_ANTIC]],1)</f>
        <v>#VALUE!</v>
      </c>
      <c r="C1028" s="10" t="e">
        <f>LEFT(Table1[[#This Row],[EPI_DGN_ANTIC]],2)</f>
        <v>#VALUE!</v>
      </c>
      <c r="D1028" s="10" t="s">
        <v>1988</v>
      </c>
      <c r="E1028" s="10">
        <v>0</v>
      </c>
      <c r="F1028" s="10"/>
      <c r="G1028" s="10"/>
      <c r="H1028" s="31">
        <v>335</v>
      </c>
      <c r="I1028" s="7" t="s">
        <v>1989</v>
      </c>
    </row>
    <row r="1029" spans="1:9" hidden="1">
      <c r="A1029" s="31">
        <f t="shared" si="5"/>
        <v>1027</v>
      </c>
      <c r="B1029" s="10" t="e">
        <f>LEFT(Table1[[#This Row],[EPI_DGN_ANTIC]],1)</f>
        <v>#VALUE!</v>
      </c>
      <c r="C1029" s="10" t="e">
        <f>LEFT(Table1[[#This Row],[EPI_DGN_ANTIC]],3)</f>
        <v>#VALUE!</v>
      </c>
      <c r="D1029" s="10" t="s">
        <v>1990</v>
      </c>
      <c r="E1029" s="10">
        <v>1</v>
      </c>
      <c r="F1029" s="10" t="s">
        <v>1991</v>
      </c>
      <c r="G1029" s="10"/>
      <c r="H1029" s="31">
        <v>336</v>
      </c>
      <c r="I1029" s="7" t="s">
        <v>1992</v>
      </c>
    </row>
    <row r="1030" spans="1:9" hidden="1">
      <c r="A1030" s="31">
        <f t="shared" si="5"/>
        <v>1028</v>
      </c>
      <c r="B1030" s="10" t="e">
        <f>LEFT(Table1[[#This Row],[EPI_DGN_ANTIC]],1)</f>
        <v>#VALUE!</v>
      </c>
      <c r="C1030" s="10" t="e">
        <f>LEFT(Table1[[#This Row],[EPI_DGN_ANTIC]],2)</f>
        <v>#VALUE!</v>
      </c>
      <c r="D1030" s="10" t="s">
        <v>1993</v>
      </c>
      <c r="E1030" s="10">
        <v>0</v>
      </c>
      <c r="F1030" s="10"/>
      <c r="G1030" s="10"/>
      <c r="H1030" s="31">
        <v>337</v>
      </c>
      <c r="I1030" s="7" t="s">
        <v>1994</v>
      </c>
    </row>
    <row r="1031" spans="1:9" hidden="1">
      <c r="A1031" s="31">
        <f t="shared" si="5"/>
        <v>1029</v>
      </c>
      <c r="B1031" s="10" t="e">
        <f>LEFT(Table1[[#This Row],[EPI_DGN_ANTIC]],1)</f>
        <v>#VALUE!</v>
      </c>
      <c r="C1031" s="10" t="e">
        <f>LEFT(Table1[[#This Row],[EPI_DGN_ANTIC]],2)</f>
        <v>#VALUE!</v>
      </c>
      <c r="D1031" s="10" t="s">
        <v>1995</v>
      </c>
      <c r="E1031" s="10">
        <v>1</v>
      </c>
      <c r="F1031" s="10" t="s">
        <v>1996</v>
      </c>
      <c r="G1031" s="10"/>
      <c r="H1031" s="31">
        <v>338</v>
      </c>
      <c r="I1031" s="7" t="s">
        <v>1997</v>
      </c>
    </row>
    <row r="1032" spans="1:9" hidden="1">
      <c r="A1032" s="31">
        <f t="shared" si="5"/>
        <v>1030</v>
      </c>
      <c r="B1032" s="10" t="e">
        <f>LEFT(Table1[[#This Row],[EPI_DGN_ANTIC]],1)</f>
        <v>#VALUE!</v>
      </c>
      <c r="C1032" s="10" t="e">
        <f>LEFT(Table1[[#This Row],[EPI_DGN_ANTIC]],2)</f>
        <v>#VALUE!</v>
      </c>
      <c r="D1032" s="10" t="s">
        <v>1632</v>
      </c>
      <c r="E1032" s="10">
        <v>0</v>
      </c>
      <c r="F1032" s="10"/>
      <c r="G1032" s="10"/>
      <c r="H1032" s="31">
        <v>339</v>
      </c>
      <c r="I1032" s="7" t="s">
        <v>1998</v>
      </c>
    </row>
    <row r="1033" spans="1:9" hidden="1">
      <c r="A1033" s="31">
        <f t="shared" si="5"/>
        <v>1031</v>
      </c>
      <c r="B1033" s="10" t="e">
        <f>LEFT(Table1[[#This Row],[EPI_DGN_ANTIC]],1)</f>
        <v>#VALUE!</v>
      </c>
      <c r="C1033" s="10" t="e">
        <f>LEFT(Table1[[#This Row],[EPI_DGN_ANTIC]],2)</f>
        <v>#VALUE!</v>
      </c>
      <c r="D1033" s="10" t="s">
        <v>1999</v>
      </c>
      <c r="E1033" s="10">
        <v>0</v>
      </c>
      <c r="F1033" s="10"/>
      <c r="G1033" s="10"/>
      <c r="H1033" s="31">
        <v>340</v>
      </c>
      <c r="I1033" s="7" t="s">
        <v>2000</v>
      </c>
    </row>
    <row r="1034" spans="1:9" hidden="1">
      <c r="A1034" s="31">
        <f t="shared" si="5"/>
        <v>1032</v>
      </c>
      <c r="B1034" s="10" t="e">
        <f>LEFT(Table1[[#This Row],[EPI_DGN_ANTIC]],1)</f>
        <v>#VALUE!</v>
      </c>
      <c r="C1034" s="10" t="e">
        <f>LEFT(Table1[[#This Row],[EPI_DGN_ANTIC]],2)</f>
        <v>#VALUE!</v>
      </c>
      <c r="D1034" s="10" t="s">
        <v>2001</v>
      </c>
      <c r="E1034" s="10">
        <v>0</v>
      </c>
      <c r="F1034" s="10"/>
      <c r="G1034" s="10"/>
      <c r="H1034" s="31">
        <v>341</v>
      </c>
      <c r="I1034" s="7" t="s">
        <v>1606</v>
      </c>
    </row>
    <row r="1035" spans="1:9" hidden="1">
      <c r="A1035" s="31">
        <f t="shared" si="5"/>
        <v>1033</v>
      </c>
      <c r="B1035" s="10" t="e">
        <f>LEFT(Table1[[#This Row],[EPI_DGN_ANTIC]],1)</f>
        <v>#VALUE!</v>
      </c>
      <c r="C1035" s="10" t="e">
        <f>LEFT(Table1[[#This Row],[EPI_DGN_ANTIC]],2)</f>
        <v>#VALUE!</v>
      </c>
      <c r="D1035" s="10" t="s">
        <v>2002</v>
      </c>
      <c r="E1035" s="10">
        <v>0</v>
      </c>
      <c r="F1035" s="10"/>
      <c r="G1035" s="10"/>
      <c r="H1035" s="31">
        <v>342</v>
      </c>
      <c r="I1035" s="7" t="s">
        <v>2003</v>
      </c>
    </row>
    <row r="1036" spans="1:9" hidden="1">
      <c r="A1036" s="31">
        <f t="shared" si="5"/>
        <v>1034</v>
      </c>
      <c r="B1036" s="10" t="e">
        <f>LEFT(Table1[[#This Row],[EPI_DGN_ANTIC]],1)</f>
        <v>#VALUE!</v>
      </c>
      <c r="C1036" s="10" t="e">
        <f>LEFT(Table1[[#This Row],[EPI_DGN_ANTIC]],2)</f>
        <v>#VALUE!</v>
      </c>
      <c r="D1036" s="10" t="s">
        <v>1930</v>
      </c>
      <c r="E1036" s="10">
        <v>1</v>
      </c>
      <c r="F1036" s="10" t="s">
        <v>2004</v>
      </c>
      <c r="G1036" s="10"/>
      <c r="H1036" s="31">
        <v>343</v>
      </c>
      <c r="I1036" s="7" t="s">
        <v>1849</v>
      </c>
    </row>
    <row r="1037" spans="1:9" hidden="1">
      <c r="A1037" s="31">
        <f t="shared" si="5"/>
        <v>1035</v>
      </c>
      <c r="B1037" s="10" t="e">
        <f>LEFT(Table1[[#This Row],[EPI_DGN_ANTIC]],1)</f>
        <v>#VALUE!</v>
      </c>
      <c r="C1037" s="10" t="e">
        <f>LEFT(Table1[[#This Row],[EPI_DGN_ANTIC]],2)</f>
        <v>#VALUE!</v>
      </c>
      <c r="D1037" s="10" t="s">
        <v>2005</v>
      </c>
      <c r="E1037" s="10">
        <v>1</v>
      </c>
      <c r="F1037" s="10" t="s">
        <v>2006</v>
      </c>
      <c r="G1037" s="10"/>
      <c r="H1037" s="31">
        <v>344</v>
      </c>
      <c r="I1037" s="7" t="s">
        <v>2007</v>
      </c>
    </row>
    <row r="1038" spans="1:9" hidden="1">
      <c r="A1038" s="31">
        <f t="shared" si="5"/>
        <v>1036</v>
      </c>
      <c r="B1038" s="10" t="e">
        <f>LEFT(Table1[[#This Row],[EPI_DGN_ANTIC]],1)</f>
        <v>#VALUE!</v>
      </c>
      <c r="C1038" s="10" t="e">
        <f>LEFT(Table1[[#This Row],[EPI_DGN_ANTIC]],3)</f>
        <v>#VALUE!</v>
      </c>
      <c r="D1038" s="10" t="s">
        <v>2008</v>
      </c>
      <c r="E1038" s="10">
        <v>1</v>
      </c>
      <c r="F1038" s="10" t="s">
        <v>2009</v>
      </c>
      <c r="G1038" s="10"/>
      <c r="H1038" s="31">
        <v>345</v>
      </c>
      <c r="I1038" s="7" t="s">
        <v>2010</v>
      </c>
    </row>
    <row r="1039" spans="1:9" hidden="1">
      <c r="A1039" s="31">
        <f t="shared" si="5"/>
        <v>1037</v>
      </c>
      <c r="B1039" s="10" t="e">
        <f>LEFT(Table1[[#This Row],[EPI_DGN_ANTIC]],1)</f>
        <v>#VALUE!</v>
      </c>
      <c r="C1039" s="10" t="e">
        <f>LEFT(Table1[[#This Row],[EPI_DGN_ANTIC]],2)</f>
        <v>#VALUE!</v>
      </c>
      <c r="D1039" s="10" t="s">
        <v>1635</v>
      </c>
      <c r="E1039" s="10">
        <v>1</v>
      </c>
      <c r="F1039" s="10" t="s">
        <v>2011</v>
      </c>
      <c r="G1039" s="10"/>
      <c r="H1039" s="31">
        <v>346</v>
      </c>
      <c r="I1039" s="7" t="s">
        <v>2012</v>
      </c>
    </row>
    <row r="1040" spans="1:9" hidden="1">
      <c r="A1040" s="31">
        <f t="shared" si="5"/>
        <v>1038</v>
      </c>
      <c r="B1040" s="10" t="e">
        <f>LEFT(Table1[[#This Row],[EPI_DGN_ANTIC]],1)</f>
        <v>#VALUE!</v>
      </c>
      <c r="C1040" s="10" t="e">
        <f>LEFT(Table1[[#This Row],[EPI_DGN_ANTIC]],3)</f>
        <v>#VALUE!</v>
      </c>
      <c r="D1040" s="10" t="s">
        <v>2013</v>
      </c>
      <c r="E1040" s="10">
        <v>0</v>
      </c>
      <c r="F1040" s="10"/>
      <c r="G1040" s="10"/>
      <c r="H1040" s="31">
        <v>347</v>
      </c>
      <c r="I1040" s="7" t="s">
        <v>2014</v>
      </c>
    </row>
    <row r="1041" spans="1:9" hidden="1">
      <c r="A1041" s="31">
        <f t="shared" si="5"/>
        <v>1039</v>
      </c>
      <c r="B1041" s="10" t="e">
        <f>LEFT(Table1[[#This Row],[EPI_DGN_ANTIC]],1)</f>
        <v>#VALUE!</v>
      </c>
      <c r="C1041" s="10" t="e">
        <f>LEFT(Table1[[#This Row],[EPI_DGN_ANTIC]],2)</f>
        <v>#VALUE!</v>
      </c>
      <c r="D1041" s="10" t="s">
        <v>1649</v>
      </c>
      <c r="E1041" s="10">
        <v>0</v>
      </c>
      <c r="F1041" s="10"/>
      <c r="G1041" s="10"/>
      <c r="H1041" s="31">
        <v>348</v>
      </c>
      <c r="I1041" s="7" t="s">
        <v>2015</v>
      </c>
    </row>
    <row r="1042" spans="1:9" hidden="1">
      <c r="A1042" s="31">
        <f t="shared" si="5"/>
        <v>1040</v>
      </c>
      <c r="B1042" s="10" t="e">
        <f>LEFT(Table1[[#This Row],[EPI_DGN_ANTIC]],1)</f>
        <v>#VALUE!</v>
      </c>
      <c r="C1042" s="10" t="e">
        <f>LEFT(Table1[[#This Row],[EPI_DGN_ANTIC]],2)</f>
        <v>#VALUE!</v>
      </c>
      <c r="D1042" s="10" t="s">
        <v>1919</v>
      </c>
      <c r="E1042" s="10">
        <v>1</v>
      </c>
      <c r="F1042" s="10" t="s">
        <v>2016</v>
      </c>
      <c r="G1042" s="10"/>
      <c r="H1042" s="31">
        <v>349</v>
      </c>
      <c r="I1042" s="7" t="s">
        <v>2017</v>
      </c>
    </row>
    <row r="1043" spans="1:9" hidden="1">
      <c r="A1043" s="31">
        <f t="shared" si="5"/>
        <v>1041</v>
      </c>
      <c r="B1043" s="10" t="e">
        <f>LEFT(Table1[[#This Row],[EPI_DGN_ANTIC]],1)</f>
        <v>#VALUE!</v>
      </c>
      <c r="C1043" s="10" t="e">
        <f>LEFT(Table1[[#This Row],[EPI_DGN_ANTIC]],2)</f>
        <v>#VALUE!</v>
      </c>
      <c r="D1043" s="10" t="s">
        <v>2018</v>
      </c>
      <c r="E1043" s="10">
        <v>0</v>
      </c>
      <c r="F1043" s="10"/>
      <c r="G1043" s="10"/>
      <c r="H1043" s="31">
        <v>350</v>
      </c>
      <c r="I1043" s="7" t="s">
        <v>1987</v>
      </c>
    </row>
    <row r="1044" spans="1:9" hidden="1">
      <c r="A1044" s="31">
        <f t="shared" si="5"/>
        <v>1042</v>
      </c>
      <c r="B1044" s="10" t="e">
        <f>LEFT(Table1[[#This Row],[EPI_DGN_ANTIC]],1)</f>
        <v>#VALUE!</v>
      </c>
      <c r="C1044" s="10" t="e">
        <f>LEFT(Table1[[#This Row],[EPI_DGN_ANTIC]],2)</f>
        <v>#VALUE!</v>
      </c>
      <c r="D1044" s="10" t="s">
        <v>2019</v>
      </c>
      <c r="E1044" s="10">
        <v>0</v>
      </c>
      <c r="F1044" s="10"/>
      <c r="G1044" s="10"/>
      <c r="H1044" s="31">
        <v>351</v>
      </c>
      <c r="I1044" s="7" t="s">
        <v>1639</v>
      </c>
    </row>
    <row r="1045" spans="1:9" hidden="1">
      <c r="A1045" s="31">
        <f t="shared" si="5"/>
        <v>1043</v>
      </c>
      <c r="B1045" s="10" t="e">
        <f>LEFT(Table1[[#This Row],[EPI_DGN_ANTIC]],1)</f>
        <v>#VALUE!</v>
      </c>
      <c r="C1045" s="10" t="e">
        <f>LEFT(Table1[[#This Row],[EPI_DGN_ANTIC]],2)</f>
        <v>#VALUE!</v>
      </c>
      <c r="D1045" s="10" t="s">
        <v>1959</v>
      </c>
      <c r="E1045" s="10">
        <v>1</v>
      </c>
      <c r="F1045" s="10" t="s">
        <v>2020</v>
      </c>
      <c r="G1045" s="10"/>
      <c r="H1045" s="31">
        <v>352</v>
      </c>
      <c r="I1045" s="7" t="s">
        <v>2021</v>
      </c>
    </row>
    <row r="1046" spans="1:9" hidden="1">
      <c r="A1046" s="31">
        <f t="shared" si="5"/>
        <v>1044</v>
      </c>
      <c r="B1046" s="10" t="e">
        <f>LEFT(Table1[[#This Row],[EPI_DGN_ANTIC]],1)</f>
        <v>#VALUE!</v>
      </c>
      <c r="C1046" s="10" t="e">
        <f>LEFT(Table1[[#This Row],[EPI_DGN_ANTIC]],2)</f>
        <v>#VALUE!</v>
      </c>
      <c r="D1046" s="10" t="s">
        <v>2022</v>
      </c>
      <c r="E1046" s="10">
        <v>0</v>
      </c>
      <c r="F1046" s="10"/>
      <c r="G1046" s="10"/>
      <c r="H1046" s="31">
        <v>353</v>
      </c>
      <c r="I1046" s="7" t="s">
        <v>1984</v>
      </c>
    </row>
    <row r="1047" spans="1:9" hidden="1">
      <c r="A1047" s="31">
        <f t="shared" si="5"/>
        <v>1045</v>
      </c>
      <c r="B1047" s="10" t="e">
        <f>LEFT(Table1[[#This Row],[EPI_DGN_ANTIC]],1)</f>
        <v>#VALUE!</v>
      </c>
      <c r="C1047" s="10" t="e">
        <f>LEFT(Table1[[#This Row],[EPI_DGN_ANTIC]],2)</f>
        <v>#VALUE!</v>
      </c>
      <c r="D1047" s="10" t="s">
        <v>1705</v>
      </c>
      <c r="E1047" s="10">
        <v>0</v>
      </c>
      <c r="F1047" s="10"/>
      <c r="G1047" s="10"/>
      <c r="H1047" s="31">
        <v>354</v>
      </c>
      <c r="I1047" s="7" t="s">
        <v>1982</v>
      </c>
    </row>
    <row r="1048" spans="1:9" hidden="1">
      <c r="A1048" s="31">
        <f t="shared" si="5"/>
        <v>1046</v>
      </c>
      <c r="B1048" s="10" t="e">
        <f>LEFT(Table1[[#This Row],[EPI_DGN_ANTIC]],1)</f>
        <v>#VALUE!</v>
      </c>
      <c r="C1048" s="10" t="e">
        <f>LEFT(Table1[[#This Row],[EPI_DGN_ANTIC]],2)</f>
        <v>#VALUE!</v>
      </c>
      <c r="D1048" s="10" t="s">
        <v>2023</v>
      </c>
      <c r="E1048" s="10">
        <v>0</v>
      </c>
      <c r="F1048" s="10"/>
      <c r="G1048" s="10"/>
      <c r="H1048" s="31">
        <v>355</v>
      </c>
      <c r="I1048" s="7" t="s">
        <v>2007</v>
      </c>
    </row>
    <row r="1049" spans="1:9" hidden="1">
      <c r="A1049" s="31">
        <f t="shared" si="5"/>
        <v>1047</v>
      </c>
      <c r="B1049" s="10" t="e">
        <f>LEFT(Table1[[#This Row],[EPI_DGN_ANTIC]],1)</f>
        <v>#VALUE!</v>
      </c>
      <c r="C1049" s="10" t="e">
        <f>LEFT(Table1[[#This Row],[EPI_DGN_ANTIC]],2)</f>
        <v>#VALUE!</v>
      </c>
      <c r="D1049" s="10" t="s">
        <v>2023</v>
      </c>
      <c r="E1049" s="10">
        <v>1</v>
      </c>
      <c r="F1049" s="10" t="s">
        <v>2024</v>
      </c>
      <c r="G1049" s="10"/>
      <c r="H1049" s="31">
        <v>356</v>
      </c>
      <c r="I1049" s="7" t="s">
        <v>2003</v>
      </c>
    </row>
    <row r="1050" spans="1:9" hidden="1">
      <c r="A1050" s="31">
        <f t="shared" si="5"/>
        <v>1048</v>
      </c>
      <c r="B1050" s="10" t="e">
        <f>LEFT(Table1[[#This Row],[EPI_DGN_ANTIC]],1)</f>
        <v>#VALUE!</v>
      </c>
      <c r="C1050" s="10" t="e">
        <f>LEFT(Table1[[#This Row],[EPI_DGN_ANTIC]],2)</f>
        <v>#VALUE!</v>
      </c>
      <c r="D1050" s="10" t="s">
        <v>2025</v>
      </c>
      <c r="E1050" s="10">
        <v>1</v>
      </c>
      <c r="F1050" s="10" t="s">
        <v>2026</v>
      </c>
      <c r="G1050" s="10"/>
      <c r="H1050" s="31">
        <v>357</v>
      </c>
      <c r="I1050" s="7" t="s">
        <v>1849</v>
      </c>
    </row>
    <row r="1051" spans="1:9" hidden="1">
      <c r="A1051" s="31">
        <f t="shared" si="5"/>
        <v>1049</v>
      </c>
      <c r="B1051" s="10" t="e">
        <f>LEFT(Table1[[#This Row],[EPI_DGN_ANTIC]],1)</f>
        <v>#VALUE!</v>
      </c>
      <c r="C1051" s="10" t="e">
        <f>LEFT(Table1[[#This Row],[EPI_DGN_ANTIC]],2)</f>
        <v>#VALUE!</v>
      </c>
      <c r="D1051" s="10" t="s">
        <v>2027</v>
      </c>
      <c r="E1051" s="10">
        <v>1</v>
      </c>
      <c r="F1051" s="10" t="s">
        <v>2028</v>
      </c>
      <c r="G1051" s="10"/>
      <c r="H1051" s="31">
        <v>358</v>
      </c>
      <c r="I1051" s="7" t="s">
        <v>2007</v>
      </c>
    </row>
    <row r="1052" spans="1:9" hidden="1">
      <c r="A1052" s="31">
        <f t="shared" si="5"/>
        <v>1050</v>
      </c>
      <c r="B1052" s="10" t="e">
        <f>LEFT(Table1[[#This Row],[EPI_DGN_ANTIC]],1)</f>
        <v>#VALUE!</v>
      </c>
      <c r="C1052" s="10" t="e">
        <f>LEFT(Table1[[#This Row],[EPI_DGN_ANTIC]],2)</f>
        <v>#VALUE!</v>
      </c>
      <c r="D1052" s="10" t="s">
        <v>1680</v>
      </c>
      <c r="E1052" s="10">
        <v>0</v>
      </c>
      <c r="F1052" s="10"/>
      <c r="G1052" s="10"/>
      <c r="H1052" s="31">
        <v>359</v>
      </c>
      <c r="I1052" s="7" t="s">
        <v>2029</v>
      </c>
    </row>
    <row r="1053" spans="1:9" hidden="1">
      <c r="A1053" s="31">
        <f t="shared" si="5"/>
        <v>1051</v>
      </c>
      <c r="B1053" s="10" t="e">
        <f>LEFT(Table1[[#This Row],[EPI_DGN_ANTIC]],1)</f>
        <v>#VALUE!</v>
      </c>
      <c r="C1053" s="10" t="e">
        <f>LEFT(Table1[[#This Row],[EPI_DGN_ANTIC]],2)</f>
        <v>#VALUE!</v>
      </c>
      <c r="D1053" s="10" t="s">
        <v>1681</v>
      </c>
      <c r="E1053" s="10">
        <v>1</v>
      </c>
      <c r="F1053" s="10" t="s">
        <v>2030</v>
      </c>
      <c r="G1053" s="10"/>
      <c r="H1053" s="31">
        <v>360</v>
      </c>
      <c r="I1053" s="7" t="s">
        <v>1639</v>
      </c>
    </row>
    <row r="1054" spans="1:9" hidden="1">
      <c r="A1054" s="31">
        <f t="shared" si="5"/>
        <v>1052</v>
      </c>
      <c r="B1054" s="10" t="e">
        <f>LEFT(Table1[[#This Row],[EPI_DGN_ANTIC]],1)</f>
        <v>#VALUE!</v>
      </c>
      <c r="C1054" s="10" t="e">
        <f>LEFT(Table1[[#This Row],[EPI_DGN_ANTIC]],2)</f>
        <v>#VALUE!</v>
      </c>
      <c r="D1054" s="10" t="s">
        <v>2031</v>
      </c>
      <c r="E1054" s="10">
        <v>0</v>
      </c>
      <c r="F1054" s="10"/>
      <c r="G1054" s="10"/>
      <c r="H1054" s="31">
        <v>361</v>
      </c>
      <c r="I1054" s="7" t="s">
        <v>1977</v>
      </c>
    </row>
    <row r="1055" spans="1:9" hidden="1">
      <c r="A1055" s="31">
        <f t="shared" si="5"/>
        <v>1053</v>
      </c>
      <c r="B1055" s="10" t="e">
        <f>LEFT(Table1[[#This Row],[EPI_DGN_ANTIC]],1)</f>
        <v>#VALUE!</v>
      </c>
      <c r="C1055" s="10" t="e">
        <f>LEFT(Table1[[#This Row],[EPI_DGN_ANTIC]],2)</f>
        <v>#VALUE!</v>
      </c>
      <c r="D1055" s="10" t="s">
        <v>2032</v>
      </c>
      <c r="E1055" s="10">
        <v>0</v>
      </c>
      <c r="F1055" s="10"/>
      <c r="G1055" s="10"/>
      <c r="H1055" s="31">
        <v>362</v>
      </c>
      <c r="I1055" s="7" t="s">
        <v>2033</v>
      </c>
    </row>
    <row r="1056" spans="1:9" hidden="1">
      <c r="A1056" s="31">
        <f t="shared" si="5"/>
        <v>1054</v>
      </c>
      <c r="B1056" s="10" t="e">
        <f>LEFT(Table1[[#This Row],[EPI_DGN_ANTIC]],1)</f>
        <v>#VALUE!</v>
      </c>
      <c r="C1056" s="10" t="e">
        <f>LEFT(Table1[[#This Row],[EPI_DGN_ANTIC]],2)</f>
        <v>#VALUE!</v>
      </c>
      <c r="D1056" s="10" t="s">
        <v>1687</v>
      </c>
      <c r="E1056" s="10">
        <v>1</v>
      </c>
      <c r="F1056" s="10" t="s">
        <v>2034</v>
      </c>
      <c r="G1056" s="10"/>
      <c r="H1056" s="31">
        <v>363</v>
      </c>
      <c r="I1056" s="7" t="s">
        <v>2035</v>
      </c>
    </row>
    <row r="1057" spans="1:9" hidden="1">
      <c r="A1057" s="31">
        <f t="shared" si="5"/>
        <v>1055</v>
      </c>
      <c r="B1057" s="10" t="e">
        <f>LEFT(Table1[[#This Row],[EPI_DGN_ANTIC]],1)</f>
        <v>#VALUE!</v>
      </c>
      <c r="C1057" s="10" t="e">
        <f>LEFT(Table1[[#This Row],[EPI_DGN_ANTIC]],2)</f>
        <v>#VALUE!</v>
      </c>
      <c r="D1057" s="10" t="s">
        <v>2036</v>
      </c>
      <c r="E1057" s="10">
        <v>0</v>
      </c>
      <c r="F1057" s="10"/>
      <c r="G1057" s="10"/>
      <c r="H1057" s="31">
        <v>364</v>
      </c>
      <c r="I1057" s="7" t="s">
        <v>2037</v>
      </c>
    </row>
    <row r="1058" spans="1:9" hidden="1">
      <c r="A1058" s="31">
        <f t="shared" si="5"/>
        <v>1056</v>
      </c>
      <c r="B1058" s="10" t="e">
        <f>LEFT(Table1[[#This Row],[EPI_DGN_ANTIC]],1)</f>
        <v>#VALUE!</v>
      </c>
      <c r="C1058" s="10" t="e">
        <f>LEFT(Table1[[#This Row],[EPI_DGN_ANTIC]],2)</f>
        <v>#VALUE!</v>
      </c>
      <c r="D1058" s="10" t="s">
        <v>2038</v>
      </c>
      <c r="E1058" s="10">
        <v>0</v>
      </c>
      <c r="F1058" s="10"/>
      <c r="G1058" s="10"/>
      <c r="H1058" s="31">
        <v>365</v>
      </c>
      <c r="I1058" s="7" t="s">
        <v>1588</v>
      </c>
    </row>
    <row r="1059" spans="1:9" hidden="1">
      <c r="A1059" s="31">
        <f t="shared" si="5"/>
        <v>1057</v>
      </c>
      <c r="B1059" s="10" t="e">
        <f>LEFT(Table1[[#This Row],[EPI_DGN_ANTIC]],1)</f>
        <v>#VALUE!</v>
      </c>
      <c r="C1059" s="10" t="e">
        <f>LEFT(Table1[[#This Row],[EPI_DGN_ANTIC]],2)</f>
        <v>#VALUE!</v>
      </c>
      <c r="D1059" s="10" t="s">
        <v>1812</v>
      </c>
      <c r="E1059" s="10">
        <v>1</v>
      </c>
      <c r="F1059" s="10" t="s">
        <v>2039</v>
      </c>
      <c r="G1059" s="10"/>
      <c r="H1059" s="31">
        <v>366</v>
      </c>
      <c r="I1059" s="7" t="s">
        <v>2021</v>
      </c>
    </row>
    <row r="1060" spans="1:9" hidden="1">
      <c r="A1060" s="31">
        <f t="shared" si="5"/>
        <v>1058</v>
      </c>
      <c r="B1060" s="10" t="e">
        <f>LEFT(Table1[[#This Row],[EPI_DGN_ANTIC]],1)</f>
        <v>#VALUE!</v>
      </c>
      <c r="C1060" s="10" t="e">
        <f>LEFT(Table1[[#This Row],[EPI_DGN_ANTIC]],2)</f>
        <v>#VALUE!</v>
      </c>
      <c r="D1060" s="10" t="s">
        <v>2040</v>
      </c>
      <c r="E1060" s="10">
        <v>0</v>
      </c>
      <c r="F1060" s="10"/>
      <c r="G1060" s="10"/>
      <c r="H1060" s="31">
        <v>367</v>
      </c>
      <c r="I1060" s="7" t="s">
        <v>2033</v>
      </c>
    </row>
    <row r="1061" spans="1:9" hidden="1">
      <c r="A1061" s="31">
        <f t="shared" si="5"/>
        <v>1059</v>
      </c>
      <c r="B1061" s="10" t="e">
        <f>LEFT(Table1[[#This Row],[EPI_DGN_ANTIC]],1)</f>
        <v>#VALUE!</v>
      </c>
      <c r="C1061" s="10" t="e">
        <f>LEFT(Table1[[#This Row],[EPI_DGN_ANTIC]],2)</f>
        <v>#VALUE!</v>
      </c>
      <c r="D1061" s="10" t="s">
        <v>2041</v>
      </c>
      <c r="E1061" s="10">
        <v>0</v>
      </c>
      <c r="F1061" s="10"/>
      <c r="G1061" s="10"/>
      <c r="H1061" s="31">
        <v>368</v>
      </c>
      <c r="I1061" s="7" t="s">
        <v>2035</v>
      </c>
    </row>
    <row r="1062" spans="1:9" hidden="1">
      <c r="A1062" s="31">
        <f t="shared" si="5"/>
        <v>1060</v>
      </c>
      <c r="B1062" s="10" t="e">
        <f>LEFT(Table1[[#This Row],[EPI_DGN_ANTIC]],1)</f>
        <v>#VALUE!</v>
      </c>
      <c r="C1062" s="10" t="e">
        <f>LEFT(Table1[[#This Row],[EPI_DGN_ANTIC]],2)</f>
        <v>#VALUE!</v>
      </c>
      <c r="D1062" s="10" t="s">
        <v>2042</v>
      </c>
      <c r="E1062" s="10">
        <v>1</v>
      </c>
      <c r="F1062" s="10" t="s">
        <v>485</v>
      </c>
      <c r="G1062" s="10"/>
      <c r="H1062" s="31">
        <v>369</v>
      </c>
      <c r="I1062" s="7" t="s">
        <v>2037</v>
      </c>
    </row>
    <row r="1063" spans="1:9" hidden="1">
      <c r="A1063" s="31">
        <f t="shared" si="5"/>
        <v>1061</v>
      </c>
      <c r="B1063" s="10" t="e">
        <f>LEFT(Table1[[#This Row],[EPI_DGN_ANTIC]],1)</f>
        <v>#VALUE!</v>
      </c>
      <c r="C1063" s="10" t="e">
        <f>LEFT(Table1[[#This Row],[EPI_DGN_ANTIC]],2)</f>
        <v>#VALUE!</v>
      </c>
      <c r="D1063" s="10" t="s">
        <v>1680</v>
      </c>
      <c r="E1063" s="10">
        <v>1</v>
      </c>
      <c r="F1063" s="10" t="s">
        <v>2034</v>
      </c>
      <c r="G1063" s="10"/>
      <c r="H1063" s="31">
        <v>370</v>
      </c>
      <c r="I1063" s="7" t="s">
        <v>1588</v>
      </c>
    </row>
    <row r="1064" spans="1:9" hidden="1">
      <c r="A1064" s="31">
        <f t="shared" si="5"/>
        <v>1062</v>
      </c>
      <c r="B1064" s="10" t="e">
        <f>LEFT(Table1[[#This Row],[EPI_DGN_ANTIC]],1)</f>
        <v>#VALUE!</v>
      </c>
      <c r="C1064" s="10" t="e">
        <f>LEFT(Table1[[#This Row],[EPI_DGN_ANTIC]],2)</f>
        <v>#VALUE!</v>
      </c>
      <c r="D1064" s="10" t="s">
        <v>2041</v>
      </c>
      <c r="E1064" s="10">
        <v>1</v>
      </c>
      <c r="F1064" s="10" t="s">
        <v>2043</v>
      </c>
      <c r="G1064" s="10"/>
      <c r="H1064" s="31">
        <v>371</v>
      </c>
      <c r="I1064" s="7" t="s">
        <v>2037</v>
      </c>
    </row>
    <row r="1065" spans="1:9" hidden="1">
      <c r="A1065" s="31">
        <f t="shared" si="5"/>
        <v>1063</v>
      </c>
      <c r="B1065" s="10" t="e">
        <f>LEFT(Table1[[#This Row],[EPI_DGN_ANTIC]],1)</f>
        <v>#VALUE!</v>
      </c>
      <c r="C1065" s="10" t="e">
        <f>LEFT(Table1[[#This Row],[EPI_DGN_ANTIC]],2)</f>
        <v>#VALUE!</v>
      </c>
      <c r="D1065" s="10" t="s">
        <v>2044</v>
      </c>
      <c r="E1065" s="10">
        <v>0</v>
      </c>
      <c r="F1065" s="10"/>
      <c r="G1065" s="10"/>
      <c r="H1065" s="31">
        <v>372</v>
      </c>
      <c r="I1065" s="7" t="s">
        <v>2045</v>
      </c>
    </row>
    <row r="1066" spans="1:9" hidden="1">
      <c r="A1066" s="31">
        <f t="shared" si="5"/>
        <v>1064</v>
      </c>
      <c r="B1066" s="10" t="e">
        <f>LEFT(Table1[[#This Row],[EPI_DGN_ANTIC]],1)</f>
        <v>#VALUE!</v>
      </c>
      <c r="C1066" s="10" t="e">
        <f>LEFT(Table1[[#This Row],[EPI_DGN_ANTIC]],2)</f>
        <v>#VALUE!</v>
      </c>
      <c r="D1066" s="10" t="s">
        <v>1355</v>
      </c>
      <c r="E1066" s="10">
        <v>0</v>
      </c>
      <c r="F1066" s="10"/>
      <c r="G1066" s="10"/>
      <c r="H1066" s="31">
        <v>373</v>
      </c>
      <c r="I1066" s="7" t="s">
        <v>2046</v>
      </c>
    </row>
    <row r="1067" spans="1:9" hidden="1">
      <c r="A1067" s="31">
        <f t="shared" si="5"/>
        <v>1065</v>
      </c>
      <c r="B1067" s="10" t="e">
        <f>LEFT(Table1[[#This Row],[EPI_DGN_ANTIC]],1)</f>
        <v>#VALUE!</v>
      </c>
      <c r="C1067" s="10" t="e">
        <f>LEFT(Table1[[#This Row],[EPI_DGN_ANTIC]],2)</f>
        <v>#VALUE!</v>
      </c>
      <c r="D1067" s="10" t="s">
        <v>2047</v>
      </c>
      <c r="E1067" s="10">
        <v>1</v>
      </c>
      <c r="F1067" s="10" t="s">
        <v>1738</v>
      </c>
      <c r="G1067" s="10"/>
      <c r="H1067" s="31">
        <v>374</v>
      </c>
      <c r="I1067" s="7" t="s">
        <v>2048</v>
      </c>
    </row>
    <row r="1068" spans="1:9" hidden="1">
      <c r="A1068" s="31">
        <f t="shared" si="5"/>
        <v>1066</v>
      </c>
      <c r="B1068" s="10" t="e">
        <f>LEFT(Table1[[#This Row],[EPI_DGN_ANTIC]],1)</f>
        <v>#VALUE!</v>
      </c>
      <c r="C1068" s="10" t="e">
        <f>LEFT(Table1[[#This Row],[EPI_DGN_ANTIC]],2)</f>
        <v>#VALUE!</v>
      </c>
      <c r="D1068" s="10" t="s">
        <v>2049</v>
      </c>
      <c r="E1068" s="10">
        <v>1</v>
      </c>
      <c r="F1068" s="10" t="s">
        <v>2050</v>
      </c>
      <c r="G1068" s="10"/>
      <c r="H1068" s="31">
        <v>375</v>
      </c>
      <c r="I1068" s="7" t="s">
        <v>2051</v>
      </c>
    </row>
    <row r="1069" spans="1:9" hidden="1">
      <c r="A1069" s="31">
        <f t="shared" si="5"/>
        <v>1067</v>
      </c>
      <c r="B1069" s="10" t="e">
        <f>LEFT(Table1[[#This Row],[EPI_DGN_ANTIC]],1)</f>
        <v>#VALUE!</v>
      </c>
      <c r="C1069" s="10" t="e">
        <f>LEFT(Table1[[#This Row],[EPI_DGN_ANTIC]],2)</f>
        <v>#VALUE!</v>
      </c>
      <c r="D1069" s="10" t="s">
        <v>2052</v>
      </c>
      <c r="E1069" s="10">
        <v>1</v>
      </c>
      <c r="F1069" s="10" t="s">
        <v>2053</v>
      </c>
      <c r="G1069" s="10"/>
      <c r="H1069" s="31">
        <v>376</v>
      </c>
      <c r="I1069" s="7" t="s">
        <v>2054</v>
      </c>
    </row>
    <row r="1070" spans="1:9" hidden="1">
      <c r="A1070" s="31">
        <f t="shared" si="5"/>
        <v>1068</v>
      </c>
      <c r="B1070" s="10" t="e">
        <f>LEFT(Table1[[#This Row],[EPI_DGN_ANTIC]],1)</f>
        <v>#VALUE!</v>
      </c>
      <c r="C1070" s="10" t="e">
        <f>LEFT(Table1[[#This Row],[EPI_DGN_ANTIC]],2)</f>
        <v>#VALUE!</v>
      </c>
      <c r="D1070" s="10" t="s">
        <v>2055</v>
      </c>
      <c r="E1070" s="10">
        <v>1</v>
      </c>
      <c r="F1070" s="10" t="s">
        <v>2056</v>
      </c>
      <c r="G1070" s="10"/>
      <c r="H1070" s="31">
        <v>377</v>
      </c>
      <c r="I1070" s="7" t="s">
        <v>2057</v>
      </c>
    </row>
    <row r="1071" spans="1:9" hidden="1">
      <c r="A1071" s="31">
        <f t="shared" si="5"/>
        <v>1069</v>
      </c>
      <c r="B1071" s="10" t="e">
        <f>LEFT(Table1[[#This Row],[EPI_DGN_ANTIC]],1)</f>
        <v>#VALUE!</v>
      </c>
      <c r="C1071" s="10" t="e">
        <f>LEFT(Table1[[#This Row],[EPI_DGN_ANTIC]],2)</f>
        <v>#VALUE!</v>
      </c>
      <c r="D1071" s="10" t="s">
        <v>2058</v>
      </c>
      <c r="E1071" s="10">
        <v>1</v>
      </c>
      <c r="F1071" s="10" t="s">
        <v>2059</v>
      </c>
      <c r="G1071" s="10"/>
      <c r="H1071" s="31">
        <v>378</v>
      </c>
      <c r="I1071" s="7" t="s">
        <v>2060</v>
      </c>
    </row>
    <row r="1072" spans="1:9" hidden="1">
      <c r="A1072" s="31">
        <f t="shared" si="5"/>
        <v>1070</v>
      </c>
      <c r="B1072" s="10" t="e">
        <f>LEFT(Table1[[#This Row],[EPI_DGN_ANTIC]],1)</f>
        <v>#VALUE!</v>
      </c>
      <c r="C1072" s="10" t="e">
        <f>LEFT(Table1[[#This Row],[EPI_DGN_ANTIC]],3)</f>
        <v>#VALUE!</v>
      </c>
      <c r="D1072" s="10" t="s">
        <v>2061</v>
      </c>
      <c r="E1072" s="10">
        <v>1</v>
      </c>
      <c r="F1072" s="10" t="s">
        <v>2062</v>
      </c>
      <c r="G1072" s="10"/>
      <c r="H1072" s="31">
        <v>379</v>
      </c>
      <c r="I1072" s="7" t="s">
        <v>2063</v>
      </c>
    </row>
    <row r="1073" spans="1:9" hidden="1">
      <c r="A1073" s="31">
        <f t="shared" si="5"/>
        <v>1071</v>
      </c>
      <c r="B1073" s="10" t="e">
        <f>LEFT(Table1[[#This Row],[EPI_DGN_ANTIC]],1)</f>
        <v>#VALUE!</v>
      </c>
      <c r="C1073" s="10" t="e">
        <f>LEFT(Table1[[#This Row],[EPI_DGN_ANTIC]],3)</f>
        <v>#VALUE!</v>
      </c>
      <c r="D1073" s="10" t="s">
        <v>2064</v>
      </c>
      <c r="E1073" s="10">
        <v>1</v>
      </c>
      <c r="F1073" s="10" t="s">
        <v>2065</v>
      </c>
      <c r="G1073" s="10"/>
      <c r="H1073" s="31">
        <v>380</v>
      </c>
      <c r="I1073" s="7" t="s">
        <v>1606</v>
      </c>
    </row>
    <row r="1074" spans="1:9" hidden="1">
      <c r="A1074" s="31">
        <f t="shared" si="5"/>
        <v>1072</v>
      </c>
      <c r="B1074" s="10" t="s">
        <v>1355</v>
      </c>
      <c r="C1074" s="10" t="e">
        <f>LEFT(Table1[[#This Row],[EPI_DGN_ANTIC]],1)</f>
        <v>#VALUE!</v>
      </c>
      <c r="D1074" s="10" t="s">
        <v>2066</v>
      </c>
      <c r="E1074" s="10">
        <v>0</v>
      </c>
      <c r="F1074" s="10"/>
      <c r="G1074" s="10"/>
      <c r="H1074" s="31">
        <v>381</v>
      </c>
      <c r="I1074" s="7" t="s">
        <v>1588</v>
      </c>
    </row>
    <row r="1075" spans="1:9" hidden="1">
      <c r="A1075" s="31">
        <f t="shared" si="5"/>
        <v>1073</v>
      </c>
      <c r="B1075" s="10" t="s">
        <v>1355</v>
      </c>
      <c r="C1075" s="10" t="e">
        <f>LEFT(Table1[[#This Row],[EPI_DGN_ANTIC]],1)</f>
        <v>#VALUE!</v>
      </c>
      <c r="D1075" s="10" t="s">
        <v>2067</v>
      </c>
      <c r="E1075" s="10">
        <v>0</v>
      </c>
      <c r="F1075" s="10"/>
      <c r="G1075" s="10"/>
      <c r="H1075" s="31">
        <v>382</v>
      </c>
      <c r="I1075" s="7" t="s">
        <v>1570</v>
      </c>
    </row>
    <row r="1076" spans="1:9" hidden="1">
      <c r="A1076" s="31">
        <f t="shared" si="5"/>
        <v>1074</v>
      </c>
      <c r="B1076" s="10" t="e">
        <f>LEFT(Table1[[#This Row],[EPI_DGN_ANTIC]],1)</f>
        <v>#VALUE!</v>
      </c>
      <c r="C1076" s="10" t="e">
        <f>LEFT(Table1[[#This Row],[EPI_DGN_ANTIC]],2)</f>
        <v>#VALUE!</v>
      </c>
      <c r="D1076" s="10" t="s">
        <v>2068</v>
      </c>
      <c r="E1076" s="10">
        <v>1</v>
      </c>
      <c r="F1076" s="10" t="s">
        <v>2069</v>
      </c>
      <c r="G1076" s="10"/>
      <c r="H1076" s="31">
        <v>383</v>
      </c>
      <c r="I1076" s="7" t="s">
        <v>1570</v>
      </c>
    </row>
    <row r="1077" spans="1:9" hidden="1">
      <c r="A1077" s="31">
        <f t="shared" si="5"/>
        <v>1075</v>
      </c>
      <c r="B1077" s="10" t="e">
        <f>LEFT(Table1[[#This Row],[EPI_DGN_ANTIC]],1)</f>
        <v>#VALUE!</v>
      </c>
      <c r="C1077" s="10" t="e">
        <f>LEFT(Table1[[#This Row],[EPI_DGN_ANTIC]],3)</f>
        <v>#VALUE!</v>
      </c>
      <c r="D1077" s="10" t="s">
        <v>2070</v>
      </c>
      <c r="E1077" s="10">
        <v>0</v>
      </c>
      <c r="F1077" s="10"/>
      <c r="G1077" s="10"/>
      <c r="H1077" s="31">
        <v>384</v>
      </c>
      <c r="I1077" s="7" t="s">
        <v>240</v>
      </c>
    </row>
    <row r="1078" spans="1:9" hidden="1">
      <c r="A1078" s="31">
        <f t="shared" si="5"/>
        <v>1076</v>
      </c>
      <c r="B1078" s="10" t="e">
        <f>LEFT(Table1[[#This Row],[EPI_DGN_ANTIC]],1)</f>
        <v>#VALUE!</v>
      </c>
      <c r="C1078" s="10" t="e">
        <f>LEFT(Table1[[#This Row],[EPI_DGN_ANTIC]],3)</f>
        <v>#VALUE!</v>
      </c>
      <c r="D1078" s="10" t="s">
        <v>2071</v>
      </c>
      <c r="E1078" s="10">
        <v>1</v>
      </c>
      <c r="F1078" s="10" t="s">
        <v>2072</v>
      </c>
      <c r="G1078" s="10"/>
      <c r="H1078" s="31">
        <v>385</v>
      </c>
      <c r="I1078" s="7" t="s">
        <v>2073</v>
      </c>
    </row>
    <row r="1079" spans="1:9" hidden="1">
      <c r="A1079" s="31">
        <f t="shared" ref="A1079:A1142" si="6">A1078+1</f>
        <v>1077</v>
      </c>
      <c r="B1079" s="10" t="e">
        <f>LEFT(Table1[[#This Row],[EPI_DGN_ANTIC]],1)</f>
        <v>#VALUE!</v>
      </c>
      <c r="C1079" s="10" t="e">
        <f>LEFT(Table1[[#This Row],[EPI_DGN_ANTIC]],3)</f>
        <v>#VALUE!</v>
      </c>
      <c r="D1079" s="10" t="s">
        <v>2074</v>
      </c>
      <c r="E1079" s="10">
        <v>1</v>
      </c>
      <c r="F1079" s="10" t="s">
        <v>2075</v>
      </c>
      <c r="G1079" s="10"/>
      <c r="H1079" s="31">
        <v>386</v>
      </c>
      <c r="I1079" s="7" t="s">
        <v>2073</v>
      </c>
    </row>
    <row r="1080" spans="1:9" hidden="1">
      <c r="A1080" s="31">
        <f t="shared" si="6"/>
        <v>1078</v>
      </c>
      <c r="B1080" s="10" t="e">
        <f>LEFT(Table1[[#This Row],[EPI_DGN_ANTIC]],1)</f>
        <v>#VALUE!</v>
      </c>
      <c r="C1080" s="10" t="e">
        <f>LEFT(Table1[[#This Row],[EPI_DGN_ANTIC]],3)</f>
        <v>#VALUE!</v>
      </c>
      <c r="D1080" s="10" t="s">
        <v>2076</v>
      </c>
      <c r="E1080" s="10">
        <v>1</v>
      </c>
      <c r="F1080" s="10" t="s">
        <v>2077</v>
      </c>
      <c r="G1080" s="10"/>
      <c r="H1080" s="31">
        <v>387</v>
      </c>
      <c r="I1080" s="7" t="s">
        <v>2078</v>
      </c>
    </row>
    <row r="1081" spans="1:9" hidden="1">
      <c r="A1081" s="31">
        <f t="shared" si="6"/>
        <v>1079</v>
      </c>
      <c r="B1081" s="10" t="e">
        <f>LEFT(Table1[[#This Row],[EPI_DGN_ANTIC]],1)</f>
        <v>#VALUE!</v>
      </c>
      <c r="C1081" s="10" t="e">
        <f>LEFT(Table1[[#This Row],[EPI_DGN_ANTIC]],3)</f>
        <v>#VALUE!</v>
      </c>
      <c r="D1081" s="10" t="s">
        <v>2079</v>
      </c>
      <c r="E1081" s="10">
        <v>0</v>
      </c>
      <c r="F1081" s="10"/>
      <c r="G1081" s="10"/>
      <c r="H1081" s="31">
        <v>388</v>
      </c>
      <c r="I1081" s="7" t="s">
        <v>2080</v>
      </c>
    </row>
    <row r="1082" spans="1:9" hidden="1">
      <c r="A1082" s="31">
        <f t="shared" si="6"/>
        <v>1080</v>
      </c>
      <c r="B1082" s="10" t="e">
        <f>LEFT(Table1[[#This Row],[EPI_DGN_ANTIC]],1)</f>
        <v>#VALUE!</v>
      </c>
      <c r="C1082" s="10" t="e">
        <f>LEFT(Table1[[#This Row],[EPI_DGN_ANTIC]],3)</f>
        <v>#VALUE!</v>
      </c>
      <c r="D1082" s="10" t="s">
        <v>2081</v>
      </c>
      <c r="E1082" s="10">
        <v>1</v>
      </c>
      <c r="F1082" s="10" t="s">
        <v>2072</v>
      </c>
      <c r="G1082" s="10"/>
      <c r="H1082" s="31">
        <v>389</v>
      </c>
      <c r="I1082" s="7" t="s">
        <v>2082</v>
      </c>
    </row>
    <row r="1083" spans="1:9" hidden="1">
      <c r="A1083" s="31">
        <f t="shared" si="6"/>
        <v>1081</v>
      </c>
      <c r="B1083" s="10" t="e">
        <f>LEFT(Table1[[#This Row],[EPI_DGN_ANTIC]],1)</f>
        <v>#VALUE!</v>
      </c>
      <c r="C1083" s="10" t="e">
        <f>LEFT(Table1[[#This Row],[EPI_DGN_ANTIC]],3)</f>
        <v>#VALUE!</v>
      </c>
      <c r="D1083" s="10" t="s">
        <v>2083</v>
      </c>
      <c r="E1083" s="10">
        <v>1</v>
      </c>
      <c r="F1083" s="10" t="s">
        <v>2084</v>
      </c>
      <c r="G1083" s="10"/>
      <c r="H1083" s="31">
        <v>390</v>
      </c>
      <c r="I1083" s="7" t="s">
        <v>1898</v>
      </c>
    </row>
    <row r="1084" spans="1:9" hidden="1">
      <c r="A1084" s="31">
        <f t="shared" si="6"/>
        <v>1082</v>
      </c>
      <c r="B1084" s="10" t="e">
        <f>LEFT(Table1[[#This Row],[EPI_DGN_ANTIC]],1)</f>
        <v>#VALUE!</v>
      </c>
      <c r="C1084" s="10" t="e">
        <f>LEFT(Table1[[#This Row],[EPI_DGN_ANTIC]],3)</f>
        <v>#VALUE!</v>
      </c>
      <c r="D1084" s="10" t="s">
        <v>2085</v>
      </c>
      <c r="E1084" s="10">
        <v>1</v>
      </c>
      <c r="F1084" s="10" t="s">
        <v>2086</v>
      </c>
      <c r="G1084" s="10"/>
      <c r="H1084" s="31">
        <v>391</v>
      </c>
      <c r="I1084" s="7" t="s">
        <v>2087</v>
      </c>
    </row>
    <row r="1085" spans="1:9" hidden="1">
      <c r="A1085" s="31">
        <f t="shared" si="6"/>
        <v>1083</v>
      </c>
      <c r="B1085" s="10" t="e">
        <f>LEFT(Table1[[#This Row],[EPI_DGN_ANTIC]],1)</f>
        <v>#VALUE!</v>
      </c>
      <c r="C1085" s="10" t="e">
        <f>LEFT(Table1[[#This Row],[EPI_DGN_ANTIC]],3)</f>
        <v>#VALUE!</v>
      </c>
      <c r="D1085" s="10" t="s">
        <v>2088</v>
      </c>
      <c r="E1085" s="10">
        <v>1</v>
      </c>
      <c r="F1085" s="10" t="s">
        <v>2089</v>
      </c>
      <c r="G1085" s="10"/>
      <c r="H1085" s="31">
        <v>392</v>
      </c>
      <c r="I1085" s="7" t="s">
        <v>2090</v>
      </c>
    </row>
    <row r="1086" spans="1:9" hidden="1">
      <c r="A1086" s="31">
        <f t="shared" si="6"/>
        <v>1084</v>
      </c>
      <c r="B1086" s="10" t="s">
        <v>1632</v>
      </c>
      <c r="C1086" s="10" t="s">
        <v>2091</v>
      </c>
      <c r="D1086" s="10" t="s">
        <v>2092</v>
      </c>
      <c r="E1086" s="10">
        <v>1</v>
      </c>
      <c r="F1086" s="10" t="s">
        <v>2072</v>
      </c>
      <c r="G1086" s="32" t="s">
        <v>704</v>
      </c>
      <c r="H1086" s="31">
        <v>393</v>
      </c>
      <c r="I1086" s="7" t="s">
        <v>1100</v>
      </c>
    </row>
    <row r="1087" spans="1:9" hidden="1">
      <c r="A1087" s="31">
        <f t="shared" si="6"/>
        <v>1085</v>
      </c>
      <c r="B1087" s="10" t="s">
        <v>1632</v>
      </c>
      <c r="C1087" s="10" t="s">
        <v>2091</v>
      </c>
      <c r="D1087" s="10" t="s">
        <v>2093</v>
      </c>
      <c r="E1087" s="10">
        <v>1</v>
      </c>
      <c r="F1087" s="10" t="s">
        <v>2072</v>
      </c>
      <c r="G1087" s="32" t="s">
        <v>704</v>
      </c>
      <c r="H1087" s="31">
        <v>394</v>
      </c>
      <c r="I1087" s="7" t="s">
        <v>2094</v>
      </c>
    </row>
    <row r="1088" spans="1:9" hidden="1">
      <c r="A1088" s="31">
        <f t="shared" si="6"/>
        <v>1086</v>
      </c>
      <c r="B1088" s="10" t="e">
        <f>LEFT(Table1[[#This Row],[EPI_DGN_ANTIC]],1)</f>
        <v>#VALUE!</v>
      </c>
      <c r="C1088" s="10" t="e">
        <f>LEFT(Table1[[#This Row],[EPI_DGN_ANTIC]],3)</f>
        <v>#VALUE!</v>
      </c>
      <c r="D1088" s="10" t="s">
        <v>2095</v>
      </c>
      <c r="E1088" s="10">
        <v>1</v>
      </c>
      <c r="F1088" s="10" t="s">
        <v>1810</v>
      </c>
      <c r="G1088" s="10"/>
      <c r="H1088" s="31">
        <v>395</v>
      </c>
      <c r="I1088" s="7" t="s">
        <v>2096</v>
      </c>
    </row>
    <row r="1089" spans="1:9" hidden="1">
      <c r="A1089" s="31">
        <f t="shared" si="6"/>
        <v>1087</v>
      </c>
      <c r="B1089" s="10" t="s">
        <v>1632</v>
      </c>
      <c r="C1089" s="10" t="s">
        <v>2070</v>
      </c>
      <c r="D1089" s="10" t="s">
        <v>2097</v>
      </c>
      <c r="E1089" s="10">
        <v>1</v>
      </c>
      <c r="F1089" s="10" t="s">
        <v>1810</v>
      </c>
      <c r="G1089" s="24" t="s">
        <v>786</v>
      </c>
      <c r="H1089" s="31">
        <v>396</v>
      </c>
      <c r="I1089" s="7" t="s">
        <v>2046</v>
      </c>
    </row>
    <row r="1090" spans="1:9" hidden="1">
      <c r="A1090" s="31">
        <f t="shared" si="6"/>
        <v>1088</v>
      </c>
      <c r="B1090" s="10" t="e">
        <f>LEFT(Table1[[#This Row],[EPI_DGN_ANTIC]],1)</f>
        <v>#VALUE!</v>
      </c>
      <c r="C1090" s="10" t="e">
        <f>LEFT(Table1[[#This Row],[EPI_DGN_ANTIC]],3)</f>
        <v>#VALUE!</v>
      </c>
      <c r="D1090" s="10" t="s">
        <v>2098</v>
      </c>
      <c r="E1090" s="10">
        <v>0</v>
      </c>
      <c r="F1090" s="10"/>
      <c r="G1090" s="10"/>
      <c r="H1090" s="31">
        <v>397</v>
      </c>
      <c r="I1090" s="7" t="s">
        <v>2099</v>
      </c>
    </row>
    <row r="1091" spans="1:9" hidden="1">
      <c r="A1091" s="31">
        <f t="shared" si="6"/>
        <v>1089</v>
      </c>
      <c r="B1091" s="10" t="e">
        <f>LEFT(Table1[[#This Row],[EPI_DGN_ANTIC]],1)</f>
        <v>#VALUE!</v>
      </c>
      <c r="C1091" s="10" t="e">
        <f>LEFT(Table1[[#This Row],[EPI_DGN_ANTIC]],3)</f>
        <v>#VALUE!</v>
      </c>
      <c r="D1091" s="10" t="s">
        <v>2091</v>
      </c>
      <c r="E1091" s="10">
        <v>0</v>
      </c>
      <c r="F1091" s="10"/>
      <c r="G1091" s="10"/>
      <c r="H1091" s="31">
        <v>398</v>
      </c>
      <c r="I1091" s="7" t="s">
        <v>980</v>
      </c>
    </row>
    <row r="1092" spans="1:9" hidden="1">
      <c r="A1092" s="31">
        <f t="shared" si="6"/>
        <v>1090</v>
      </c>
      <c r="B1092" s="10" t="e">
        <f>LEFT(Table1[[#This Row],[EPI_DGN_ANTIC]],1)</f>
        <v>#VALUE!</v>
      </c>
      <c r="C1092" s="10" t="e">
        <f>LEFT(Table1[[#This Row],[EPI_DGN_ANTIC]],3)</f>
        <v>#VALUE!</v>
      </c>
      <c r="D1092" s="10" t="s">
        <v>2100</v>
      </c>
      <c r="E1092" s="10">
        <v>0</v>
      </c>
      <c r="F1092" s="10"/>
      <c r="G1092" s="10"/>
      <c r="H1092" s="31">
        <v>399</v>
      </c>
      <c r="I1092" s="7" t="s">
        <v>2101</v>
      </c>
    </row>
    <row r="1093" spans="1:9" hidden="1">
      <c r="A1093" s="31">
        <f t="shared" si="6"/>
        <v>1091</v>
      </c>
      <c r="B1093" s="10" t="s">
        <v>1632</v>
      </c>
      <c r="C1093" s="10" t="s">
        <v>2091</v>
      </c>
      <c r="D1093" s="10" t="s">
        <v>2102</v>
      </c>
      <c r="E1093" s="10">
        <v>1</v>
      </c>
      <c r="F1093" s="10" t="s">
        <v>2103</v>
      </c>
      <c r="G1093" s="32" t="s">
        <v>704</v>
      </c>
      <c r="H1093" s="31">
        <v>400</v>
      </c>
      <c r="I1093" s="7" t="s">
        <v>2104</v>
      </c>
    </row>
    <row r="1094" spans="1:9" hidden="1">
      <c r="A1094" s="31">
        <f t="shared" si="6"/>
        <v>1092</v>
      </c>
      <c r="B1094" s="10" t="s">
        <v>1632</v>
      </c>
      <c r="C1094" s="10" t="s">
        <v>2091</v>
      </c>
      <c r="D1094" s="10" t="s">
        <v>2105</v>
      </c>
      <c r="E1094" s="10">
        <v>1</v>
      </c>
      <c r="F1094" s="10" t="s">
        <v>2103</v>
      </c>
      <c r="G1094" s="32" t="s">
        <v>704</v>
      </c>
      <c r="H1094" s="31">
        <v>401</v>
      </c>
      <c r="I1094" s="7" t="s">
        <v>2101</v>
      </c>
    </row>
    <row r="1095" spans="1:9" hidden="1">
      <c r="A1095" s="31">
        <f t="shared" si="6"/>
        <v>1093</v>
      </c>
      <c r="B1095" s="10" t="e">
        <f>LEFT(Table1[[#This Row],[EPI_DGN_ANTIC]],1)</f>
        <v>#VALUE!</v>
      </c>
      <c r="C1095" s="10" t="e">
        <f>LEFT(Table1[[#This Row],[EPI_DGN_ANTIC]],3)</f>
        <v>#VALUE!</v>
      </c>
      <c r="D1095" s="10" t="s">
        <v>2070</v>
      </c>
      <c r="E1095" s="10">
        <v>1</v>
      </c>
      <c r="F1095" s="10" t="s">
        <v>2072</v>
      </c>
      <c r="G1095" s="10"/>
      <c r="H1095" s="31">
        <v>402</v>
      </c>
      <c r="I1095" s="7" t="s">
        <v>2106</v>
      </c>
    </row>
    <row r="1096" spans="1:9" hidden="1">
      <c r="A1096" s="31">
        <f t="shared" si="6"/>
        <v>1094</v>
      </c>
      <c r="B1096" s="10" t="e">
        <f>LEFT(Table1[[#This Row],[EPI_DGN_ANTIC]],1)</f>
        <v>#VALUE!</v>
      </c>
      <c r="C1096" s="10" t="e">
        <f>LEFT(Table1[[#This Row],[EPI_DGN_ANTIC]],3)</f>
        <v>#VALUE!</v>
      </c>
      <c r="D1096" s="10" t="s">
        <v>2091</v>
      </c>
      <c r="E1096" s="10">
        <v>1</v>
      </c>
      <c r="F1096" s="10" t="s">
        <v>2103</v>
      </c>
      <c r="G1096" s="10"/>
      <c r="H1096" s="31">
        <v>403</v>
      </c>
      <c r="I1096" s="7" t="s">
        <v>2107</v>
      </c>
    </row>
    <row r="1097" spans="1:9" hidden="1">
      <c r="A1097" s="31">
        <f t="shared" si="6"/>
        <v>1095</v>
      </c>
      <c r="B1097" s="10" t="e">
        <f>LEFT(Table1[[#This Row],[EPI_DGN_ANTIC]],1)</f>
        <v>#VALUE!</v>
      </c>
      <c r="C1097" s="10" t="e">
        <f>LEFT(Table1[[#This Row],[EPI_DGN_ANTIC]],3)</f>
        <v>#VALUE!</v>
      </c>
      <c r="D1097" s="10" t="s">
        <v>2100</v>
      </c>
      <c r="E1097" s="10">
        <v>1</v>
      </c>
      <c r="F1097" s="10" t="s">
        <v>2089</v>
      </c>
      <c r="G1097" s="10"/>
      <c r="H1097" s="31">
        <v>404</v>
      </c>
      <c r="I1097" s="7" t="s">
        <v>2046</v>
      </c>
    </row>
    <row r="1098" spans="1:9" hidden="1">
      <c r="A1098" s="31">
        <f t="shared" si="6"/>
        <v>1096</v>
      </c>
      <c r="B1098" s="10" t="e">
        <f>LEFT(Table1[[#This Row],[EPI_DGN_ANTIC]],1)</f>
        <v>#VALUE!</v>
      </c>
      <c r="C1098" s="10" t="e">
        <f>LEFT(Table1[[#This Row],[EPI_DGN_ANTIC]],3)</f>
        <v>#VALUE!</v>
      </c>
      <c r="D1098" s="10" t="s">
        <v>2079</v>
      </c>
      <c r="E1098" s="10">
        <v>1</v>
      </c>
      <c r="F1098" s="10" t="s">
        <v>2084</v>
      </c>
      <c r="G1098" s="10"/>
      <c r="H1098" s="31">
        <v>405</v>
      </c>
      <c r="I1098" s="7" t="s">
        <v>2108</v>
      </c>
    </row>
    <row r="1099" spans="1:9" hidden="1">
      <c r="A1099" s="31">
        <f t="shared" si="6"/>
        <v>1097</v>
      </c>
      <c r="B1099" s="10" t="s">
        <v>1632</v>
      </c>
      <c r="C1099" s="10" t="s">
        <v>2098</v>
      </c>
      <c r="D1099" s="10" t="s">
        <v>2109</v>
      </c>
      <c r="E1099" s="10">
        <v>1</v>
      </c>
      <c r="F1099" s="10" t="s">
        <v>2075</v>
      </c>
      <c r="G1099" s="24" t="s">
        <v>786</v>
      </c>
      <c r="H1099" s="31">
        <v>406</v>
      </c>
      <c r="I1099" s="7" t="s">
        <v>2110</v>
      </c>
    </row>
    <row r="1100" spans="1:9" hidden="1">
      <c r="A1100" s="31">
        <f t="shared" si="6"/>
        <v>1098</v>
      </c>
      <c r="B1100" s="10" t="s">
        <v>1632</v>
      </c>
      <c r="C1100" s="10" t="s">
        <v>2070</v>
      </c>
      <c r="D1100" s="10" t="s">
        <v>2111</v>
      </c>
      <c r="E1100" s="10">
        <v>1</v>
      </c>
      <c r="F1100" s="10" t="s">
        <v>2072</v>
      </c>
      <c r="G1100" s="32" t="s">
        <v>704</v>
      </c>
      <c r="H1100" s="31">
        <v>407</v>
      </c>
      <c r="I1100" s="7" t="s">
        <v>2112</v>
      </c>
    </row>
    <row r="1101" spans="1:9" hidden="1">
      <c r="A1101" s="31">
        <f t="shared" si="6"/>
        <v>1099</v>
      </c>
      <c r="B1101" s="10" t="s">
        <v>1632</v>
      </c>
      <c r="C1101" s="10" t="s">
        <v>1727</v>
      </c>
      <c r="D1101" s="10" t="s">
        <v>2113</v>
      </c>
      <c r="E1101" s="10">
        <v>1</v>
      </c>
      <c r="F1101" s="10" t="s">
        <v>1730</v>
      </c>
      <c r="G1101" s="24" t="s">
        <v>897</v>
      </c>
      <c r="H1101" s="31">
        <v>408</v>
      </c>
      <c r="I1101" s="7" t="s">
        <v>2114</v>
      </c>
    </row>
    <row r="1102" spans="1:9" hidden="1">
      <c r="A1102" s="31">
        <f t="shared" si="6"/>
        <v>1100</v>
      </c>
      <c r="B1102" s="10" t="s">
        <v>1632</v>
      </c>
      <c r="C1102" s="10" t="s">
        <v>2098</v>
      </c>
      <c r="D1102" s="10" t="s">
        <v>2115</v>
      </c>
      <c r="E1102" s="10">
        <v>1</v>
      </c>
      <c r="F1102" s="10" t="s">
        <v>2077</v>
      </c>
      <c r="G1102" s="24" t="s">
        <v>786</v>
      </c>
      <c r="H1102" s="31">
        <v>409</v>
      </c>
      <c r="I1102" s="7" t="s">
        <v>2116</v>
      </c>
    </row>
    <row r="1103" spans="1:9" hidden="1">
      <c r="A1103" s="31">
        <f t="shared" si="6"/>
        <v>1101</v>
      </c>
      <c r="B1103" s="10" t="e">
        <f>LEFT(Table1[[#This Row],[EPI_DGN_ANTIC]],1)</f>
        <v>#VALUE!</v>
      </c>
      <c r="C1103" s="10" t="e">
        <f>LEFT(Table1[[#This Row],[EPI_DGN_ANTIC]],2)</f>
        <v>#VALUE!</v>
      </c>
      <c r="D1103" s="10" t="s">
        <v>1632</v>
      </c>
      <c r="E1103" s="10">
        <v>1</v>
      </c>
      <c r="F1103" s="10" t="s">
        <v>2117</v>
      </c>
      <c r="G1103" s="10"/>
      <c r="H1103" s="31">
        <v>410</v>
      </c>
      <c r="I1103" s="7" t="s">
        <v>2118</v>
      </c>
    </row>
    <row r="1104" spans="1:9" hidden="1">
      <c r="A1104" s="31">
        <f t="shared" si="6"/>
        <v>1102</v>
      </c>
      <c r="B1104" s="10" t="e">
        <f>LEFT(Table1[[#This Row],[EPI_DGN_ANTIC]],1)</f>
        <v>#VALUE!</v>
      </c>
      <c r="C1104" s="10" t="e">
        <f>LEFT(Table1[[#This Row],[EPI_DGN_ANTIC]],3)</f>
        <v>#VALUE!</v>
      </c>
      <c r="D1104" s="10" t="s">
        <v>2119</v>
      </c>
      <c r="E1104" s="10">
        <v>0</v>
      </c>
      <c r="F1104" s="10"/>
      <c r="G1104" s="10"/>
      <c r="H1104" s="31">
        <v>411</v>
      </c>
      <c r="I1104" s="7" t="s">
        <v>2035</v>
      </c>
    </row>
    <row r="1105" spans="1:9" hidden="1">
      <c r="A1105" s="31">
        <f t="shared" si="6"/>
        <v>1103</v>
      </c>
      <c r="B1105" s="10" t="e">
        <f>LEFT(Table1[[#This Row],[EPI_DGN_ANTIC]],1)</f>
        <v>#VALUE!</v>
      </c>
      <c r="C1105" s="10" t="e">
        <f>LEFT(Table1[[#This Row],[EPI_DGN_ANTIC]],2)</f>
        <v>#VALUE!</v>
      </c>
      <c r="D1105" s="10" t="s">
        <v>2120</v>
      </c>
      <c r="E1105" s="10">
        <v>1</v>
      </c>
      <c r="F1105" s="10" t="s">
        <v>2121</v>
      </c>
      <c r="G1105" s="10"/>
      <c r="H1105" s="31">
        <v>412</v>
      </c>
      <c r="I1105" s="7" t="s">
        <v>2122</v>
      </c>
    </row>
    <row r="1106" spans="1:9" hidden="1">
      <c r="A1106" s="31">
        <f t="shared" si="6"/>
        <v>1104</v>
      </c>
      <c r="B1106" s="10" t="e">
        <f>LEFT(Table1[[#This Row],[EPI_DGN_ANTIC]],1)</f>
        <v>#VALUE!</v>
      </c>
      <c r="C1106" s="10" t="e">
        <f>LEFT(Table1[[#This Row],[EPI_DGN_ANTIC]],2)</f>
        <v>#VALUE!</v>
      </c>
      <c r="D1106" s="10" t="s">
        <v>2123</v>
      </c>
      <c r="E1106" s="10">
        <v>1</v>
      </c>
      <c r="F1106" s="10" t="s">
        <v>2124</v>
      </c>
      <c r="G1106" s="10"/>
      <c r="H1106" s="31">
        <v>413</v>
      </c>
      <c r="I1106" s="7" t="s">
        <v>2125</v>
      </c>
    </row>
    <row r="1107" spans="1:9" hidden="1">
      <c r="A1107" s="31">
        <f t="shared" si="6"/>
        <v>1105</v>
      </c>
      <c r="B1107" s="10" t="s">
        <v>1355</v>
      </c>
      <c r="C1107" s="10" t="e">
        <f>LEFT(Table1[[#This Row],[EPI_DGN_ANTIC]],1)</f>
        <v>#VALUE!</v>
      </c>
      <c r="D1107" s="10" t="s">
        <v>2126</v>
      </c>
      <c r="E1107" s="10">
        <v>0</v>
      </c>
      <c r="F1107" s="10"/>
      <c r="G1107" s="10"/>
      <c r="H1107" s="31">
        <v>414</v>
      </c>
      <c r="I1107" s="7" t="s">
        <v>2127</v>
      </c>
    </row>
    <row r="1108" spans="1:9" hidden="1">
      <c r="A1108" s="31">
        <f t="shared" si="6"/>
        <v>1106</v>
      </c>
      <c r="B1108" s="10" t="s">
        <v>1355</v>
      </c>
      <c r="C1108" s="10" t="e">
        <f>LEFT(Table1[[#This Row],[EPI_DGN_ANTIC]],2)</f>
        <v>#VALUE!</v>
      </c>
      <c r="D1108" s="10" t="s">
        <v>2128</v>
      </c>
      <c r="E1108" s="10">
        <v>0</v>
      </c>
      <c r="F1108" s="10"/>
      <c r="G1108" s="10"/>
      <c r="H1108" s="31">
        <v>415</v>
      </c>
      <c r="I1108" s="7" t="s">
        <v>2129</v>
      </c>
    </row>
    <row r="1109" spans="1:9" hidden="1">
      <c r="A1109" s="31">
        <f t="shared" si="6"/>
        <v>1107</v>
      </c>
      <c r="B1109" s="10" t="s">
        <v>1355</v>
      </c>
      <c r="C1109" s="10" t="e">
        <f>LEFT(Table1[[#This Row],[EPI_DGN_ANTIC]],1)</f>
        <v>#VALUE!</v>
      </c>
      <c r="D1109" s="10" t="s">
        <v>2130</v>
      </c>
      <c r="E1109" s="10">
        <v>0</v>
      </c>
      <c r="F1109" s="10"/>
      <c r="G1109" s="10"/>
      <c r="H1109" s="31">
        <v>416</v>
      </c>
      <c r="I1109" s="7" t="s">
        <v>2129</v>
      </c>
    </row>
    <row r="1110" spans="1:9" hidden="1">
      <c r="A1110" s="31">
        <f t="shared" si="6"/>
        <v>1108</v>
      </c>
      <c r="B1110" s="10" t="s">
        <v>1355</v>
      </c>
      <c r="C1110" s="10" t="e">
        <f>LEFT(Table1[[#This Row],[EPI_DGN_ANTIC]],2)</f>
        <v>#VALUE!</v>
      </c>
      <c r="D1110" s="10" t="s">
        <v>2131</v>
      </c>
      <c r="E1110" s="10">
        <v>0</v>
      </c>
      <c r="F1110" s="10"/>
      <c r="G1110" s="10"/>
      <c r="H1110" s="31">
        <v>417</v>
      </c>
      <c r="I1110" s="7" t="s">
        <v>2073</v>
      </c>
    </row>
    <row r="1111" spans="1:9" hidden="1">
      <c r="A1111" s="31">
        <f t="shared" si="6"/>
        <v>1109</v>
      </c>
      <c r="B1111" s="10" t="e">
        <f>LEFT(Table1[[#This Row],[EPI_DGN_ANTIC]],1)</f>
        <v>#VALUE!</v>
      </c>
      <c r="C1111" s="10" t="e">
        <f>LEFT(Table1[[#This Row],[EPI_DGN_ANTIC]],3)</f>
        <v>#VALUE!</v>
      </c>
      <c r="D1111" s="10" t="s">
        <v>2132</v>
      </c>
      <c r="E1111" s="10">
        <v>1</v>
      </c>
      <c r="F1111" s="10" t="s">
        <v>1738</v>
      </c>
      <c r="G1111" s="10"/>
      <c r="H1111" s="31">
        <v>418</v>
      </c>
      <c r="I1111" s="7" t="s">
        <v>2073</v>
      </c>
    </row>
    <row r="1112" spans="1:9" hidden="1">
      <c r="A1112" s="31">
        <f t="shared" si="6"/>
        <v>1110</v>
      </c>
      <c r="B1112" s="10" t="e">
        <f>LEFT(Table1[[#This Row],[EPI_DGN_ANTIC]],1)</f>
        <v>#VALUE!</v>
      </c>
      <c r="C1112" s="10" t="e">
        <f>LEFT(Table1[[#This Row],[EPI_DGN_ANTIC]],3)</f>
        <v>#VALUE!</v>
      </c>
      <c r="D1112" s="10" t="s">
        <v>2133</v>
      </c>
      <c r="E1112" s="10">
        <v>0</v>
      </c>
      <c r="F1112" s="10"/>
      <c r="G1112" s="10"/>
      <c r="H1112" s="31">
        <v>419</v>
      </c>
      <c r="I1112" s="7" t="s">
        <v>2134</v>
      </c>
    </row>
    <row r="1113" spans="1:9" hidden="1">
      <c r="A1113" s="31">
        <f t="shared" si="6"/>
        <v>1111</v>
      </c>
      <c r="B1113" s="10" t="e">
        <f>LEFT(Table1[[#This Row],[EPI_DGN_ANTIC]],1)</f>
        <v>#VALUE!</v>
      </c>
      <c r="C1113" s="10" t="e">
        <f>LEFT(Table1[[#This Row],[EPI_DGN_ANTIC]],3)</f>
        <v>#VALUE!</v>
      </c>
      <c r="D1113" s="10" t="s">
        <v>2135</v>
      </c>
      <c r="E1113" s="10">
        <v>1</v>
      </c>
      <c r="F1113" s="10" t="s">
        <v>2136</v>
      </c>
      <c r="G1113" s="10"/>
      <c r="H1113" s="31">
        <v>420</v>
      </c>
      <c r="I1113" s="7" t="s">
        <v>2137</v>
      </c>
    </row>
    <row r="1114" spans="1:9" hidden="1">
      <c r="A1114" s="31">
        <f t="shared" si="6"/>
        <v>1112</v>
      </c>
      <c r="B1114" s="10" t="e">
        <f>LEFT(Table1[[#This Row],[EPI_DGN_ANTIC]],1)</f>
        <v>#VALUE!</v>
      </c>
      <c r="C1114" s="10" t="e">
        <f>LEFT(Table1[[#This Row],[EPI_DGN_ANTIC]],3)</f>
        <v>#VALUE!</v>
      </c>
      <c r="D1114" s="10" t="s">
        <v>2138</v>
      </c>
      <c r="E1114" s="10">
        <v>1</v>
      </c>
      <c r="F1114" s="10" t="s">
        <v>2139</v>
      </c>
      <c r="G1114" s="10"/>
      <c r="H1114" s="31">
        <v>421</v>
      </c>
      <c r="I1114" s="7" t="s">
        <v>1974</v>
      </c>
    </row>
    <row r="1115" spans="1:9" hidden="1">
      <c r="A1115" s="31">
        <f t="shared" si="6"/>
        <v>1113</v>
      </c>
      <c r="B1115" s="10" t="s">
        <v>1632</v>
      </c>
      <c r="C1115" s="10" t="s">
        <v>2133</v>
      </c>
      <c r="D1115" s="10" t="s">
        <v>2140</v>
      </c>
      <c r="E1115" s="10">
        <v>1</v>
      </c>
      <c r="F1115" s="10" t="s">
        <v>2136</v>
      </c>
      <c r="G1115" s="24" t="s">
        <v>786</v>
      </c>
      <c r="H1115" s="31">
        <v>422</v>
      </c>
      <c r="I1115" s="7" t="s">
        <v>1570</v>
      </c>
    </row>
    <row r="1116" spans="1:9" hidden="1">
      <c r="A1116" s="31">
        <f t="shared" si="6"/>
        <v>1114</v>
      </c>
      <c r="B1116" s="10" t="s">
        <v>1632</v>
      </c>
      <c r="C1116" s="10" t="s">
        <v>2133</v>
      </c>
      <c r="D1116" s="10" t="s">
        <v>2141</v>
      </c>
      <c r="E1116" s="10">
        <v>1</v>
      </c>
      <c r="F1116" s="10" t="s">
        <v>2139</v>
      </c>
      <c r="G1116" s="24" t="s">
        <v>786</v>
      </c>
      <c r="H1116" s="31">
        <v>423</v>
      </c>
      <c r="I1116" s="7" t="s">
        <v>2142</v>
      </c>
    </row>
    <row r="1117" spans="1:9" hidden="1">
      <c r="A1117" s="31">
        <f t="shared" si="6"/>
        <v>1115</v>
      </c>
      <c r="B1117" s="10" t="e">
        <f>LEFT(Table1[[#This Row],[EPI_DGN_ANTIC]],1)</f>
        <v>#VALUE!</v>
      </c>
      <c r="C1117" s="10" t="e">
        <f>LEFT(Table1[[#This Row],[EPI_DGN_ANTIC]],3)</f>
        <v>#VALUE!</v>
      </c>
      <c r="D1117" s="10" t="s">
        <v>2143</v>
      </c>
      <c r="E1117" s="10">
        <v>1</v>
      </c>
      <c r="F1117" s="10" t="s">
        <v>2144</v>
      </c>
      <c r="G1117" s="10"/>
      <c r="H1117" s="31">
        <v>424</v>
      </c>
      <c r="I1117" s="7" t="s">
        <v>2145</v>
      </c>
    </row>
    <row r="1118" spans="1:9" hidden="1">
      <c r="A1118" s="31">
        <f t="shared" si="6"/>
        <v>1116</v>
      </c>
      <c r="B1118" s="10" t="s">
        <v>1632</v>
      </c>
      <c r="C1118" s="10" t="s">
        <v>2133</v>
      </c>
      <c r="D1118" s="10" t="s">
        <v>2146</v>
      </c>
      <c r="E1118" s="10">
        <v>1</v>
      </c>
      <c r="F1118" s="10" t="s">
        <v>2144</v>
      </c>
      <c r="G1118" s="24" t="s">
        <v>786</v>
      </c>
      <c r="H1118" s="31">
        <v>425</v>
      </c>
      <c r="I1118" s="7" t="s">
        <v>2147</v>
      </c>
    </row>
    <row r="1119" spans="1:9" hidden="1">
      <c r="A1119" s="31">
        <f t="shared" si="6"/>
        <v>1117</v>
      </c>
      <c r="B1119" s="10" t="e">
        <f>LEFT(Table1[[#This Row],[EPI_DGN_ANTIC]],1)</f>
        <v>#VALUE!</v>
      </c>
      <c r="C1119" s="10" t="e">
        <f>LEFT(Table1[[#This Row],[EPI_DGN_ANTIC]],2)</f>
        <v>#VALUE!</v>
      </c>
      <c r="D1119" s="10" t="s">
        <v>1649</v>
      </c>
      <c r="E1119" s="10">
        <v>0</v>
      </c>
      <c r="F1119" s="10"/>
      <c r="G1119" s="10"/>
      <c r="H1119" s="31">
        <v>426</v>
      </c>
      <c r="I1119" s="7" t="s">
        <v>2148</v>
      </c>
    </row>
    <row r="1120" spans="1:9" hidden="1">
      <c r="A1120" s="31">
        <f t="shared" si="6"/>
        <v>1118</v>
      </c>
      <c r="B1120" s="10" t="e">
        <f>LEFT(Table1[[#This Row],[EPI_DGN_ANTIC]],1)</f>
        <v>#VALUE!</v>
      </c>
      <c r="C1120" s="10" t="e">
        <f>LEFT(Table1[[#This Row],[EPI_DGN_ANTIC]],3)</f>
        <v>#VALUE!</v>
      </c>
      <c r="D1120" s="10" t="s">
        <v>2149</v>
      </c>
      <c r="E1120" s="10">
        <v>1</v>
      </c>
      <c r="F1120" s="10" t="s">
        <v>50</v>
      </c>
      <c r="G1120" s="10"/>
      <c r="H1120" s="31">
        <v>427</v>
      </c>
      <c r="I1120" s="7" t="s">
        <v>1588</v>
      </c>
    </row>
    <row r="1121" spans="1:9" hidden="1">
      <c r="A1121" s="31">
        <f t="shared" si="6"/>
        <v>1119</v>
      </c>
      <c r="B1121" s="10" t="e">
        <f>LEFT(Table1[[#This Row],[EPI_DGN_ANTIC]],1)</f>
        <v>#VALUE!</v>
      </c>
      <c r="C1121" s="10" t="e">
        <f>LEFT(Table1[[#This Row],[EPI_DGN_ANTIC]],2)</f>
        <v>#VALUE!</v>
      </c>
      <c r="D1121" s="10" t="s">
        <v>2150</v>
      </c>
      <c r="E1121" s="10">
        <v>1</v>
      </c>
      <c r="F1121" s="10" t="s">
        <v>1208</v>
      </c>
      <c r="G1121" s="10"/>
      <c r="H1121" s="31">
        <v>428</v>
      </c>
      <c r="I1121" s="7" t="s">
        <v>2151</v>
      </c>
    </row>
    <row r="1122" spans="1:9" hidden="1">
      <c r="A1122" s="31">
        <f t="shared" si="6"/>
        <v>1120</v>
      </c>
      <c r="B1122" s="10" t="e">
        <f>LEFT(Table1[[#This Row],[EPI_DGN_ANTIC]],1)</f>
        <v>#VALUE!</v>
      </c>
      <c r="C1122" s="10" t="e">
        <f>LEFT(Table1[[#This Row],[EPI_DGN_ANTIC]],2)</f>
        <v>#VALUE!</v>
      </c>
      <c r="D1122" s="10" t="s">
        <v>2152</v>
      </c>
      <c r="E1122" s="10">
        <v>1</v>
      </c>
      <c r="F1122" s="10" t="s">
        <v>1683</v>
      </c>
      <c r="G1122" s="10"/>
      <c r="H1122" s="31">
        <v>429</v>
      </c>
      <c r="I1122" s="7" t="s">
        <v>2153</v>
      </c>
    </row>
    <row r="1123" spans="1:9" hidden="1">
      <c r="A1123" s="31">
        <f t="shared" si="6"/>
        <v>1121</v>
      </c>
      <c r="B1123" s="10" t="e">
        <f>LEFT(Table1[[#This Row],[EPI_DGN_ANTIC]],1)</f>
        <v>#VALUE!</v>
      </c>
      <c r="C1123" s="10" t="e">
        <f>LEFT(Table1[[#This Row],[EPI_DGN_ANTIC]],2)</f>
        <v>#VALUE!</v>
      </c>
      <c r="D1123" s="10" t="s">
        <v>2154</v>
      </c>
      <c r="E1123" s="10">
        <v>1</v>
      </c>
      <c r="F1123" s="10" t="s">
        <v>1693</v>
      </c>
      <c r="G1123" s="10"/>
      <c r="H1123" s="31">
        <v>430</v>
      </c>
      <c r="I1123" s="7" t="s">
        <v>2155</v>
      </c>
    </row>
    <row r="1124" spans="1:9" hidden="1">
      <c r="A1124" s="31">
        <f t="shared" si="6"/>
        <v>1122</v>
      </c>
      <c r="B1124" s="10" t="s">
        <v>1355</v>
      </c>
      <c r="C1124" s="10" t="e">
        <f>LEFT(Table1[[#This Row],[EPI_DGN_ANTIC]],1)</f>
        <v>#VALUE!</v>
      </c>
      <c r="D1124" s="10" t="s">
        <v>549</v>
      </c>
      <c r="E1124" s="10">
        <v>0</v>
      </c>
      <c r="F1124" s="10"/>
      <c r="G1124" s="10"/>
      <c r="H1124" s="31">
        <v>431</v>
      </c>
      <c r="I1124" s="7" t="s">
        <v>2156</v>
      </c>
    </row>
    <row r="1125" spans="1:9" hidden="1">
      <c r="A1125" s="31">
        <f t="shared" si="6"/>
        <v>1123</v>
      </c>
      <c r="B1125" s="10" t="s">
        <v>1355</v>
      </c>
      <c r="C1125" s="10" t="e">
        <f>LEFT(Table1[[#This Row],[EPI_DGN_ANTIC]],1)</f>
        <v>#VALUE!</v>
      </c>
      <c r="D1125" s="10" t="s">
        <v>553</v>
      </c>
      <c r="E1125" s="10">
        <v>0</v>
      </c>
      <c r="F1125" s="10"/>
      <c r="G1125" s="10"/>
      <c r="H1125" s="31">
        <v>432</v>
      </c>
      <c r="I1125" s="7" t="s">
        <v>2157</v>
      </c>
    </row>
    <row r="1126" spans="1:9" hidden="1">
      <c r="A1126" s="31">
        <f t="shared" si="6"/>
        <v>1124</v>
      </c>
      <c r="B1126" s="10" t="s">
        <v>1355</v>
      </c>
      <c r="C1126" s="10" t="e">
        <f>LEFT(Table1[[#This Row],[EPI_DGN_ANTIC]],1)</f>
        <v>#VALUE!</v>
      </c>
      <c r="D1126" s="10" t="s">
        <v>555</v>
      </c>
      <c r="E1126" s="10">
        <v>0</v>
      </c>
      <c r="F1126" s="10"/>
      <c r="G1126" s="10"/>
      <c r="H1126" s="31">
        <v>433</v>
      </c>
      <c r="I1126" s="7" t="s">
        <v>2158</v>
      </c>
    </row>
    <row r="1127" spans="1:9" hidden="1">
      <c r="A1127" s="31">
        <f t="shared" si="6"/>
        <v>1125</v>
      </c>
      <c r="B1127" s="10" t="s">
        <v>1355</v>
      </c>
      <c r="C1127" s="10" t="e">
        <f>LEFT(Table1[[#This Row],[EPI_DGN_ANTIC]],1)</f>
        <v>#VALUE!</v>
      </c>
      <c r="D1127" s="10" t="s">
        <v>557</v>
      </c>
      <c r="E1127" s="10">
        <v>0</v>
      </c>
      <c r="F1127" s="10"/>
      <c r="G1127" s="10"/>
      <c r="H1127" s="31">
        <v>434</v>
      </c>
      <c r="I1127" s="7" t="s">
        <v>2159</v>
      </c>
    </row>
    <row r="1128" spans="1:9" hidden="1">
      <c r="A1128" s="31">
        <f t="shared" si="6"/>
        <v>1126</v>
      </c>
      <c r="B1128" s="10" t="s">
        <v>1355</v>
      </c>
      <c r="C1128" s="10" t="e">
        <f>LEFT(Table1[[#This Row],[EPI_DGN_ANTIC]],1)</f>
        <v>#VALUE!</v>
      </c>
      <c r="D1128" s="10" t="s">
        <v>867</v>
      </c>
      <c r="E1128" s="10">
        <v>0</v>
      </c>
      <c r="F1128" s="10"/>
      <c r="G1128" s="10"/>
      <c r="H1128" s="31">
        <v>435</v>
      </c>
      <c r="I1128" s="7" t="s">
        <v>2160</v>
      </c>
    </row>
    <row r="1129" spans="1:9" hidden="1">
      <c r="A1129" s="31">
        <f t="shared" si="6"/>
        <v>1127</v>
      </c>
      <c r="B1129" s="10" t="e">
        <f>LEFT(Table1[[#This Row],[EPI_DGN_ANTIC]],1)</f>
        <v>#VALUE!</v>
      </c>
      <c r="C1129" s="10" t="e">
        <f>LEFT(Table1[[#This Row],[EPI_DGN_ANTIC]],2)</f>
        <v>#VALUE!</v>
      </c>
      <c r="D1129" s="10" t="s">
        <v>1358</v>
      </c>
      <c r="E1129" s="10">
        <v>0</v>
      </c>
      <c r="F1129" s="10"/>
      <c r="G1129" s="10"/>
      <c r="H1129" s="31">
        <v>436</v>
      </c>
      <c r="I1129" s="7" t="s">
        <v>2161</v>
      </c>
    </row>
    <row r="1130" spans="1:9" hidden="1">
      <c r="A1130" s="31">
        <f t="shared" si="6"/>
        <v>1128</v>
      </c>
      <c r="B1130" s="10" t="e">
        <f>LEFT(Table1[[#This Row],[EPI_DGN_ANTIC]],1)</f>
        <v>#VALUE!</v>
      </c>
      <c r="C1130" s="10" t="e">
        <f>LEFT(Table1[[#This Row],[EPI_DGN_ANTIC]],2)</f>
        <v>#VALUE!</v>
      </c>
      <c r="D1130" s="10" t="s">
        <v>1358</v>
      </c>
      <c r="E1130" s="10">
        <v>0</v>
      </c>
      <c r="F1130" s="10"/>
      <c r="G1130" s="10"/>
      <c r="H1130" s="31">
        <v>437</v>
      </c>
      <c r="I1130" s="7" t="s">
        <v>2162</v>
      </c>
    </row>
    <row r="1131" spans="1:9" hidden="1">
      <c r="A1131" s="31">
        <f t="shared" si="6"/>
        <v>1129</v>
      </c>
      <c r="B1131" s="10" t="e">
        <f>LEFT(Table1[[#This Row],[EPI_DGN_ANTIC]],1)</f>
        <v>#VALUE!</v>
      </c>
      <c r="C1131" s="10" t="e">
        <f>LEFT(Table1[[#This Row],[EPI_DGN_ANTIC]],2)</f>
        <v>#VALUE!</v>
      </c>
      <c r="D1131" s="10" t="s">
        <v>2163</v>
      </c>
      <c r="E1131" s="10">
        <v>0</v>
      </c>
      <c r="F1131" s="10"/>
      <c r="G1131" s="10"/>
      <c r="H1131" s="31">
        <v>438</v>
      </c>
      <c r="I1131" s="7" t="s">
        <v>2164</v>
      </c>
    </row>
    <row r="1132" spans="1:9" hidden="1">
      <c r="A1132" s="31">
        <f t="shared" si="6"/>
        <v>1130</v>
      </c>
      <c r="B1132" s="10" t="e">
        <f>LEFT(Table1[[#This Row],[EPI_DGN_ANTIC]],1)</f>
        <v>#VALUE!</v>
      </c>
      <c r="C1132" s="10" t="e">
        <f>LEFT(Table1[[#This Row],[EPI_DGN_ANTIC]],2)</f>
        <v>#VALUE!</v>
      </c>
      <c r="D1132" s="10" t="s">
        <v>2165</v>
      </c>
      <c r="E1132" s="10">
        <v>0</v>
      </c>
      <c r="F1132" s="10"/>
      <c r="G1132" s="10"/>
      <c r="H1132" s="31">
        <v>439</v>
      </c>
      <c r="I1132" s="7" t="s">
        <v>2166</v>
      </c>
    </row>
    <row r="1133" spans="1:9" hidden="1">
      <c r="A1133" s="31">
        <f t="shared" si="6"/>
        <v>1131</v>
      </c>
      <c r="B1133" s="10" t="e">
        <f>LEFT(Table1[[#This Row],[EPI_DGN_ANTIC]],1)</f>
        <v>#VALUE!</v>
      </c>
      <c r="C1133" s="10" t="e">
        <f>LEFT(Table1[[#This Row],[EPI_DGN_ANTIC]],2)</f>
        <v>#VALUE!</v>
      </c>
      <c r="D1133" s="10" t="s">
        <v>2167</v>
      </c>
      <c r="E1133" s="10">
        <v>0</v>
      </c>
      <c r="F1133" s="10"/>
      <c r="G1133" s="10"/>
      <c r="H1133" s="31">
        <v>440</v>
      </c>
      <c r="I1133" s="7" t="s">
        <v>2168</v>
      </c>
    </row>
    <row r="1134" spans="1:9" hidden="1">
      <c r="A1134" s="31">
        <f t="shared" si="6"/>
        <v>1132</v>
      </c>
      <c r="B1134" s="10" t="e">
        <f>LEFT(Table1[[#This Row],[EPI_DGN_ANTIC]],1)</f>
        <v>#VALUE!</v>
      </c>
      <c r="C1134" s="10" t="e">
        <f>LEFT(Table1[[#This Row],[EPI_DGN_ANTIC]],2)</f>
        <v>#VALUE!</v>
      </c>
      <c r="D1134" s="10" t="s">
        <v>2169</v>
      </c>
      <c r="E1134" s="10">
        <v>0</v>
      </c>
      <c r="F1134" s="10"/>
      <c r="G1134" s="10"/>
      <c r="H1134" s="31">
        <v>441</v>
      </c>
      <c r="I1134" s="7" t="s">
        <v>2170</v>
      </c>
    </row>
    <row r="1135" spans="1:9" hidden="1">
      <c r="A1135" s="31">
        <f t="shared" si="6"/>
        <v>1133</v>
      </c>
      <c r="B1135" s="10" t="e">
        <f>LEFT(Table1[[#This Row],[EPI_DGN_ANTIC]],1)</f>
        <v>#VALUE!</v>
      </c>
      <c r="C1135" s="10" t="e">
        <f>LEFT(Table1[[#This Row],[EPI_DGN_ANTIC]],2)</f>
        <v>#VALUE!</v>
      </c>
      <c r="D1135" s="10" t="s">
        <v>1857</v>
      </c>
      <c r="E1135" s="10">
        <v>0</v>
      </c>
      <c r="F1135" s="10"/>
      <c r="G1135" s="10"/>
      <c r="H1135" s="31">
        <v>442</v>
      </c>
      <c r="I1135" s="7" t="s">
        <v>2017</v>
      </c>
    </row>
    <row r="1136" spans="1:9" hidden="1">
      <c r="A1136" s="31">
        <f t="shared" si="6"/>
        <v>1134</v>
      </c>
      <c r="B1136" s="10" t="e">
        <f>LEFT(Table1[[#This Row],[EPI_DGN_ANTIC]],1)</f>
        <v>#VALUE!</v>
      </c>
      <c r="C1136" s="10" t="e">
        <f>LEFT(Table1[[#This Row],[EPI_DGN_ANTIC]],2)</f>
        <v>#VALUE!</v>
      </c>
      <c r="D1136" s="10" t="s">
        <v>2171</v>
      </c>
      <c r="E1136" s="10">
        <v>0</v>
      </c>
      <c r="F1136" s="10"/>
      <c r="G1136" s="10"/>
      <c r="H1136" s="31">
        <v>443</v>
      </c>
      <c r="I1136" s="7" t="s">
        <v>1987</v>
      </c>
    </row>
    <row r="1137" spans="1:9" hidden="1">
      <c r="A1137" s="31">
        <f t="shared" si="6"/>
        <v>1135</v>
      </c>
      <c r="B1137" s="10" t="e">
        <f>LEFT(Table1[[#This Row],[EPI_DGN_ANTIC]],1)</f>
        <v>#VALUE!</v>
      </c>
      <c r="C1137" s="10" t="e">
        <f>LEFT(Table1[[#This Row],[EPI_DGN_ANTIC]],2)</f>
        <v>#VALUE!</v>
      </c>
      <c r="D1137" s="10" t="s">
        <v>1358</v>
      </c>
      <c r="E1137" s="10">
        <v>0</v>
      </c>
      <c r="F1137" s="10"/>
      <c r="G1137" s="10"/>
      <c r="H1137" s="31">
        <v>444</v>
      </c>
      <c r="I1137" s="7" t="s">
        <v>2172</v>
      </c>
    </row>
    <row r="1138" spans="1:9" hidden="1">
      <c r="A1138" s="31">
        <f t="shared" si="6"/>
        <v>1136</v>
      </c>
      <c r="B1138" s="10" t="s">
        <v>1355</v>
      </c>
      <c r="C1138" s="10" t="e">
        <f>LEFT(Table1[[#This Row],[EPI_DGN_ANTIC]],1)</f>
        <v>#VALUE!</v>
      </c>
      <c r="D1138" s="10" t="s">
        <v>1415</v>
      </c>
      <c r="E1138" s="10">
        <v>0</v>
      </c>
      <c r="F1138" s="10"/>
      <c r="G1138" s="10"/>
      <c r="H1138" s="31">
        <v>445</v>
      </c>
      <c r="I1138" s="7" t="s">
        <v>2173</v>
      </c>
    </row>
    <row r="1139" spans="1:9" hidden="1">
      <c r="A1139" s="31">
        <f t="shared" si="6"/>
        <v>1137</v>
      </c>
      <c r="B1139" s="10" t="s">
        <v>1355</v>
      </c>
      <c r="C1139" s="10" t="e">
        <f>LEFT(Table1[[#This Row],[EPI_DGN_ANTIC]],1)</f>
        <v>#VALUE!</v>
      </c>
      <c r="D1139" s="10" t="s">
        <v>2174</v>
      </c>
      <c r="E1139" s="10">
        <v>0</v>
      </c>
      <c r="F1139" s="10"/>
      <c r="G1139" s="10"/>
      <c r="H1139" s="31">
        <v>446</v>
      </c>
      <c r="I1139" s="7" t="s">
        <v>2175</v>
      </c>
    </row>
    <row r="1140" spans="1:9" hidden="1">
      <c r="A1140" s="31">
        <f t="shared" si="6"/>
        <v>1138</v>
      </c>
      <c r="B1140" s="10" t="s">
        <v>1355</v>
      </c>
      <c r="C1140" s="10" t="e">
        <f>LEFT(Table1[[#This Row],[EPI_DGN_ANTIC]],1)</f>
        <v>#VALUE!</v>
      </c>
      <c r="D1140" s="10" t="s">
        <v>2176</v>
      </c>
      <c r="E1140" s="10">
        <v>0</v>
      </c>
      <c r="F1140" s="10"/>
      <c r="G1140" s="10"/>
      <c r="H1140" s="31">
        <v>447</v>
      </c>
      <c r="I1140" s="7" t="s">
        <v>2177</v>
      </c>
    </row>
    <row r="1141" spans="1:9" hidden="1">
      <c r="A1141" s="31">
        <f t="shared" si="6"/>
        <v>1139</v>
      </c>
      <c r="B1141" s="10" t="s">
        <v>1355</v>
      </c>
      <c r="C1141" s="10" t="e">
        <f>LEFT(Table1[[#This Row],[EPI_DGN_ANTIC]],1)</f>
        <v>#VALUE!</v>
      </c>
      <c r="D1141" s="10" t="s">
        <v>2178</v>
      </c>
      <c r="E1141" s="10">
        <v>0</v>
      </c>
      <c r="F1141" s="10"/>
      <c r="G1141" s="10"/>
      <c r="H1141" s="31">
        <v>448</v>
      </c>
      <c r="I1141" s="7" t="s">
        <v>2137</v>
      </c>
    </row>
    <row r="1142" spans="1:9" hidden="1">
      <c r="A1142" s="31">
        <f t="shared" si="6"/>
        <v>1140</v>
      </c>
      <c r="B1142" s="10" t="s">
        <v>1355</v>
      </c>
      <c r="C1142" s="10" t="e">
        <f>LEFT(Table1[[#This Row],[EPI_DGN_ANTIC]],1)</f>
        <v>#VALUE!</v>
      </c>
      <c r="D1142" s="10" t="s">
        <v>1944</v>
      </c>
      <c r="E1142" s="10">
        <v>0</v>
      </c>
      <c r="F1142" s="10"/>
      <c r="G1142" s="10"/>
      <c r="H1142" s="31">
        <v>449</v>
      </c>
      <c r="I1142" s="7" t="s">
        <v>2179</v>
      </c>
    </row>
    <row r="1143" spans="1:9" hidden="1">
      <c r="A1143" s="31">
        <f t="shared" ref="A1143:A1206" si="7">A1142+1</f>
        <v>1141</v>
      </c>
      <c r="B1143" s="10" t="s">
        <v>1355</v>
      </c>
      <c r="C1143" s="10" t="e">
        <f>LEFT(Table1[[#This Row],[EPI_DGN_ANTIC]],1)</f>
        <v>#VALUE!</v>
      </c>
      <c r="D1143" s="10" t="s">
        <v>2180</v>
      </c>
      <c r="E1143" s="10">
        <v>0</v>
      </c>
      <c r="F1143" s="10"/>
      <c r="G1143" s="10"/>
      <c r="H1143" s="31">
        <v>450</v>
      </c>
      <c r="I1143" s="7" t="s">
        <v>2181</v>
      </c>
    </row>
    <row r="1144" spans="1:9" hidden="1">
      <c r="A1144" s="31">
        <f t="shared" si="7"/>
        <v>1142</v>
      </c>
      <c r="B1144" s="10" t="s">
        <v>1355</v>
      </c>
      <c r="C1144" s="10" t="e">
        <f>LEFT(Table1[[#This Row],[EPI_DGN_ANTIC]],1)</f>
        <v>#VALUE!</v>
      </c>
      <c r="D1144" s="10" t="s">
        <v>2182</v>
      </c>
      <c r="E1144" s="10">
        <v>0</v>
      </c>
      <c r="F1144" s="10"/>
      <c r="G1144" s="10"/>
      <c r="H1144" s="31">
        <v>451</v>
      </c>
      <c r="I1144" s="7" t="s">
        <v>2183</v>
      </c>
    </row>
    <row r="1145" spans="1:9" hidden="1">
      <c r="A1145" s="31">
        <f t="shared" si="7"/>
        <v>1143</v>
      </c>
      <c r="B1145" s="10" t="s">
        <v>1355</v>
      </c>
      <c r="C1145" s="10" t="e">
        <f>LEFT(Table1[[#This Row],[EPI_DGN_ANTIC]],1)</f>
        <v>#VALUE!</v>
      </c>
      <c r="D1145" s="10" t="s">
        <v>2184</v>
      </c>
      <c r="E1145" s="10">
        <v>0</v>
      </c>
      <c r="F1145" s="10"/>
      <c r="G1145" s="10"/>
      <c r="H1145" s="31">
        <v>452</v>
      </c>
      <c r="I1145" s="7" t="s">
        <v>2185</v>
      </c>
    </row>
    <row r="1146" spans="1:9" hidden="1">
      <c r="A1146" s="31">
        <f t="shared" si="7"/>
        <v>1144</v>
      </c>
      <c r="B1146" s="10" t="s">
        <v>1355</v>
      </c>
      <c r="C1146" s="10" t="e">
        <f>LEFT(Table1[[#This Row],[EPI_DGN_ANTIC]],1)</f>
        <v>#VALUE!</v>
      </c>
      <c r="D1146" s="10" t="s">
        <v>2186</v>
      </c>
      <c r="E1146" s="10">
        <v>0</v>
      </c>
      <c r="F1146" s="10"/>
      <c r="G1146" s="10"/>
      <c r="H1146" s="31">
        <v>453</v>
      </c>
      <c r="I1146" s="7" t="s">
        <v>2007</v>
      </c>
    </row>
    <row r="1147" spans="1:9" hidden="1">
      <c r="A1147" s="31">
        <f t="shared" si="7"/>
        <v>1145</v>
      </c>
      <c r="B1147" s="10" t="s">
        <v>1355</v>
      </c>
      <c r="C1147" s="10" t="e">
        <f>LEFT(Table1[[#This Row],[EPI_DGN_ANTIC]],1)</f>
        <v>#VALUE!</v>
      </c>
      <c r="D1147" s="10" t="s">
        <v>2187</v>
      </c>
      <c r="E1147" s="10">
        <v>0</v>
      </c>
      <c r="F1147" s="10"/>
      <c r="G1147" s="10"/>
      <c r="H1147" s="31">
        <v>454</v>
      </c>
      <c r="I1147" s="7" t="s">
        <v>2188</v>
      </c>
    </row>
    <row r="1148" spans="1:9" hidden="1">
      <c r="A1148" s="31">
        <f t="shared" si="7"/>
        <v>1146</v>
      </c>
      <c r="B1148" s="10" t="s">
        <v>1355</v>
      </c>
      <c r="C1148" s="10" t="e">
        <f>LEFT(Table1[[#This Row],[EPI_DGN_ANTIC]],1)</f>
        <v>#VALUE!</v>
      </c>
      <c r="D1148" s="10" t="s">
        <v>2189</v>
      </c>
      <c r="E1148" s="10">
        <v>0</v>
      </c>
      <c r="F1148" s="10"/>
      <c r="G1148" s="10"/>
      <c r="H1148" s="31">
        <v>455</v>
      </c>
      <c r="I1148" s="7" t="s">
        <v>2162</v>
      </c>
    </row>
    <row r="1149" spans="1:9" hidden="1">
      <c r="A1149" s="31">
        <f t="shared" si="7"/>
        <v>1147</v>
      </c>
      <c r="B1149" s="10" t="s">
        <v>1355</v>
      </c>
      <c r="C1149" s="10" t="e">
        <f>LEFT(Table1[[#This Row],[EPI_DGN_ANTIC]],1)</f>
        <v>#VALUE!</v>
      </c>
      <c r="D1149" s="10" t="s">
        <v>2190</v>
      </c>
      <c r="E1149" s="10">
        <v>0</v>
      </c>
      <c r="F1149" s="10"/>
      <c r="G1149" s="10"/>
      <c r="H1149" s="31">
        <v>456</v>
      </c>
      <c r="I1149" s="7" t="s">
        <v>2164</v>
      </c>
    </row>
    <row r="1150" spans="1:9" hidden="1">
      <c r="A1150" s="31">
        <f t="shared" si="7"/>
        <v>1148</v>
      </c>
      <c r="B1150" s="10" t="e">
        <f>LEFT(Table1[[#This Row],[EPI_DGN_ANTIC]],1)</f>
        <v>#VALUE!</v>
      </c>
      <c r="C1150" s="10" t="e">
        <f>LEFT(Table1[[#This Row],[EPI_DGN_ANTIC]],2)</f>
        <v>#VALUE!</v>
      </c>
      <c r="D1150" s="10" t="s">
        <v>1358</v>
      </c>
      <c r="E1150" s="10">
        <v>0</v>
      </c>
      <c r="F1150" s="10"/>
      <c r="G1150" s="10"/>
      <c r="H1150" s="31">
        <v>457</v>
      </c>
      <c r="I1150" s="7" t="s">
        <v>2160</v>
      </c>
    </row>
    <row r="1151" spans="1:9" hidden="1">
      <c r="A1151" s="31">
        <f t="shared" si="7"/>
        <v>1149</v>
      </c>
      <c r="B1151" s="10" t="s">
        <v>1355</v>
      </c>
      <c r="C1151" s="10" t="e">
        <f>LEFT(Table1[[#This Row],[EPI_DGN_ANTIC]],1)</f>
        <v>#VALUE!</v>
      </c>
      <c r="D1151" s="10" t="s">
        <v>2191</v>
      </c>
      <c r="E1151" s="10">
        <v>0</v>
      </c>
      <c r="F1151" s="10"/>
      <c r="G1151" s="10"/>
      <c r="H1151" s="31">
        <v>458</v>
      </c>
      <c r="I1151" s="7" t="s">
        <v>2161</v>
      </c>
    </row>
    <row r="1152" spans="1:9" hidden="1">
      <c r="A1152" s="31">
        <f t="shared" si="7"/>
        <v>1150</v>
      </c>
      <c r="B1152" s="10" t="s">
        <v>1355</v>
      </c>
      <c r="C1152" s="10" t="e">
        <f>LEFT(Table1[[#This Row],[EPI_DGN_ANTIC]],1)</f>
        <v>#VALUE!</v>
      </c>
      <c r="D1152" s="10" t="s">
        <v>1871</v>
      </c>
      <c r="E1152" s="10">
        <v>0</v>
      </c>
      <c r="F1152" s="10"/>
      <c r="G1152" s="10"/>
      <c r="H1152" s="31">
        <v>459</v>
      </c>
      <c r="I1152" s="7" t="s">
        <v>2033</v>
      </c>
    </row>
    <row r="1153" spans="1:9" hidden="1">
      <c r="A1153" s="31">
        <f t="shared" si="7"/>
        <v>1151</v>
      </c>
      <c r="B1153" s="10" t="s">
        <v>1355</v>
      </c>
      <c r="C1153" s="10" t="e">
        <f>LEFT(Table1[[#This Row],[EPI_DGN_ANTIC]],1)</f>
        <v>#VALUE!</v>
      </c>
      <c r="D1153" s="10" t="s">
        <v>2192</v>
      </c>
      <c r="E1153" s="10">
        <v>0</v>
      </c>
      <c r="F1153" s="10"/>
      <c r="G1153" s="10"/>
      <c r="H1153" s="31">
        <v>460</v>
      </c>
      <c r="I1153" s="7" t="s">
        <v>2035</v>
      </c>
    </row>
    <row r="1154" spans="1:9" hidden="1">
      <c r="A1154" s="31">
        <f t="shared" si="7"/>
        <v>1152</v>
      </c>
      <c r="B1154" s="10" t="s">
        <v>1355</v>
      </c>
      <c r="C1154" s="10" t="e">
        <f>LEFT(Table1[[#This Row],[EPI_DGN_ANTIC]],1)</f>
        <v>#VALUE!</v>
      </c>
      <c r="D1154" s="10" t="s">
        <v>2193</v>
      </c>
      <c r="E1154" s="10">
        <v>0</v>
      </c>
      <c r="F1154" s="10"/>
      <c r="G1154" s="10"/>
      <c r="H1154" s="31">
        <v>461</v>
      </c>
      <c r="I1154" s="7" t="s">
        <v>2160</v>
      </c>
    </row>
    <row r="1155" spans="1:9" hidden="1">
      <c r="A1155" s="31">
        <f t="shared" si="7"/>
        <v>1153</v>
      </c>
      <c r="B1155" s="10" t="s">
        <v>1355</v>
      </c>
      <c r="C1155" s="10" t="e">
        <f>LEFT(Table1[[#This Row],[EPI_DGN_ANTIC]],1)</f>
        <v>#VALUE!</v>
      </c>
      <c r="D1155" s="10" t="s">
        <v>2194</v>
      </c>
      <c r="E1155" s="10">
        <v>0</v>
      </c>
      <c r="F1155" s="10"/>
      <c r="G1155" s="10"/>
      <c r="H1155" s="31">
        <v>462</v>
      </c>
      <c r="I1155" s="7" t="s">
        <v>2161</v>
      </c>
    </row>
    <row r="1156" spans="1:9" hidden="1">
      <c r="A1156" s="31">
        <f t="shared" si="7"/>
        <v>1154</v>
      </c>
      <c r="B1156" s="10" t="s">
        <v>1355</v>
      </c>
      <c r="C1156" s="10" t="e">
        <f>LEFT(Table1[[#This Row],[EPI_DGN_ANTIC]],1)</f>
        <v>#VALUE!</v>
      </c>
      <c r="D1156" s="10" t="s">
        <v>2195</v>
      </c>
      <c r="E1156" s="10">
        <v>0</v>
      </c>
      <c r="F1156" s="10"/>
      <c r="G1156" s="10"/>
      <c r="H1156" s="31">
        <v>463</v>
      </c>
      <c r="I1156" s="7" t="s">
        <v>2162</v>
      </c>
    </row>
    <row r="1157" spans="1:9" hidden="1">
      <c r="A1157" s="31">
        <f t="shared" si="7"/>
        <v>1155</v>
      </c>
      <c r="B1157" s="10" t="s">
        <v>1355</v>
      </c>
      <c r="C1157" s="10" t="e">
        <f>LEFT(Table1[[#This Row],[EPI_DGN_ANTIC]],1)</f>
        <v>#VALUE!</v>
      </c>
      <c r="D1157" s="10" t="s">
        <v>2196</v>
      </c>
      <c r="E1157" s="10">
        <v>0</v>
      </c>
      <c r="F1157" s="10"/>
      <c r="G1157" s="10"/>
      <c r="H1157" s="31">
        <v>464</v>
      </c>
      <c r="I1157" s="7" t="s">
        <v>2164</v>
      </c>
    </row>
    <row r="1158" spans="1:9" hidden="1">
      <c r="A1158" s="31">
        <f t="shared" si="7"/>
        <v>1156</v>
      </c>
      <c r="B1158" s="10" t="s">
        <v>1355</v>
      </c>
      <c r="C1158" s="10" t="e">
        <f>LEFT(Table1[[#This Row],[EPI_DGN_ANTIC]],1)</f>
        <v>#VALUE!</v>
      </c>
      <c r="D1158" s="10" t="s">
        <v>2197</v>
      </c>
      <c r="E1158" s="10">
        <v>0</v>
      </c>
      <c r="F1158" s="10"/>
      <c r="G1158" s="10"/>
      <c r="H1158" s="31">
        <v>465</v>
      </c>
      <c r="I1158" s="7" t="s">
        <v>2166</v>
      </c>
    </row>
    <row r="1159" spans="1:9" hidden="1">
      <c r="A1159" s="31">
        <f t="shared" si="7"/>
        <v>1157</v>
      </c>
      <c r="B1159" s="10" t="s">
        <v>1355</v>
      </c>
      <c r="C1159" s="10" t="e">
        <f>LEFT(Table1[[#This Row],[EPI_DGN_ANTIC]],1)</f>
        <v>#VALUE!</v>
      </c>
      <c r="D1159" s="10" t="s">
        <v>2198</v>
      </c>
      <c r="E1159" s="10">
        <v>0</v>
      </c>
      <c r="F1159" s="10"/>
      <c r="G1159" s="10"/>
      <c r="H1159" s="31">
        <v>466</v>
      </c>
      <c r="I1159" s="7" t="s">
        <v>2199</v>
      </c>
    </row>
    <row r="1160" spans="1:9" hidden="1">
      <c r="A1160" s="31">
        <f t="shared" si="7"/>
        <v>1158</v>
      </c>
      <c r="B1160" s="10" t="s">
        <v>1355</v>
      </c>
      <c r="C1160" s="10" t="e">
        <f>LEFT(Table1[[#This Row],[EPI_DGN_ANTIC]],1)</f>
        <v>#VALUE!</v>
      </c>
      <c r="D1160" s="10" t="s">
        <v>2200</v>
      </c>
      <c r="E1160" s="10">
        <v>0</v>
      </c>
      <c r="F1160" s="10"/>
      <c r="G1160" s="10"/>
      <c r="H1160" s="31">
        <v>467</v>
      </c>
      <c r="I1160" s="7" t="s">
        <v>2177</v>
      </c>
    </row>
    <row r="1161" spans="1:9" hidden="1">
      <c r="A1161" s="31">
        <f t="shared" si="7"/>
        <v>1159</v>
      </c>
      <c r="B1161" s="10" t="s">
        <v>1355</v>
      </c>
      <c r="C1161" s="10" t="e">
        <f>LEFT(Table1[[#This Row],[EPI_DGN_ANTIC]],1)</f>
        <v>#VALUE!</v>
      </c>
      <c r="D1161" s="10" t="s">
        <v>1937</v>
      </c>
      <c r="E1161" s="10">
        <v>0</v>
      </c>
      <c r="F1161" s="10"/>
      <c r="G1161" s="10"/>
      <c r="H1161" s="31">
        <v>468</v>
      </c>
      <c r="I1161" s="7" t="s">
        <v>998</v>
      </c>
    </row>
    <row r="1162" spans="1:9" hidden="1">
      <c r="A1162" s="31">
        <f t="shared" si="7"/>
        <v>1160</v>
      </c>
      <c r="B1162" s="10" t="e">
        <f>LEFT(Table1[[#This Row],[EPI_DGN_ANTIC]],1)</f>
        <v>#VALUE!</v>
      </c>
      <c r="C1162" s="10" t="e">
        <f>LEFT(Table1[[#This Row],[EPI_DGN_ANTIC]],2)</f>
        <v>#VALUE!</v>
      </c>
      <c r="D1162" s="10" t="s">
        <v>2201</v>
      </c>
      <c r="E1162" s="10">
        <v>1</v>
      </c>
      <c r="F1162" s="10" t="s">
        <v>2202</v>
      </c>
      <c r="G1162" s="10"/>
      <c r="H1162" s="31">
        <v>469</v>
      </c>
      <c r="I1162" s="7" t="s">
        <v>2203</v>
      </c>
    </row>
    <row r="1163" spans="1:9" hidden="1">
      <c r="A1163" s="31">
        <f t="shared" si="7"/>
        <v>1161</v>
      </c>
      <c r="B1163" s="10" t="e">
        <f>LEFT(Table1[[#This Row],[EPI_DGN_ANTIC]],1)</f>
        <v>#VALUE!</v>
      </c>
      <c r="C1163" s="10" t="e">
        <f>LEFT(Table1[[#This Row],[EPI_DGN_ANTIC]],2)</f>
        <v>#VALUE!</v>
      </c>
      <c r="D1163" s="10" t="s">
        <v>2204</v>
      </c>
      <c r="E1163" s="10">
        <v>1</v>
      </c>
      <c r="F1163" s="10" t="s">
        <v>2205</v>
      </c>
      <c r="G1163" s="10"/>
      <c r="H1163" s="31">
        <v>470</v>
      </c>
      <c r="I1163" s="7" t="s">
        <v>2206</v>
      </c>
    </row>
    <row r="1164" spans="1:9" hidden="1">
      <c r="A1164" s="31">
        <f t="shared" si="7"/>
        <v>1162</v>
      </c>
      <c r="B1164" s="10" t="e">
        <f>LEFT(Table1[[#This Row],[EPI_DGN_ANTIC]],1)</f>
        <v>#VALUE!</v>
      </c>
      <c r="C1164" s="10" t="e">
        <f>LEFT(Table1[[#This Row],[EPI_DGN_ANTIC]],2)</f>
        <v>#VALUE!</v>
      </c>
      <c r="D1164" s="10" t="s">
        <v>2207</v>
      </c>
      <c r="E1164" s="10">
        <v>1</v>
      </c>
      <c r="F1164" s="10" t="s">
        <v>2208</v>
      </c>
      <c r="G1164" s="10"/>
      <c r="H1164" s="31">
        <v>471</v>
      </c>
      <c r="I1164" s="7" t="s">
        <v>1380</v>
      </c>
    </row>
    <row r="1165" spans="1:9" hidden="1">
      <c r="A1165" s="31">
        <f t="shared" si="7"/>
        <v>1163</v>
      </c>
      <c r="B1165" s="10" t="e">
        <f>LEFT(Table1[[#This Row],[EPI_DGN_ANTIC]],1)</f>
        <v>#VALUE!</v>
      </c>
      <c r="C1165" s="10" t="e">
        <f>LEFT(Table1[[#This Row],[EPI_DGN_ANTIC]],2)</f>
        <v>#VALUE!</v>
      </c>
      <c r="D1165" s="10" t="s">
        <v>2209</v>
      </c>
      <c r="E1165" s="10">
        <v>1</v>
      </c>
      <c r="F1165" s="10" t="s">
        <v>2210</v>
      </c>
      <c r="G1165" s="10"/>
      <c r="H1165" s="31">
        <v>472</v>
      </c>
      <c r="I1165" s="7" t="s">
        <v>2211</v>
      </c>
    </row>
    <row r="1166" spans="1:9" hidden="1">
      <c r="A1166" s="31">
        <f t="shared" si="7"/>
        <v>1164</v>
      </c>
      <c r="B1166" s="10" t="e">
        <f>LEFT(Table1[[#This Row],[EPI_DGN_ANTIC]],1)</f>
        <v>#VALUE!</v>
      </c>
      <c r="C1166" s="10" t="e">
        <f>LEFT(Table1[[#This Row],[EPI_DGN_ANTIC]],2)</f>
        <v>#VALUE!</v>
      </c>
      <c r="D1166" s="10" t="s">
        <v>2212</v>
      </c>
      <c r="E1166" s="10">
        <v>1</v>
      </c>
      <c r="F1166" s="10" t="s">
        <v>2213</v>
      </c>
      <c r="G1166" s="10"/>
      <c r="H1166" s="31">
        <v>473</v>
      </c>
      <c r="I1166" s="7" t="s">
        <v>1391</v>
      </c>
    </row>
    <row r="1167" spans="1:9" hidden="1">
      <c r="A1167" s="31">
        <f t="shared" si="7"/>
        <v>1165</v>
      </c>
      <c r="B1167" s="10" t="e">
        <f>LEFT(Table1[[#This Row],[EPI_DGN_ANTIC]],1)</f>
        <v>#VALUE!</v>
      </c>
      <c r="C1167" s="10" t="e">
        <f>LEFT(Table1[[#This Row],[EPI_DGN_ANTIC]],2)</f>
        <v>#VALUE!</v>
      </c>
      <c r="D1167" s="10" t="s">
        <v>2214</v>
      </c>
      <c r="E1167" s="10">
        <v>1</v>
      </c>
      <c r="F1167" s="10" t="s">
        <v>2215</v>
      </c>
      <c r="G1167" s="10"/>
      <c r="H1167" s="31">
        <v>474</v>
      </c>
      <c r="I1167" s="7" t="s">
        <v>2216</v>
      </c>
    </row>
    <row r="1168" spans="1:9" hidden="1">
      <c r="A1168" s="31">
        <f t="shared" si="7"/>
        <v>1166</v>
      </c>
      <c r="B1168" s="10" t="e">
        <f>LEFT(Table1[[#This Row],[EPI_DGN_ANTIC]],1)</f>
        <v>#VALUE!</v>
      </c>
      <c r="C1168" s="10" t="e">
        <f>LEFT(Table1[[#This Row],[EPI_DGN_ANTIC]],2)</f>
        <v>#VALUE!</v>
      </c>
      <c r="D1168" s="10" t="s">
        <v>2217</v>
      </c>
      <c r="E1168" s="10">
        <v>1</v>
      </c>
      <c r="F1168" s="10" t="s">
        <v>2210</v>
      </c>
      <c r="G1168" s="10"/>
      <c r="H1168" s="31">
        <v>475</v>
      </c>
      <c r="I1168" s="7" t="s">
        <v>1364</v>
      </c>
    </row>
    <row r="1169" spans="1:9" hidden="1">
      <c r="A1169" s="31">
        <f t="shared" si="7"/>
        <v>1167</v>
      </c>
      <c r="B1169" s="10" t="e">
        <f>LEFT(Table1[[#This Row],[EPI_DGN_ANTIC]],1)</f>
        <v>#VALUE!</v>
      </c>
      <c r="C1169" s="10" t="e">
        <f>LEFT(Table1[[#This Row],[EPI_DGN_ANTIC]],2)</f>
        <v>#VALUE!</v>
      </c>
      <c r="D1169" s="10" t="s">
        <v>2218</v>
      </c>
      <c r="E1169" s="10">
        <v>1</v>
      </c>
      <c r="F1169" s="10" t="s">
        <v>2219</v>
      </c>
      <c r="G1169" s="10"/>
      <c r="H1169" s="31">
        <v>476</v>
      </c>
      <c r="I1169" s="7" t="s">
        <v>2220</v>
      </c>
    </row>
    <row r="1170" spans="1:9" hidden="1">
      <c r="A1170" s="31">
        <f t="shared" si="7"/>
        <v>1168</v>
      </c>
      <c r="B1170" s="10" t="e">
        <f>LEFT(Table1[[#This Row],[EPI_DGN_ANTIC]],1)</f>
        <v>#VALUE!</v>
      </c>
      <c r="C1170" s="10" t="e">
        <f>LEFT(Table1[[#This Row],[EPI_DGN_ANTIC]],2)</f>
        <v>#VALUE!</v>
      </c>
      <c r="D1170" s="10" t="s">
        <v>2221</v>
      </c>
      <c r="E1170" s="10">
        <v>1</v>
      </c>
      <c r="F1170" s="10" t="s">
        <v>1514</v>
      </c>
      <c r="G1170" s="10"/>
      <c r="H1170" s="31">
        <v>477</v>
      </c>
      <c r="I1170" s="7" t="s">
        <v>2222</v>
      </c>
    </row>
    <row r="1171" spans="1:9" hidden="1">
      <c r="A1171" s="31">
        <f t="shared" si="7"/>
        <v>1169</v>
      </c>
      <c r="B1171" s="10" t="e">
        <f>LEFT(Table1[[#This Row],[EPI_DGN_ANTIC]],1)</f>
        <v>#VALUE!</v>
      </c>
      <c r="C1171" s="10" t="e">
        <f>LEFT(Table1[[#This Row],[EPI_DGN_ANTIC]],2)</f>
        <v>#VALUE!</v>
      </c>
      <c r="D1171" s="10" t="s">
        <v>1358</v>
      </c>
      <c r="E1171" s="10">
        <v>0</v>
      </c>
      <c r="F1171" s="10"/>
      <c r="G1171" s="10"/>
      <c r="H1171" s="31">
        <v>478</v>
      </c>
      <c r="I1171" s="7" t="s">
        <v>1414</v>
      </c>
    </row>
    <row r="1172" spans="1:9" hidden="1">
      <c r="A1172" s="31">
        <f t="shared" si="7"/>
        <v>1170</v>
      </c>
      <c r="B1172" s="10" t="e">
        <f>LEFT(Table1[[#This Row],[EPI_DGN_ANTIC]],1)</f>
        <v>#VALUE!</v>
      </c>
      <c r="C1172" s="10" t="e">
        <f>LEFT(Table1[[#This Row],[EPI_DGN_ANTIC]],3)</f>
        <v>#VALUE!</v>
      </c>
      <c r="D1172" s="10" t="s">
        <v>2223</v>
      </c>
      <c r="E1172" s="10">
        <v>0</v>
      </c>
      <c r="F1172" s="10"/>
      <c r="G1172" s="10"/>
      <c r="H1172" s="31">
        <v>479</v>
      </c>
      <c r="I1172" s="7" t="s">
        <v>2224</v>
      </c>
    </row>
    <row r="1173" spans="1:9" hidden="1">
      <c r="A1173" s="31">
        <f t="shared" si="7"/>
        <v>1171</v>
      </c>
      <c r="B1173" s="10" t="e">
        <f>LEFT(Table1[[#This Row],[EPI_DGN_ANTIC]],1)</f>
        <v>#VALUE!</v>
      </c>
      <c r="C1173" s="10" t="e">
        <f>LEFT(Table1[[#This Row],[EPI_DGN_ANTIC]],3)</f>
        <v>#VALUE!</v>
      </c>
      <c r="D1173" s="10" t="s">
        <v>2225</v>
      </c>
      <c r="E1173" s="10">
        <v>0</v>
      </c>
      <c r="F1173" s="10"/>
      <c r="G1173" s="10"/>
      <c r="H1173" s="31">
        <v>480</v>
      </c>
      <c r="I1173" s="7" t="s">
        <v>1424</v>
      </c>
    </row>
    <row r="1174" spans="1:9" hidden="1">
      <c r="A1174" s="31">
        <f t="shared" si="7"/>
        <v>1172</v>
      </c>
      <c r="B1174" s="10" t="e">
        <f>LEFT(Table1[[#This Row],[EPI_DGN_ANTIC]],1)</f>
        <v>#VALUE!</v>
      </c>
      <c r="C1174" s="10" t="e">
        <f>LEFT(Table1[[#This Row],[EPI_DGN_ANTIC]],3)</f>
        <v>#VALUE!</v>
      </c>
      <c r="D1174" s="10" t="s">
        <v>2226</v>
      </c>
      <c r="E1174" s="10">
        <v>0</v>
      </c>
      <c r="F1174" s="10"/>
      <c r="G1174" s="10"/>
      <c r="H1174" s="31">
        <v>481</v>
      </c>
      <c r="I1174" s="7" t="s">
        <v>2227</v>
      </c>
    </row>
    <row r="1175" spans="1:9" hidden="1">
      <c r="A1175" s="31">
        <f t="shared" si="7"/>
        <v>1173</v>
      </c>
      <c r="B1175" s="10" t="e">
        <f>LEFT(Table1[[#This Row],[EPI_DGN_ANTIC]],1)</f>
        <v>#VALUE!</v>
      </c>
      <c r="C1175" s="10" t="e">
        <f>LEFT(Table1[[#This Row],[EPI_DGN_ANTIC]],3)</f>
        <v>#VALUE!</v>
      </c>
      <c r="D1175" s="10" t="s">
        <v>2228</v>
      </c>
      <c r="E1175" s="10">
        <v>0</v>
      </c>
      <c r="F1175" s="10"/>
      <c r="G1175" s="10"/>
      <c r="H1175" s="31">
        <v>482</v>
      </c>
      <c r="I1175" s="7" t="s">
        <v>2227</v>
      </c>
    </row>
    <row r="1176" spans="1:9" hidden="1">
      <c r="A1176" s="31">
        <f t="shared" si="7"/>
        <v>1174</v>
      </c>
      <c r="B1176" s="10" t="e">
        <f>LEFT(Table1[[#This Row],[EPI_DGN_ANTIC]],1)</f>
        <v>#VALUE!</v>
      </c>
      <c r="C1176" s="10" t="e">
        <f>LEFT(Table1[[#This Row],[EPI_DGN_ANTIC]],3)</f>
        <v>#VALUE!</v>
      </c>
      <c r="D1176" s="10" t="s">
        <v>2229</v>
      </c>
      <c r="E1176" s="10">
        <v>1</v>
      </c>
      <c r="F1176" s="10" t="s">
        <v>2230</v>
      </c>
      <c r="G1176" s="10"/>
      <c r="H1176" s="31">
        <v>483</v>
      </c>
      <c r="I1176" s="7" t="s">
        <v>1364</v>
      </c>
    </row>
    <row r="1177" spans="1:9" hidden="1">
      <c r="A1177" s="31">
        <f t="shared" si="7"/>
        <v>1175</v>
      </c>
      <c r="B1177" s="10" t="e">
        <f>LEFT(Table1[[#This Row],[EPI_DGN_ANTIC]],1)</f>
        <v>#VALUE!</v>
      </c>
      <c r="C1177" s="10" t="e">
        <f>LEFT(Table1[[#This Row],[EPI_DGN_ANTIC]],3)</f>
        <v>#VALUE!</v>
      </c>
      <c r="D1177" s="10" t="s">
        <v>2231</v>
      </c>
      <c r="E1177" s="10">
        <v>0</v>
      </c>
      <c r="F1177" s="10"/>
      <c r="G1177" s="10"/>
      <c r="H1177" s="31">
        <v>484</v>
      </c>
      <c r="I1177" s="7" t="s">
        <v>2232</v>
      </c>
    </row>
    <row r="1178" spans="1:9" hidden="1">
      <c r="A1178" s="31">
        <f t="shared" si="7"/>
        <v>1176</v>
      </c>
      <c r="B1178" s="10" t="e">
        <f>LEFT(Table1[[#This Row],[EPI_DGN_ANTIC]],1)</f>
        <v>#VALUE!</v>
      </c>
      <c r="C1178" s="10" t="e">
        <f>LEFT(Table1[[#This Row],[EPI_DGN_ANTIC]],3)</f>
        <v>#VALUE!</v>
      </c>
      <c r="D1178" s="10" t="s">
        <v>2233</v>
      </c>
      <c r="E1178" s="10">
        <v>1</v>
      </c>
      <c r="F1178" s="10" t="s">
        <v>2234</v>
      </c>
      <c r="G1178" s="10"/>
      <c r="H1178" s="31">
        <v>485</v>
      </c>
      <c r="I1178" s="7" t="s">
        <v>2232</v>
      </c>
    </row>
    <row r="1179" spans="1:9" hidden="1">
      <c r="A1179" s="31">
        <f t="shared" si="7"/>
        <v>1177</v>
      </c>
      <c r="B1179" s="10" t="e">
        <f>LEFT(Table1[[#This Row],[EPI_DGN_ANTIC]],1)</f>
        <v>#VALUE!</v>
      </c>
      <c r="C1179" s="10" t="e">
        <f>LEFT(Table1[[#This Row],[EPI_DGN_ANTIC]],3)</f>
        <v>#VALUE!</v>
      </c>
      <c r="D1179" s="10" t="s">
        <v>2235</v>
      </c>
      <c r="E1179" s="10">
        <v>1</v>
      </c>
      <c r="F1179" s="10" t="s">
        <v>2236</v>
      </c>
      <c r="G1179" s="10"/>
      <c r="H1179" s="31">
        <v>486</v>
      </c>
      <c r="I1179" s="7" t="s">
        <v>2237</v>
      </c>
    </row>
    <row r="1180" spans="1:9" hidden="1">
      <c r="A1180" s="31">
        <f t="shared" si="7"/>
        <v>1178</v>
      </c>
      <c r="B1180" s="10" t="e">
        <f>LEFT(Table1[[#This Row],[EPI_DGN_ANTIC]],1)</f>
        <v>#VALUE!</v>
      </c>
      <c r="C1180" s="10" t="e">
        <f>LEFT(Table1[[#This Row],[EPI_DGN_ANTIC]],3)</f>
        <v>#VALUE!</v>
      </c>
      <c r="D1180" s="10" t="s">
        <v>2238</v>
      </c>
      <c r="E1180" s="10">
        <v>1</v>
      </c>
      <c r="F1180" s="10" t="s">
        <v>2239</v>
      </c>
      <c r="G1180" s="10"/>
      <c r="H1180" s="31">
        <v>487</v>
      </c>
      <c r="I1180" s="7" t="s">
        <v>2240</v>
      </c>
    </row>
    <row r="1181" spans="1:9" hidden="1">
      <c r="A1181" s="31">
        <f t="shared" si="7"/>
        <v>1179</v>
      </c>
      <c r="B1181" s="10" t="e">
        <f>LEFT(Table1[[#This Row],[EPI_DGN_ANTIC]],1)</f>
        <v>#VALUE!</v>
      </c>
      <c r="C1181" s="10" t="e">
        <f>LEFT(Table1[[#This Row],[EPI_DGN_ANTIC]],3)</f>
        <v>#VALUE!</v>
      </c>
      <c r="D1181" s="10" t="s">
        <v>2241</v>
      </c>
      <c r="E1181" s="10">
        <v>1</v>
      </c>
      <c r="F1181" s="10" t="s">
        <v>1472</v>
      </c>
      <c r="G1181" s="10"/>
      <c r="H1181" s="31">
        <v>488</v>
      </c>
      <c r="I1181" s="7" t="s">
        <v>1942</v>
      </c>
    </row>
    <row r="1182" spans="1:9" hidden="1">
      <c r="A1182" s="31">
        <f t="shared" si="7"/>
        <v>1180</v>
      </c>
      <c r="B1182" s="10" t="e">
        <f>LEFT(Table1[[#This Row],[EPI_DGN_ANTIC]],1)</f>
        <v>#VALUE!</v>
      </c>
      <c r="C1182" s="10" t="e">
        <f>LEFT(Table1[[#This Row],[EPI_DGN_ANTIC]],3)</f>
        <v>#VALUE!</v>
      </c>
      <c r="D1182" s="10" t="s">
        <v>2242</v>
      </c>
      <c r="E1182" s="10">
        <v>1</v>
      </c>
      <c r="F1182" s="10" t="s">
        <v>2202</v>
      </c>
      <c r="G1182" s="10"/>
      <c r="H1182" s="31">
        <v>489</v>
      </c>
      <c r="I1182" s="7" t="s">
        <v>1360</v>
      </c>
    </row>
    <row r="1183" spans="1:9" hidden="1">
      <c r="A1183" s="31">
        <f t="shared" si="7"/>
        <v>1181</v>
      </c>
      <c r="B1183" s="10" t="e">
        <f>LEFT(Table1[[#This Row],[EPI_DGN_ANTIC]],1)</f>
        <v>#VALUE!</v>
      </c>
      <c r="C1183" s="10" t="e">
        <f>LEFT(Table1[[#This Row],[EPI_DGN_ANTIC]],3)</f>
        <v>#VALUE!</v>
      </c>
      <c r="D1183" s="10" t="s">
        <v>2243</v>
      </c>
      <c r="E1183" s="10">
        <v>1</v>
      </c>
      <c r="F1183" s="10" t="s">
        <v>2234</v>
      </c>
      <c r="G1183" s="10"/>
      <c r="H1183" s="31">
        <v>490</v>
      </c>
      <c r="I1183" s="7" t="s">
        <v>947</v>
      </c>
    </row>
    <row r="1184" spans="1:9" hidden="1">
      <c r="A1184" s="31">
        <f t="shared" si="7"/>
        <v>1182</v>
      </c>
      <c r="B1184" s="10" t="e">
        <f>LEFT(Table1[[#This Row],[EPI_DGN_ANTIC]],1)</f>
        <v>#VALUE!</v>
      </c>
      <c r="C1184" s="10" t="e">
        <f>LEFT(Table1[[#This Row],[EPI_DGN_ANTIC]],3)</f>
        <v>#VALUE!</v>
      </c>
      <c r="D1184" s="10" t="s">
        <v>2244</v>
      </c>
      <c r="E1184" s="10">
        <v>1</v>
      </c>
      <c r="F1184" s="10" t="s">
        <v>2236</v>
      </c>
      <c r="G1184" s="10"/>
      <c r="H1184" s="31">
        <v>491</v>
      </c>
      <c r="I1184" s="7" t="s">
        <v>947</v>
      </c>
    </row>
    <row r="1185" spans="1:9" hidden="1">
      <c r="A1185" s="31">
        <f t="shared" si="7"/>
        <v>1183</v>
      </c>
      <c r="B1185" s="10" t="e">
        <f>LEFT(Table1[[#This Row],[EPI_DGN_ANTIC]],1)</f>
        <v>#VALUE!</v>
      </c>
      <c r="C1185" s="10" t="e">
        <f>LEFT(Table1[[#This Row],[EPI_DGN_ANTIC]],3)</f>
        <v>#VALUE!</v>
      </c>
      <c r="D1185" s="10" t="s">
        <v>2245</v>
      </c>
      <c r="E1185" s="10">
        <v>1</v>
      </c>
      <c r="F1185" s="10" t="s">
        <v>2239</v>
      </c>
      <c r="G1185" s="10"/>
      <c r="H1185" s="31">
        <v>492</v>
      </c>
      <c r="I1185" s="7" t="s">
        <v>707</v>
      </c>
    </row>
    <row r="1186" spans="1:9" hidden="1">
      <c r="A1186" s="31">
        <f t="shared" si="7"/>
        <v>1184</v>
      </c>
      <c r="B1186" s="10" t="e">
        <f>LEFT(Table1[[#This Row],[EPI_DGN_ANTIC]],1)</f>
        <v>#VALUE!</v>
      </c>
      <c r="C1186" s="10" t="e">
        <f>LEFT(Table1[[#This Row],[EPI_DGN_ANTIC]],3)</f>
        <v>#VALUE!</v>
      </c>
      <c r="D1186" s="10" t="s">
        <v>2246</v>
      </c>
      <c r="E1186" s="10">
        <v>1</v>
      </c>
      <c r="F1186" s="10" t="s">
        <v>1472</v>
      </c>
      <c r="G1186" s="10"/>
      <c r="H1186" s="31">
        <v>493</v>
      </c>
      <c r="I1186" s="7" t="s">
        <v>1411</v>
      </c>
    </row>
    <row r="1187" spans="1:9" hidden="1">
      <c r="A1187" s="31">
        <f t="shared" si="7"/>
        <v>1185</v>
      </c>
      <c r="B1187" s="10" t="e">
        <f>LEFT(Table1[[#This Row],[EPI_DGN_ANTIC]],1)</f>
        <v>#VALUE!</v>
      </c>
      <c r="C1187" s="10" t="e">
        <f>LEFT(Table1[[#This Row],[EPI_DGN_ANTIC]],3)</f>
        <v>#VALUE!</v>
      </c>
      <c r="D1187" s="10" t="s">
        <v>2247</v>
      </c>
      <c r="E1187" s="10">
        <v>1</v>
      </c>
      <c r="F1187" s="10" t="s">
        <v>2239</v>
      </c>
      <c r="G1187" s="10"/>
      <c r="H1187" s="31">
        <v>494</v>
      </c>
      <c r="I1187" s="7" t="s">
        <v>1416</v>
      </c>
    </row>
    <row r="1188" spans="1:9" hidden="1">
      <c r="A1188" s="31">
        <f t="shared" si="7"/>
        <v>1186</v>
      </c>
      <c r="B1188" s="10" t="e">
        <f>LEFT(Table1[[#This Row],[EPI_DGN_ANTIC]],1)</f>
        <v>#VALUE!</v>
      </c>
      <c r="C1188" s="10" t="e">
        <f>LEFT(Table1[[#This Row],[EPI_DGN_ANTIC]],2)</f>
        <v>#VALUE!</v>
      </c>
      <c r="D1188" s="10" t="s">
        <v>1358</v>
      </c>
      <c r="E1188" s="10">
        <v>0</v>
      </c>
      <c r="F1188" s="10"/>
      <c r="G1188" s="10"/>
      <c r="H1188" s="31">
        <v>495</v>
      </c>
      <c r="I1188" s="7" t="s">
        <v>2248</v>
      </c>
    </row>
    <row r="1189" spans="1:9" hidden="1">
      <c r="A1189" s="31">
        <f t="shared" si="7"/>
        <v>1187</v>
      </c>
      <c r="B1189" s="10" t="e">
        <f>LEFT(Table1[[#This Row],[EPI_DGN_ANTIC]],1)</f>
        <v>#VALUE!</v>
      </c>
      <c r="C1189" s="10" t="e">
        <f>LEFT(Table1[[#This Row],[EPI_DGN_ANTIC]],2)</f>
        <v>#VALUE!</v>
      </c>
      <c r="D1189" s="10" t="s">
        <v>2249</v>
      </c>
      <c r="E1189" s="10">
        <v>1</v>
      </c>
      <c r="F1189" s="10" t="s">
        <v>2250</v>
      </c>
      <c r="G1189" s="10"/>
      <c r="H1189" s="31">
        <v>496</v>
      </c>
      <c r="I1189" s="7" t="s">
        <v>1487</v>
      </c>
    </row>
    <row r="1190" spans="1:9" hidden="1">
      <c r="A1190" s="31">
        <f t="shared" si="7"/>
        <v>1188</v>
      </c>
      <c r="B1190" s="10" t="e">
        <f>LEFT(Table1[[#This Row],[EPI_DGN_ANTIC]],1)</f>
        <v>#VALUE!</v>
      </c>
      <c r="C1190" s="10" t="e">
        <f>LEFT(Table1[[#This Row],[EPI_DGN_ANTIC]],3)</f>
        <v>#VALUE!</v>
      </c>
      <c r="D1190" s="10" t="s">
        <v>2251</v>
      </c>
      <c r="E1190" s="10">
        <v>1</v>
      </c>
      <c r="F1190" s="10" t="s">
        <v>2252</v>
      </c>
      <c r="G1190" s="10"/>
      <c r="H1190" s="31">
        <v>497</v>
      </c>
      <c r="I1190" s="7" t="s">
        <v>1491</v>
      </c>
    </row>
    <row r="1191" spans="1:9" hidden="1">
      <c r="A1191" s="31">
        <f t="shared" si="7"/>
        <v>1189</v>
      </c>
      <c r="B1191" s="10" t="e">
        <f>LEFT(Table1[[#This Row],[EPI_DGN_ANTIC]],1)</f>
        <v>#VALUE!</v>
      </c>
      <c r="C1191" s="10" t="e">
        <f>LEFT(Table1[[#This Row],[EPI_DGN_ANTIC]],2)</f>
        <v>#VALUE!</v>
      </c>
      <c r="D1191" s="10" t="s">
        <v>2253</v>
      </c>
      <c r="E1191" s="10">
        <v>1</v>
      </c>
      <c r="F1191" s="10" t="s">
        <v>2254</v>
      </c>
      <c r="G1191" s="10"/>
      <c r="H1191" s="31">
        <v>498</v>
      </c>
      <c r="I1191" s="7" t="s">
        <v>990</v>
      </c>
    </row>
    <row r="1192" spans="1:9" hidden="1">
      <c r="A1192" s="31">
        <f t="shared" si="7"/>
        <v>1190</v>
      </c>
      <c r="B1192" s="10" t="e">
        <f>LEFT(Table1[[#This Row],[EPI_DGN_ANTIC]],1)</f>
        <v>#VALUE!</v>
      </c>
      <c r="C1192" s="10" t="e">
        <f>LEFT(Table1[[#This Row],[EPI_DGN_ANTIC]],2)</f>
        <v>#VALUE!</v>
      </c>
      <c r="D1192" s="10" t="s">
        <v>2255</v>
      </c>
      <c r="E1192" s="10">
        <v>1</v>
      </c>
      <c r="F1192" s="10" t="s">
        <v>2256</v>
      </c>
      <c r="G1192" s="10"/>
      <c r="H1192" s="31">
        <v>499</v>
      </c>
      <c r="I1192" s="7" t="s">
        <v>1522</v>
      </c>
    </row>
    <row r="1193" spans="1:9" hidden="1">
      <c r="A1193" s="31">
        <f t="shared" si="7"/>
        <v>1191</v>
      </c>
      <c r="B1193" s="10" t="e">
        <f>LEFT(Table1[[#This Row],[EPI_DGN_ANTIC]],1)</f>
        <v>#VALUE!</v>
      </c>
      <c r="C1193" s="10" t="e">
        <f>LEFT(Table1[[#This Row],[EPI_DGN_ANTIC]],2)</f>
        <v>#VALUE!</v>
      </c>
      <c r="D1193" s="10" t="s">
        <v>2257</v>
      </c>
      <c r="E1193" s="10">
        <v>1</v>
      </c>
      <c r="F1193" s="10" t="s">
        <v>2258</v>
      </c>
      <c r="G1193" s="10"/>
      <c r="H1193" s="31">
        <v>500</v>
      </c>
      <c r="I1193" s="7" t="s">
        <v>1522</v>
      </c>
    </row>
    <row r="1194" spans="1:9" hidden="1">
      <c r="A1194" s="31">
        <f t="shared" si="7"/>
        <v>1192</v>
      </c>
      <c r="B1194" s="10" t="e">
        <f>LEFT(Table1[[#This Row],[EPI_DGN_ANTIC]],1)</f>
        <v>#VALUE!</v>
      </c>
      <c r="C1194" s="10" t="e">
        <f>LEFT(Table1[[#This Row],[EPI_DGN_ANTIC]],2)</f>
        <v>#VALUE!</v>
      </c>
      <c r="D1194" s="10" t="s">
        <v>2259</v>
      </c>
      <c r="E1194" s="10">
        <v>1</v>
      </c>
      <c r="F1194" s="10" t="s">
        <v>2260</v>
      </c>
      <c r="G1194" s="10"/>
      <c r="H1194" s="31">
        <v>501</v>
      </c>
      <c r="I1194" s="7" t="s">
        <v>1522</v>
      </c>
    </row>
    <row r="1195" spans="1:9" hidden="1">
      <c r="A1195" s="31">
        <f t="shared" si="7"/>
        <v>1193</v>
      </c>
      <c r="B1195" s="10" t="e">
        <f>LEFT(Table1[[#This Row],[EPI_DGN_ANTIC]],1)</f>
        <v>#VALUE!</v>
      </c>
      <c r="C1195" s="10" t="e">
        <f>LEFT(Table1[[#This Row],[EPI_DGN_ANTIC]],2)</f>
        <v>#VALUE!</v>
      </c>
      <c r="D1195" s="10" t="s">
        <v>2261</v>
      </c>
      <c r="E1195" s="10">
        <v>1</v>
      </c>
      <c r="F1195" s="10" t="s">
        <v>2262</v>
      </c>
      <c r="G1195" s="10"/>
      <c r="H1195" s="31">
        <v>502</v>
      </c>
      <c r="I1195" s="7" t="s">
        <v>2263</v>
      </c>
    </row>
    <row r="1196" spans="1:9" hidden="1">
      <c r="A1196" s="31">
        <f t="shared" si="7"/>
        <v>1194</v>
      </c>
      <c r="B1196" s="10" t="e">
        <f>LEFT(Table1[[#This Row],[EPI_DGN_ANTIC]],1)</f>
        <v>#VALUE!</v>
      </c>
      <c r="C1196" s="10" t="e">
        <f>LEFT(Table1[[#This Row],[EPI_DGN_ANTIC]],4)</f>
        <v>#VALUE!</v>
      </c>
      <c r="D1196" s="10" t="s">
        <v>2264</v>
      </c>
      <c r="E1196" s="10">
        <v>0</v>
      </c>
      <c r="F1196" s="10"/>
      <c r="G1196" s="10"/>
      <c r="H1196" s="31">
        <v>503</v>
      </c>
      <c r="I1196" s="7" t="s">
        <v>2265</v>
      </c>
    </row>
    <row r="1197" spans="1:9" hidden="1">
      <c r="A1197" s="31">
        <f t="shared" si="7"/>
        <v>1195</v>
      </c>
      <c r="B1197" s="10" t="e">
        <f>LEFT(Table1[[#This Row],[EPI_DGN_ANTIC]],1)</f>
        <v>#VALUE!</v>
      </c>
      <c r="C1197" s="10" t="e">
        <f>LEFT(Table1[[#This Row],[EPI_DGN_ANTIC]],4)</f>
        <v>#VALUE!</v>
      </c>
      <c r="D1197" s="10" t="s">
        <v>2266</v>
      </c>
      <c r="E1197" s="10">
        <v>1</v>
      </c>
      <c r="F1197" s="10" t="s">
        <v>2267</v>
      </c>
      <c r="G1197" s="10"/>
      <c r="H1197" s="31">
        <v>504</v>
      </c>
      <c r="I1197" s="7" t="s">
        <v>2096</v>
      </c>
    </row>
    <row r="1198" spans="1:9" hidden="1">
      <c r="A1198" s="31">
        <f t="shared" si="7"/>
        <v>1196</v>
      </c>
      <c r="B1198" s="10" t="e">
        <f>LEFT(Table1[[#This Row],[EPI_DGN_ANTIC]],1)</f>
        <v>#VALUE!</v>
      </c>
      <c r="C1198" s="10" t="e">
        <f>LEFT(Table1[[#This Row],[EPI_DGN_ANTIC]],3)</f>
        <v>#VALUE!</v>
      </c>
      <c r="D1198" s="10" t="s">
        <v>2268</v>
      </c>
      <c r="E1198" s="10">
        <v>1</v>
      </c>
      <c r="F1198" s="10" t="s">
        <v>1377</v>
      </c>
      <c r="G1198" s="10"/>
      <c r="H1198" s="31">
        <v>505</v>
      </c>
      <c r="I1198" s="7" t="s">
        <v>2096</v>
      </c>
    </row>
    <row r="1199" spans="1:9" hidden="1">
      <c r="A1199" s="31">
        <f t="shared" si="7"/>
        <v>1197</v>
      </c>
      <c r="B1199" s="10" t="e">
        <f>LEFT(Table1[[#This Row],[EPI_DGN_ANTIC]],1)</f>
        <v>#VALUE!</v>
      </c>
      <c r="C1199" s="10" t="e">
        <f>LEFT(Table1[[#This Row],[EPI_DGN_ANTIC]],3)</f>
        <v>#VALUE!</v>
      </c>
      <c r="D1199" s="10" t="s">
        <v>2269</v>
      </c>
      <c r="E1199" s="10">
        <v>1</v>
      </c>
      <c r="F1199" s="10" t="s">
        <v>1472</v>
      </c>
      <c r="G1199" s="10"/>
      <c r="H1199" s="31">
        <v>506</v>
      </c>
      <c r="I1199" s="7" t="s">
        <v>1850</v>
      </c>
    </row>
    <row r="1200" spans="1:9" hidden="1">
      <c r="A1200" s="31">
        <f t="shared" si="7"/>
        <v>1198</v>
      </c>
      <c r="B1200" s="10" t="s">
        <v>1355</v>
      </c>
      <c r="C1200" s="10" t="e">
        <f>LEFT(Table1[[#This Row],[EPI_DGN_ANTIC]],1)</f>
        <v>#VALUE!</v>
      </c>
      <c r="D1200" s="10" t="s">
        <v>2270</v>
      </c>
      <c r="E1200" s="10">
        <v>0</v>
      </c>
      <c r="F1200" s="10"/>
      <c r="G1200" s="10"/>
      <c r="H1200" s="31">
        <v>507</v>
      </c>
      <c r="I1200" s="7" t="s">
        <v>2271</v>
      </c>
    </row>
    <row r="1201" spans="1:9" hidden="1">
      <c r="A1201" s="31">
        <f t="shared" si="7"/>
        <v>1199</v>
      </c>
      <c r="B1201" s="10" t="e">
        <f>LEFT(Table1[[#This Row],[EPI_DGN_ANTIC]],1)</f>
        <v>#VALUE!</v>
      </c>
      <c r="C1201" s="10" t="e">
        <f>LEFT(Table1[[#This Row],[EPI_DGN_ANTIC]],3)</f>
        <v>#VALUE!</v>
      </c>
      <c r="D1201" s="10" t="s">
        <v>2272</v>
      </c>
      <c r="E1201" s="10">
        <v>1</v>
      </c>
      <c r="F1201" s="10" t="s">
        <v>1420</v>
      </c>
      <c r="G1201" s="10"/>
      <c r="H1201" s="31">
        <v>508</v>
      </c>
      <c r="I1201" s="7" t="s">
        <v>2273</v>
      </c>
    </row>
    <row r="1202" spans="1:9" hidden="1">
      <c r="A1202" s="31">
        <f t="shared" si="7"/>
        <v>1200</v>
      </c>
      <c r="B1202" s="10" t="s">
        <v>1355</v>
      </c>
      <c r="C1202" s="10" t="e">
        <f>LEFT(Table1[[#This Row],[EPI_DGN_ANTIC]],1)</f>
        <v>#VALUE!</v>
      </c>
      <c r="D1202" s="10" t="s">
        <v>2274</v>
      </c>
      <c r="E1202" s="10">
        <v>0</v>
      </c>
      <c r="F1202" s="10"/>
      <c r="G1202" s="10"/>
      <c r="H1202" s="31">
        <v>509</v>
      </c>
      <c r="I1202" s="7" t="s">
        <v>1625</v>
      </c>
    </row>
    <row r="1203" spans="1:9" hidden="1">
      <c r="A1203" s="31">
        <f t="shared" si="7"/>
        <v>1201</v>
      </c>
      <c r="B1203" s="10" t="e">
        <f>LEFT(Table1[[#This Row],[EPI_DGN_ANTIC]],1)</f>
        <v>#VALUE!</v>
      </c>
      <c r="C1203" s="10" t="e">
        <f>LEFT(Table1[[#This Row],[EPI_DGN_ANTIC]],2)</f>
        <v>#VALUE!</v>
      </c>
      <c r="D1203" s="10" t="s">
        <v>2275</v>
      </c>
      <c r="E1203" s="10">
        <v>0</v>
      </c>
      <c r="F1203" s="10"/>
      <c r="G1203" s="10"/>
      <c r="H1203" s="31">
        <v>510</v>
      </c>
      <c r="I1203" s="7" t="s">
        <v>2175</v>
      </c>
    </row>
    <row r="1204" spans="1:9" hidden="1">
      <c r="A1204" s="31">
        <f t="shared" si="7"/>
        <v>1202</v>
      </c>
      <c r="B1204" s="10" t="e">
        <f>LEFT(Table1[[#This Row],[EPI_DGN_ANTIC]],1)</f>
        <v>#VALUE!</v>
      </c>
      <c r="C1204" s="10" t="e">
        <f>LEFT(Table1[[#This Row],[EPI_DGN_ANTIC]],2)</f>
        <v>#VALUE!</v>
      </c>
      <c r="D1204" s="10" t="s">
        <v>2276</v>
      </c>
      <c r="E1204" s="10">
        <v>1</v>
      </c>
      <c r="F1204" s="10" t="s">
        <v>2277</v>
      </c>
      <c r="G1204" s="10"/>
      <c r="H1204" s="31">
        <v>511</v>
      </c>
      <c r="I1204" s="7" t="s">
        <v>2029</v>
      </c>
    </row>
    <row r="1205" spans="1:9" hidden="1">
      <c r="A1205" s="31">
        <f t="shared" si="7"/>
        <v>1203</v>
      </c>
      <c r="B1205" s="10" t="s">
        <v>1705</v>
      </c>
      <c r="C1205" s="10" t="s">
        <v>2275</v>
      </c>
      <c r="D1205" s="10" t="s">
        <v>2278</v>
      </c>
      <c r="E1205" s="10">
        <v>1</v>
      </c>
      <c r="F1205" s="10" t="s">
        <v>2277</v>
      </c>
      <c r="G1205" s="24" t="s">
        <v>786</v>
      </c>
      <c r="H1205" s="31">
        <v>512</v>
      </c>
      <c r="I1205" s="7" t="s">
        <v>2035</v>
      </c>
    </row>
    <row r="1206" spans="1:9" hidden="1">
      <c r="A1206" s="31">
        <f t="shared" si="7"/>
        <v>1204</v>
      </c>
      <c r="B1206" s="10" t="e">
        <f>LEFT(Table1[[#This Row],[EPI_DGN_ANTIC]],1)</f>
        <v>#VALUE!</v>
      </c>
      <c r="C1206" s="10" t="e">
        <f>LEFT(Table1[[#This Row],[EPI_DGN_ANTIC]],3)</f>
        <v>#VALUE!</v>
      </c>
      <c r="D1206" s="10" t="s">
        <v>2279</v>
      </c>
      <c r="E1206" s="10">
        <v>1</v>
      </c>
      <c r="F1206" s="10" t="s">
        <v>2280</v>
      </c>
      <c r="G1206" s="10"/>
      <c r="H1206" s="31">
        <v>513</v>
      </c>
      <c r="I1206" s="7" t="s">
        <v>2281</v>
      </c>
    </row>
    <row r="1207" spans="1:9" hidden="1">
      <c r="A1207" s="31">
        <f t="shared" ref="A1207:A1270" si="8">A1206+1</f>
        <v>1205</v>
      </c>
      <c r="B1207" s="10" t="e">
        <f>LEFT(Table1[[#This Row],[EPI_DGN_ANTIC]],1)</f>
        <v>#VALUE!</v>
      </c>
      <c r="C1207" s="10" t="e">
        <f>LEFT(Table1[[#This Row],[EPI_DGN_ANTIC]],3)</f>
        <v>#VALUE!</v>
      </c>
      <c r="D1207" s="10" t="s">
        <v>2282</v>
      </c>
      <c r="E1207" s="10">
        <v>1</v>
      </c>
      <c r="F1207" s="10" t="s">
        <v>2283</v>
      </c>
      <c r="G1207" s="10"/>
      <c r="H1207" s="31">
        <v>514</v>
      </c>
      <c r="I1207" s="7" t="s">
        <v>2284</v>
      </c>
    </row>
    <row r="1208" spans="1:9" hidden="1">
      <c r="A1208" s="31">
        <f t="shared" si="8"/>
        <v>1206</v>
      </c>
      <c r="B1208" s="10" t="e">
        <f>LEFT(Table1[[#This Row],[EPI_DGN_ANTIC]],1)</f>
        <v>#VALUE!</v>
      </c>
      <c r="C1208" s="10" t="e">
        <f>LEFT(Table1[[#This Row],[EPI_DGN_ANTIC]],3)</f>
        <v>#VALUE!</v>
      </c>
      <c r="D1208" s="10" t="s">
        <v>2285</v>
      </c>
      <c r="E1208" s="10">
        <v>1</v>
      </c>
      <c r="F1208" s="10" t="s">
        <v>2286</v>
      </c>
      <c r="G1208" s="10"/>
      <c r="H1208" s="31">
        <v>515</v>
      </c>
      <c r="I1208" s="7" t="s">
        <v>2287</v>
      </c>
    </row>
    <row r="1209" spans="1:9" hidden="1">
      <c r="A1209" s="31">
        <f t="shared" si="8"/>
        <v>1207</v>
      </c>
      <c r="B1209" s="10" t="e">
        <f>LEFT(Table1[[#This Row],[EPI_DGN_ANTIC]],1)</f>
        <v>#VALUE!</v>
      </c>
      <c r="C1209" s="10" t="e">
        <f>LEFT(Table1[[#This Row],[EPI_DGN_ANTIC]],3)</f>
        <v>#VALUE!</v>
      </c>
      <c r="D1209" s="10" t="s">
        <v>2288</v>
      </c>
      <c r="E1209" s="10">
        <v>1</v>
      </c>
      <c r="F1209" s="10" t="s">
        <v>2053</v>
      </c>
      <c r="G1209" s="10"/>
      <c r="H1209" s="31">
        <v>516</v>
      </c>
      <c r="I1209" s="7" t="s">
        <v>2289</v>
      </c>
    </row>
    <row r="1210" spans="1:9" hidden="1">
      <c r="A1210" s="31">
        <f t="shared" si="8"/>
        <v>1208</v>
      </c>
      <c r="B1210" s="10" t="e">
        <f>LEFT(Table1[[#This Row],[EPI_DGN_ANTIC]],1)</f>
        <v>#VALUE!</v>
      </c>
      <c r="C1210" s="10" t="e">
        <f>LEFT(Table1[[#This Row],[EPI_DGN_ANTIC]],3)</f>
        <v>#VALUE!</v>
      </c>
      <c r="D1210" s="10" t="s">
        <v>2290</v>
      </c>
      <c r="E1210" s="10">
        <v>1</v>
      </c>
      <c r="F1210" s="10" t="s">
        <v>2291</v>
      </c>
      <c r="G1210" s="10"/>
      <c r="H1210" s="31">
        <v>517</v>
      </c>
      <c r="I1210" s="7" t="s">
        <v>2292</v>
      </c>
    </row>
    <row r="1211" spans="1:9" hidden="1">
      <c r="A1211" s="31">
        <f t="shared" si="8"/>
        <v>1209</v>
      </c>
      <c r="B1211" s="10" t="e">
        <f>LEFT(Table1[[#This Row],[EPI_DGN_ANTIC]],1)</f>
        <v>#VALUE!</v>
      </c>
      <c r="C1211" s="10" t="e">
        <f>LEFT(Table1[[#This Row],[EPI_DGN_ANTIC]],3)</f>
        <v>#VALUE!</v>
      </c>
      <c r="D1211" s="10" t="s">
        <v>2293</v>
      </c>
      <c r="E1211" s="10">
        <v>1</v>
      </c>
      <c r="F1211" s="10" t="s">
        <v>2294</v>
      </c>
      <c r="G1211" s="10"/>
      <c r="H1211" s="31">
        <v>518</v>
      </c>
      <c r="I1211" s="7" t="s">
        <v>2295</v>
      </c>
    </row>
    <row r="1212" spans="1:9" hidden="1">
      <c r="A1212" s="31">
        <f t="shared" si="8"/>
        <v>1210</v>
      </c>
      <c r="B1212" s="10" t="e">
        <f>LEFT(Table1[[#This Row],[EPI_DGN_ANTIC]],1)</f>
        <v>#VALUE!</v>
      </c>
      <c r="C1212" s="10" t="e">
        <f>LEFT(Table1[[#This Row],[EPI_DGN_ANTIC]],3)</f>
        <v>#VALUE!</v>
      </c>
      <c r="D1212" s="10" t="s">
        <v>2296</v>
      </c>
      <c r="E1212" s="10">
        <v>1</v>
      </c>
      <c r="F1212" s="10" t="s">
        <v>1315</v>
      </c>
      <c r="G1212" s="10"/>
      <c r="H1212" s="31">
        <v>519</v>
      </c>
      <c r="I1212" s="7" t="s">
        <v>2297</v>
      </c>
    </row>
    <row r="1213" spans="1:9" hidden="1">
      <c r="A1213" s="31">
        <f t="shared" si="8"/>
        <v>1211</v>
      </c>
      <c r="B1213" s="10" t="e">
        <f>LEFT(Table1[[#This Row],[EPI_DGN_ANTIC]],1)</f>
        <v>#VALUE!</v>
      </c>
      <c r="C1213" s="10" t="e">
        <f>LEFT(Table1[[#This Row],[EPI_DGN_ANTIC]],3)</f>
        <v>#VALUE!</v>
      </c>
      <c r="D1213" s="10" t="s">
        <v>2298</v>
      </c>
      <c r="E1213" s="10">
        <v>1</v>
      </c>
      <c r="F1213" s="10" t="s">
        <v>2299</v>
      </c>
      <c r="G1213" s="10"/>
      <c r="H1213" s="31">
        <v>520</v>
      </c>
      <c r="I1213" s="7" t="s">
        <v>2300</v>
      </c>
    </row>
    <row r="1214" spans="1:9" hidden="1">
      <c r="A1214" s="31">
        <f t="shared" si="8"/>
        <v>1212</v>
      </c>
      <c r="B1214" s="10" t="e">
        <f>LEFT(Table1[[#This Row],[EPI_DGN_ANTIC]],1)</f>
        <v>#VALUE!</v>
      </c>
      <c r="C1214" s="10" t="e">
        <f>LEFT(Table1[[#This Row],[EPI_DGN_ANTIC]],3)</f>
        <v>#VALUE!</v>
      </c>
      <c r="D1214" s="10" t="s">
        <v>2301</v>
      </c>
      <c r="E1214" s="10">
        <v>1</v>
      </c>
      <c r="F1214" s="10" t="s">
        <v>2302</v>
      </c>
      <c r="G1214" s="10"/>
      <c r="H1214" s="31">
        <v>521</v>
      </c>
      <c r="I1214" s="7" t="s">
        <v>2303</v>
      </c>
    </row>
    <row r="1215" spans="1:9" hidden="1">
      <c r="A1215" s="31">
        <f t="shared" si="8"/>
        <v>1213</v>
      </c>
      <c r="B1215" s="10" t="s">
        <v>1355</v>
      </c>
      <c r="C1215" s="10" t="e">
        <f>LEFT(Table1[[#This Row],[EPI_DGN_ANTIC]],3)</f>
        <v>#VALUE!</v>
      </c>
      <c r="D1215" s="10" t="s">
        <v>2304</v>
      </c>
      <c r="E1215" s="10">
        <v>0</v>
      </c>
      <c r="F1215" s="10"/>
      <c r="G1215" s="10"/>
      <c r="H1215" s="31">
        <v>522</v>
      </c>
      <c r="I1215" s="7" t="s">
        <v>1679</v>
      </c>
    </row>
    <row r="1216" spans="1:9" hidden="1">
      <c r="A1216" s="31">
        <f t="shared" si="8"/>
        <v>1214</v>
      </c>
      <c r="B1216" s="10" t="e">
        <f>LEFT(Table1[[#This Row],[EPI_DGN_ANTIC]],1)</f>
        <v>#VALUE!</v>
      </c>
      <c r="C1216" s="10" t="e">
        <f>LEFT(Table1[[#This Row],[EPI_DGN_ANTIC]],3)</f>
        <v>#VALUE!</v>
      </c>
      <c r="D1216" s="10" t="s">
        <v>2305</v>
      </c>
      <c r="E1216" s="10">
        <v>1</v>
      </c>
      <c r="F1216" s="10" t="s">
        <v>2306</v>
      </c>
      <c r="G1216" s="10"/>
      <c r="H1216" s="31">
        <v>523</v>
      </c>
      <c r="I1216" s="7" t="s">
        <v>2177</v>
      </c>
    </row>
    <row r="1217" spans="1:9" hidden="1">
      <c r="A1217" s="31">
        <f t="shared" si="8"/>
        <v>1215</v>
      </c>
      <c r="B1217" s="10" t="e">
        <f>LEFT(Table1[[#This Row],[EPI_DGN_ANTIC]],1)</f>
        <v>#VALUE!</v>
      </c>
      <c r="C1217" s="10" t="e">
        <f>LEFT(Table1[[#This Row],[EPI_DGN_ANTIC]],3)</f>
        <v>#VALUE!</v>
      </c>
      <c r="D1217" s="10" t="s">
        <v>2307</v>
      </c>
      <c r="E1217" s="10">
        <v>1</v>
      </c>
      <c r="F1217" s="10" t="s">
        <v>1201</v>
      </c>
      <c r="G1217" s="10"/>
      <c r="H1217" s="31">
        <v>524</v>
      </c>
      <c r="I1217" s="7" t="s">
        <v>2308</v>
      </c>
    </row>
    <row r="1218" spans="1:9" hidden="1">
      <c r="A1218" s="31">
        <f t="shared" si="8"/>
        <v>1216</v>
      </c>
      <c r="B1218" s="10" t="e">
        <f>LEFT(Table1[[#This Row],[EPI_DGN_ANTIC]],1)</f>
        <v>#VALUE!</v>
      </c>
      <c r="C1218" s="10" t="e">
        <f>LEFT(Table1[[#This Row],[EPI_DGN_ANTIC]],3)</f>
        <v>#VALUE!</v>
      </c>
      <c r="D1218" s="10" t="s">
        <v>2309</v>
      </c>
      <c r="E1218" s="10">
        <v>1</v>
      </c>
      <c r="F1218" s="10" t="s">
        <v>2310</v>
      </c>
      <c r="G1218" s="10"/>
      <c r="H1218" s="31">
        <v>525</v>
      </c>
      <c r="I1218" s="7" t="s">
        <v>1686</v>
      </c>
    </row>
    <row r="1219" spans="1:9" hidden="1">
      <c r="A1219" s="31">
        <f t="shared" si="8"/>
        <v>1217</v>
      </c>
      <c r="B1219" s="10" t="e">
        <f>LEFT(Table1[[#This Row],[EPI_DGN_ANTIC]],1)</f>
        <v>#VALUE!</v>
      </c>
      <c r="C1219" s="10" t="e">
        <f>LEFT(Table1[[#This Row],[EPI_DGN_ANTIC]],3)</f>
        <v>#VALUE!</v>
      </c>
      <c r="D1219" s="10" t="s">
        <v>2311</v>
      </c>
      <c r="E1219" s="10">
        <v>1</v>
      </c>
      <c r="F1219" s="10" t="s">
        <v>2312</v>
      </c>
      <c r="G1219" s="10"/>
      <c r="H1219" s="31">
        <v>526</v>
      </c>
      <c r="I1219" s="7" t="s">
        <v>1982</v>
      </c>
    </row>
    <row r="1220" spans="1:9" hidden="1">
      <c r="A1220" s="31">
        <f t="shared" si="8"/>
        <v>1218</v>
      </c>
      <c r="B1220" s="10" t="e">
        <f>LEFT(Table1[[#This Row],[EPI_DGN_ANTIC]],1)</f>
        <v>#VALUE!</v>
      </c>
      <c r="C1220" s="10" t="e">
        <f>LEFT(Table1[[#This Row],[EPI_DGN_ANTIC]],3)</f>
        <v>#VALUE!</v>
      </c>
      <c r="D1220" s="10" t="s">
        <v>2313</v>
      </c>
      <c r="E1220" s="10">
        <v>1</v>
      </c>
      <c r="F1220" s="10" t="s">
        <v>2310</v>
      </c>
      <c r="G1220" s="10"/>
      <c r="H1220" s="31">
        <v>527</v>
      </c>
      <c r="I1220" s="7" t="s">
        <v>2314</v>
      </c>
    </row>
    <row r="1221" spans="1:9" hidden="1">
      <c r="A1221" s="31">
        <f t="shared" si="8"/>
        <v>1219</v>
      </c>
      <c r="B1221" s="10" t="e">
        <f>LEFT(Table1[[#This Row],[EPI_DGN_ANTIC]],1)</f>
        <v>#VALUE!</v>
      </c>
      <c r="C1221" s="10" t="e">
        <f>LEFT(Table1[[#This Row],[EPI_DGN_ANTIC]],3)</f>
        <v>#VALUE!</v>
      </c>
      <c r="D1221" s="10" t="s">
        <v>2315</v>
      </c>
      <c r="E1221" s="10">
        <v>1</v>
      </c>
      <c r="F1221" s="10" t="s">
        <v>2316</v>
      </c>
      <c r="G1221" s="10"/>
      <c r="H1221" s="31">
        <v>528</v>
      </c>
      <c r="I1221" s="7" t="s">
        <v>1719</v>
      </c>
    </row>
    <row r="1222" spans="1:9" hidden="1">
      <c r="A1222" s="31">
        <f t="shared" si="8"/>
        <v>1220</v>
      </c>
      <c r="B1222" s="10" t="e">
        <f>LEFT(Table1[[#This Row],[EPI_DGN_ANTIC]],1)</f>
        <v>#VALUE!</v>
      </c>
      <c r="C1222" s="10" t="e">
        <f>LEFT(Table1[[#This Row],[EPI_DGN_ANTIC]],3)</f>
        <v>#VALUE!</v>
      </c>
      <c r="D1222" s="10" t="s">
        <v>2317</v>
      </c>
      <c r="E1222" s="10">
        <v>1</v>
      </c>
      <c r="F1222" s="10" t="s">
        <v>2318</v>
      </c>
      <c r="G1222" s="10"/>
      <c r="H1222" s="31">
        <v>529</v>
      </c>
      <c r="I1222" s="7" t="s">
        <v>2319</v>
      </c>
    </row>
    <row r="1223" spans="1:9" hidden="1">
      <c r="A1223" s="31">
        <f t="shared" si="8"/>
        <v>1221</v>
      </c>
      <c r="B1223" s="10" t="e">
        <f>LEFT(Table1[[#This Row],[EPI_DGN_ANTIC]],1)</f>
        <v>#VALUE!</v>
      </c>
      <c r="C1223" s="10" t="e">
        <f>LEFT(Table1[[#This Row],[EPI_DGN_ANTIC]],3)</f>
        <v>#VALUE!</v>
      </c>
      <c r="D1223" s="10" t="s">
        <v>2320</v>
      </c>
      <c r="E1223" s="10">
        <v>1</v>
      </c>
      <c r="F1223" s="10" t="s">
        <v>2252</v>
      </c>
      <c r="G1223" s="10"/>
      <c r="H1223" s="31">
        <v>530</v>
      </c>
      <c r="I1223" s="7" t="s">
        <v>2321</v>
      </c>
    </row>
    <row r="1224" spans="1:9" hidden="1">
      <c r="A1224" s="31">
        <f t="shared" si="8"/>
        <v>1222</v>
      </c>
      <c r="B1224" s="10" t="e">
        <f>LEFT(Table1[[#This Row],[EPI_DGN_ANTIC]],1)</f>
        <v>#VALUE!</v>
      </c>
      <c r="C1224" s="10" t="e">
        <f>LEFT(Table1[[#This Row],[EPI_DGN_ANTIC]],3)</f>
        <v>#VALUE!</v>
      </c>
      <c r="D1224" s="10" t="s">
        <v>2322</v>
      </c>
      <c r="E1224" s="10">
        <v>1</v>
      </c>
      <c r="F1224" s="10" t="s">
        <v>2323</v>
      </c>
      <c r="G1224" s="10"/>
      <c r="H1224" s="31">
        <v>531</v>
      </c>
      <c r="I1224" s="7" t="s">
        <v>2324</v>
      </c>
    </row>
    <row r="1225" spans="1:9" hidden="1">
      <c r="A1225" s="31">
        <f t="shared" si="8"/>
        <v>1223</v>
      </c>
      <c r="B1225" s="10" t="e">
        <f>LEFT(Table1[[#This Row],[EPI_DGN_ANTIC]],1)</f>
        <v>#VALUE!</v>
      </c>
      <c r="C1225" s="10" t="e">
        <f>LEFT(Table1[[#This Row],[EPI_DGN_ANTIC]],2)</f>
        <v>#VALUE!</v>
      </c>
      <c r="D1225" s="10" t="s">
        <v>1600</v>
      </c>
      <c r="E1225" s="10">
        <v>1</v>
      </c>
      <c r="F1225" s="10" t="s">
        <v>2325</v>
      </c>
      <c r="G1225" s="10"/>
      <c r="H1225" s="31">
        <v>532</v>
      </c>
      <c r="I1225" s="7" t="s">
        <v>1736</v>
      </c>
    </row>
    <row r="1226" spans="1:9" hidden="1">
      <c r="A1226" s="31">
        <f t="shared" si="8"/>
        <v>1224</v>
      </c>
      <c r="B1226" s="10" t="e">
        <f>LEFT(Table1[[#This Row],[EPI_DGN_ANTIC]],1)</f>
        <v>#VALUE!</v>
      </c>
      <c r="C1226" s="10" t="e">
        <f>LEFT(Table1[[#This Row],[EPI_DGN_ANTIC]],3)</f>
        <v>#VALUE!</v>
      </c>
      <c r="D1226" s="10" t="s">
        <v>2326</v>
      </c>
      <c r="E1226" s="10">
        <v>1</v>
      </c>
      <c r="F1226" s="10" t="s">
        <v>2327</v>
      </c>
      <c r="G1226" s="10"/>
      <c r="H1226" s="31">
        <v>533</v>
      </c>
      <c r="I1226" s="7" t="s">
        <v>2328</v>
      </c>
    </row>
    <row r="1227" spans="1:9" hidden="1">
      <c r="A1227" s="31">
        <f t="shared" si="8"/>
        <v>1225</v>
      </c>
      <c r="B1227" s="10" t="e">
        <f>LEFT(Table1[[#This Row],[EPI_DGN_ANTIC]],1)</f>
        <v>#VALUE!</v>
      </c>
      <c r="C1227" s="10" t="e">
        <f>LEFT(Table1[[#This Row],[EPI_DGN_ANTIC]],3)</f>
        <v>#VALUE!</v>
      </c>
      <c r="D1227" s="10" t="s">
        <v>2329</v>
      </c>
      <c r="E1227" s="10">
        <v>1</v>
      </c>
      <c r="F1227" s="10" t="s">
        <v>2330</v>
      </c>
      <c r="G1227" s="10"/>
      <c r="H1227" s="31">
        <v>534</v>
      </c>
      <c r="I1227" s="7" t="s">
        <v>2331</v>
      </c>
    </row>
    <row r="1228" spans="1:9" hidden="1">
      <c r="A1228" s="31">
        <f t="shared" si="8"/>
        <v>1226</v>
      </c>
      <c r="B1228" s="10" t="e">
        <f>LEFT(Table1[[#This Row],[EPI_DGN_ANTIC]],1)</f>
        <v>#VALUE!</v>
      </c>
      <c r="C1228" s="10" t="e">
        <f>LEFT(Table1[[#This Row],[EPI_DGN_ANTIC]],3)</f>
        <v>#VALUE!</v>
      </c>
      <c r="D1228" s="10" t="s">
        <v>2332</v>
      </c>
      <c r="E1228" s="10">
        <v>1</v>
      </c>
      <c r="F1228" s="10" t="s">
        <v>2333</v>
      </c>
      <c r="G1228" s="10"/>
      <c r="H1228" s="31">
        <v>535</v>
      </c>
      <c r="I1228" s="7" t="s">
        <v>2334</v>
      </c>
    </row>
    <row r="1229" spans="1:9" hidden="1">
      <c r="A1229" s="31">
        <f t="shared" si="8"/>
        <v>1227</v>
      </c>
      <c r="B1229" s="10" t="e">
        <f>LEFT(Table1[[#This Row],[EPI_DGN_ANTIC]],1)</f>
        <v>#VALUE!</v>
      </c>
      <c r="C1229" s="10" t="e">
        <f>LEFT(Table1[[#This Row],[EPI_DGN_ANTIC]],2)</f>
        <v>#VALUE!</v>
      </c>
      <c r="D1229" s="10" t="s">
        <v>2335</v>
      </c>
      <c r="E1229" s="10">
        <v>0</v>
      </c>
      <c r="F1229" s="10"/>
      <c r="G1229" s="10"/>
      <c r="H1229" s="31">
        <v>536</v>
      </c>
      <c r="I1229" s="7" t="s">
        <v>2336</v>
      </c>
    </row>
    <row r="1230" spans="1:9" hidden="1">
      <c r="A1230" s="31">
        <f t="shared" si="8"/>
        <v>1228</v>
      </c>
      <c r="B1230" s="10" t="e">
        <f>LEFT(Table1[[#This Row],[EPI_DGN_ANTIC]],1)</f>
        <v>#VALUE!</v>
      </c>
      <c r="C1230" s="10" t="e">
        <f>LEFT(Table1[[#This Row],[EPI_DGN_ANTIC]],2)</f>
        <v>#VALUE!</v>
      </c>
      <c r="D1230" s="10" t="s">
        <v>2335</v>
      </c>
      <c r="E1230" s="10">
        <v>1</v>
      </c>
      <c r="F1230" s="10" t="s">
        <v>2337</v>
      </c>
      <c r="G1230" s="10"/>
      <c r="H1230" s="31">
        <v>537</v>
      </c>
      <c r="I1230" s="7" t="s">
        <v>2338</v>
      </c>
    </row>
    <row r="1231" spans="1:9" hidden="1">
      <c r="A1231" s="31">
        <f t="shared" si="8"/>
        <v>1229</v>
      </c>
      <c r="B1231" s="10" t="e">
        <f>LEFT(Table1[[#This Row],[EPI_DGN_ANTIC]],1)</f>
        <v>#VALUE!</v>
      </c>
      <c r="C1231" s="10" t="e">
        <f>LEFT(Table1[[#This Row],[EPI_DGN_ANTIC]],2)</f>
        <v>#VALUE!</v>
      </c>
      <c r="D1231" s="10" t="s">
        <v>2339</v>
      </c>
      <c r="E1231" s="10">
        <v>0</v>
      </c>
      <c r="F1231" s="10"/>
      <c r="G1231" s="10"/>
      <c r="H1231" s="31">
        <v>538</v>
      </c>
      <c r="I1231" s="7" t="s">
        <v>2340</v>
      </c>
    </row>
    <row r="1232" spans="1:9" hidden="1">
      <c r="A1232" s="31">
        <f t="shared" si="8"/>
        <v>1230</v>
      </c>
      <c r="B1232" s="10" t="s">
        <v>1355</v>
      </c>
      <c r="C1232" s="10" t="e">
        <f>LEFT(Table1[[#This Row],[EPI_DGN_ANTIC]],1)</f>
        <v>#VALUE!</v>
      </c>
      <c r="D1232" s="10" t="s">
        <v>2341</v>
      </c>
      <c r="E1232" s="10">
        <v>0</v>
      </c>
      <c r="F1232" s="10"/>
      <c r="G1232" s="10"/>
      <c r="H1232" s="31">
        <v>539</v>
      </c>
      <c r="I1232" s="7" t="s">
        <v>543</v>
      </c>
    </row>
    <row r="1233" spans="1:9" hidden="1">
      <c r="A1233" s="31">
        <f t="shared" si="8"/>
        <v>1231</v>
      </c>
      <c r="B1233" s="10" t="e">
        <f>LEFT(Table1[[#This Row],[EPI_DGN_ANTIC]],1)</f>
        <v>#VALUE!</v>
      </c>
      <c r="C1233" s="10" t="e">
        <f>LEFT(Table1[[#This Row],[EPI_DGN_ANTIC]],2)</f>
        <v>#VALUE!</v>
      </c>
      <c r="D1233" s="10" t="s">
        <v>2342</v>
      </c>
      <c r="E1233" s="10">
        <v>1</v>
      </c>
      <c r="F1233" s="10" t="s">
        <v>2343</v>
      </c>
      <c r="G1233" s="10"/>
      <c r="H1233" s="31">
        <v>540</v>
      </c>
      <c r="I1233" s="7" t="s">
        <v>125</v>
      </c>
    </row>
    <row r="1234" spans="1:9" hidden="1">
      <c r="A1234" s="31">
        <f t="shared" si="8"/>
        <v>1232</v>
      </c>
      <c r="B1234" s="10" t="e">
        <f>LEFT(Table1[[#This Row],[EPI_DGN_ANTIC]],1)</f>
        <v>#VALUE!</v>
      </c>
      <c r="C1234" s="10" t="e">
        <f>LEFT(Table1[[#This Row],[EPI_DGN_ANTIC]],2)</f>
        <v>#VALUE!</v>
      </c>
      <c r="D1234" s="10" t="s">
        <v>2344</v>
      </c>
      <c r="E1234" s="10">
        <v>1</v>
      </c>
      <c r="F1234" s="10" t="s">
        <v>2345</v>
      </c>
      <c r="G1234" s="10"/>
      <c r="H1234" s="31">
        <v>541</v>
      </c>
      <c r="I1234" s="7" t="s">
        <v>2346</v>
      </c>
    </row>
    <row r="1235" spans="1:9" hidden="1">
      <c r="A1235" s="31">
        <f t="shared" si="8"/>
        <v>1233</v>
      </c>
      <c r="B1235" s="10" t="e">
        <f>LEFT(Table1[[#This Row],[EPI_DGN_ANTIC]],1)</f>
        <v>#VALUE!</v>
      </c>
      <c r="C1235" s="10" t="e">
        <f>LEFT(Table1[[#This Row],[EPI_DGN_ANTIC]],2)</f>
        <v>#VALUE!</v>
      </c>
      <c r="D1235" s="10" t="s">
        <v>2347</v>
      </c>
      <c r="E1235" s="10">
        <v>1</v>
      </c>
      <c r="F1235" s="10" t="s">
        <v>2348</v>
      </c>
      <c r="G1235" s="10"/>
      <c r="H1235" s="31">
        <v>542</v>
      </c>
      <c r="I1235" s="7" t="s">
        <v>2349</v>
      </c>
    </row>
    <row r="1236" spans="1:9" hidden="1">
      <c r="A1236" s="31">
        <f t="shared" si="8"/>
        <v>1234</v>
      </c>
      <c r="B1236" s="10" t="e">
        <f>LEFT(Table1[[#This Row],[EPI_DGN_ANTIC]],1)</f>
        <v>#VALUE!</v>
      </c>
      <c r="C1236" s="10" t="e">
        <f>LEFT(Table1[[#This Row],[EPI_DGN_ANTIC]],2)</f>
        <v>#VALUE!</v>
      </c>
      <c r="D1236" s="10" t="s">
        <v>2350</v>
      </c>
      <c r="E1236" s="10">
        <v>1</v>
      </c>
      <c r="F1236" s="10" t="s">
        <v>2348</v>
      </c>
      <c r="G1236" s="10"/>
      <c r="H1236" s="31">
        <v>543</v>
      </c>
      <c r="I1236" s="7" t="s">
        <v>148</v>
      </c>
    </row>
    <row r="1237" spans="1:9" hidden="1">
      <c r="A1237" s="31">
        <f t="shared" si="8"/>
        <v>1235</v>
      </c>
      <c r="B1237" s="10" t="e">
        <f>LEFT(Table1[[#This Row],[EPI_DGN_ANTIC]],1)</f>
        <v>#VALUE!</v>
      </c>
      <c r="C1237" s="10" t="e">
        <f>LEFT(Table1[[#This Row],[EPI_DGN_ANTIC]],2)</f>
        <v>#VALUE!</v>
      </c>
      <c r="D1237" s="10" t="s">
        <v>1705</v>
      </c>
      <c r="E1237" s="10">
        <v>1</v>
      </c>
      <c r="F1237" s="10" t="s">
        <v>1957</v>
      </c>
      <c r="G1237" s="10"/>
      <c r="H1237" s="31">
        <v>544</v>
      </c>
      <c r="I1237" s="7" t="s">
        <v>2351</v>
      </c>
    </row>
    <row r="1238" spans="1:9" hidden="1">
      <c r="A1238" s="31">
        <f t="shared" si="8"/>
        <v>1236</v>
      </c>
      <c r="B1238" s="10" t="s">
        <v>1355</v>
      </c>
      <c r="C1238" s="10" t="e">
        <f>LEFT(Table1[[#This Row],[EPI_DGN_ANTIC]],2)</f>
        <v>#VALUE!</v>
      </c>
      <c r="D1238" s="10" t="s">
        <v>2352</v>
      </c>
      <c r="E1238" s="10">
        <v>0</v>
      </c>
      <c r="F1238" s="10"/>
      <c r="G1238" s="10"/>
      <c r="H1238" s="31">
        <v>545</v>
      </c>
      <c r="I1238" s="7" t="s">
        <v>2353</v>
      </c>
    </row>
    <row r="1239" spans="1:9" hidden="1">
      <c r="A1239" s="31">
        <f t="shared" si="8"/>
        <v>1237</v>
      </c>
      <c r="B1239" s="10" t="s">
        <v>1705</v>
      </c>
      <c r="C1239" s="10" t="s">
        <v>2354</v>
      </c>
      <c r="D1239" s="10" t="s">
        <v>2355</v>
      </c>
      <c r="E1239" s="10">
        <v>1</v>
      </c>
      <c r="F1239" s="10" t="s">
        <v>1711</v>
      </c>
      <c r="G1239" s="24" t="s">
        <v>786</v>
      </c>
      <c r="H1239" s="31">
        <v>546</v>
      </c>
      <c r="I1239" s="7" t="s">
        <v>1848</v>
      </c>
    </row>
    <row r="1240" spans="1:9" hidden="1">
      <c r="A1240" s="31">
        <f t="shared" si="8"/>
        <v>1238</v>
      </c>
      <c r="B1240" s="10" t="e">
        <f>LEFT(Table1[[#This Row],[EPI_DGN_ANTIC]],1)</f>
        <v>#VALUE!</v>
      </c>
      <c r="C1240" s="10" t="e">
        <f>LEFT(Table1[[#This Row],[EPI_DGN_ANTIC]],2)</f>
        <v>#VALUE!</v>
      </c>
      <c r="D1240" s="10" t="s">
        <v>2356</v>
      </c>
      <c r="E1240" s="10">
        <v>0</v>
      </c>
      <c r="F1240" s="10"/>
      <c r="G1240" s="10"/>
      <c r="H1240" s="31">
        <v>547</v>
      </c>
      <c r="I1240" s="7" t="s">
        <v>1391</v>
      </c>
    </row>
    <row r="1241" spans="1:9" hidden="1">
      <c r="A1241" s="31">
        <f t="shared" si="8"/>
        <v>1239</v>
      </c>
      <c r="B1241" s="10" t="e">
        <f>LEFT(Table1[[#This Row],[EPI_DGN_ANTIC]],1)</f>
        <v>#VALUE!</v>
      </c>
      <c r="C1241" s="10" t="e">
        <f>LEFT(Table1[[#This Row],[EPI_DGN_ANTIC]],2)</f>
        <v>#VALUE!</v>
      </c>
      <c r="D1241" s="10" t="s">
        <v>2357</v>
      </c>
      <c r="E1241" s="10">
        <v>1</v>
      </c>
      <c r="F1241" s="10" t="s">
        <v>2358</v>
      </c>
      <c r="G1241" s="10"/>
      <c r="H1241" s="31">
        <v>548</v>
      </c>
      <c r="I1241" s="7" t="s">
        <v>191</v>
      </c>
    </row>
    <row r="1242" spans="1:9" hidden="1">
      <c r="A1242" s="31">
        <f t="shared" si="8"/>
        <v>1240</v>
      </c>
      <c r="B1242" s="10" t="e">
        <f>LEFT(Table1[[#This Row],[EPI_DGN_ANTIC]],1)</f>
        <v>#VALUE!</v>
      </c>
      <c r="C1242" s="10" t="e">
        <f>LEFT(Table1[[#This Row],[EPI_DGN_ANTIC]],2)</f>
        <v>#VALUE!</v>
      </c>
      <c r="D1242" s="10" t="s">
        <v>2359</v>
      </c>
      <c r="E1242" s="10">
        <v>1</v>
      </c>
      <c r="F1242" s="10" t="s">
        <v>2360</v>
      </c>
      <c r="G1242" s="10"/>
      <c r="H1242" s="31">
        <v>549</v>
      </c>
      <c r="I1242" s="7" t="s">
        <v>848</v>
      </c>
    </row>
    <row r="1243" spans="1:9" hidden="1">
      <c r="A1243" s="31">
        <f t="shared" si="8"/>
        <v>1241</v>
      </c>
      <c r="B1243" s="10" t="e">
        <f>LEFT(Table1[[#This Row],[EPI_DGN_ANTIC]],1)</f>
        <v>#VALUE!</v>
      </c>
      <c r="C1243" s="10" t="e">
        <f>LEFT(Table1[[#This Row],[EPI_DGN_ANTIC]],2)</f>
        <v>#VALUE!</v>
      </c>
      <c r="D1243" s="10" t="s">
        <v>1358</v>
      </c>
      <c r="E1243" s="10">
        <v>0</v>
      </c>
      <c r="F1243" s="10"/>
      <c r="G1243" s="10"/>
      <c r="H1243" s="31">
        <v>550</v>
      </c>
      <c r="I1243" s="7" t="s">
        <v>2361</v>
      </c>
    </row>
    <row r="1244" spans="1:9" hidden="1">
      <c r="A1244" s="31">
        <f t="shared" si="8"/>
        <v>1242</v>
      </c>
      <c r="B1244" s="10" t="e">
        <f>LEFT(Table1[[#This Row],[EPI_DGN_ANTIC]],1)</f>
        <v>#VALUE!</v>
      </c>
      <c r="C1244" s="10" t="e">
        <f>LEFT(Table1[[#This Row],[EPI_DGN_ANTIC]],4)</f>
        <v>#VALUE!</v>
      </c>
      <c r="D1244" s="10" t="s">
        <v>2362</v>
      </c>
      <c r="E1244" s="10">
        <v>0</v>
      </c>
      <c r="F1244" s="10"/>
      <c r="G1244" s="10"/>
      <c r="H1244" s="31">
        <v>551</v>
      </c>
      <c r="I1244" s="7" t="s">
        <v>2363</v>
      </c>
    </row>
    <row r="1245" spans="1:9" hidden="1">
      <c r="A1245" s="31">
        <f t="shared" si="8"/>
        <v>1243</v>
      </c>
      <c r="B1245" s="10" t="e">
        <f>LEFT(Table1[[#This Row],[EPI_DGN_ANTIC]],1)</f>
        <v>#VALUE!</v>
      </c>
      <c r="C1245" s="10" t="e">
        <f>LEFT(Table1[[#This Row],[EPI_DGN_ANTIC]],4)</f>
        <v>#VALUE!</v>
      </c>
      <c r="D1245" s="10" t="s">
        <v>2364</v>
      </c>
      <c r="E1245" s="10">
        <v>0</v>
      </c>
      <c r="F1245" s="10"/>
      <c r="G1245" s="10"/>
      <c r="H1245" s="31">
        <v>552</v>
      </c>
      <c r="I1245" s="7" t="s">
        <v>848</v>
      </c>
    </row>
    <row r="1246" spans="1:9" hidden="1">
      <c r="A1246" s="31">
        <f t="shared" si="8"/>
        <v>1244</v>
      </c>
      <c r="B1246" s="10" t="e">
        <f>LEFT(Table1[[#This Row],[EPI_DGN_ANTIC]],1)</f>
        <v>#VALUE!</v>
      </c>
      <c r="C1246" s="10" t="e">
        <f>LEFT(Table1[[#This Row],[EPI_DGN_ANTIC]],4)</f>
        <v>#VALUE!</v>
      </c>
      <c r="D1246" s="10" t="s">
        <v>2365</v>
      </c>
      <c r="E1246" s="10">
        <v>0</v>
      </c>
      <c r="F1246" s="10"/>
      <c r="G1246" s="10"/>
      <c r="H1246" s="31">
        <v>553</v>
      </c>
      <c r="I1246" s="7" t="s">
        <v>2363</v>
      </c>
    </row>
    <row r="1247" spans="1:9" hidden="1">
      <c r="A1247" s="31">
        <f t="shared" si="8"/>
        <v>1245</v>
      </c>
      <c r="B1247" s="10" t="e">
        <f>LEFT(Table1[[#This Row],[EPI_DGN_ANTIC]],1)</f>
        <v>#VALUE!</v>
      </c>
      <c r="C1247" s="10" t="e">
        <f>LEFT(Table1[[#This Row],[EPI_DGN_ANTIC]],4)</f>
        <v>#VALUE!</v>
      </c>
      <c r="D1247" s="10" t="s">
        <v>2366</v>
      </c>
      <c r="E1247" s="10">
        <v>0</v>
      </c>
      <c r="F1247" s="10"/>
      <c r="G1247" s="10"/>
      <c r="H1247" s="31">
        <v>554</v>
      </c>
      <c r="I1247" s="7" t="s">
        <v>884</v>
      </c>
    </row>
    <row r="1248" spans="1:9" hidden="1">
      <c r="A1248" s="31">
        <f t="shared" si="8"/>
        <v>1246</v>
      </c>
      <c r="B1248" s="10" t="e">
        <f>LEFT(Table1[[#This Row],[EPI_DGN_ANTIC]],1)</f>
        <v>#VALUE!</v>
      </c>
      <c r="C1248" s="10" t="e">
        <f>LEFT(Table1[[#This Row],[EPI_DGN_ANTIC]],4)</f>
        <v>#VALUE!</v>
      </c>
      <c r="D1248" s="10" t="s">
        <v>2367</v>
      </c>
      <c r="E1248" s="10">
        <v>1</v>
      </c>
      <c r="F1248" s="10" t="s">
        <v>2368</v>
      </c>
      <c r="G1248" s="10"/>
      <c r="H1248" s="31">
        <v>555</v>
      </c>
      <c r="I1248" s="7" t="s">
        <v>884</v>
      </c>
    </row>
    <row r="1249" spans="1:9" hidden="1">
      <c r="A1249" s="31">
        <f t="shared" si="8"/>
        <v>1247</v>
      </c>
      <c r="B1249" s="10" t="e">
        <f>LEFT(Table1[[#This Row],[EPI_DGN_ANTIC]],1)</f>
        <v>#VALUE!</v>
      </c>
      <c r="C1249" s="10" t="e">
        <f>LEFT(Table1[[#This Row],[EPI_DGN_ANTIC]],4)</f>
        <v>#VALUE!</v>
      </c>
      <c r="D1249" s="10" t="s">
        <v>2364</v>
      </c>
      <c r="E1249" s="10">
        <v>1</v>
      </c>
      <c r="F1249" s="10" t="s">
        <v>1420</v>
      </c>
      <c r="G1249" s="10"/>
      <c r="H1249" s="31">
        <v>556</v>
      </c>
      <c r="I1249" s="7" t="s">
        <v>1017</v>
      </c>
    </row>
    <row r="1250" spans="1:9" hidden="1">
      <c r="A1250" s="31">
        <f t="shared" si="8"/>
        <v>1248</v>
      </c>
      <c r="B1250" s="10" t="e">
        <f>LEFT(Table1[[#This Row],[EPI_DGN_ANTIC]],1)</f>
        <v>#VALUE!</v>
      </c>
      <c r="C1250" s="10" t="e">
        <f>LEFT(Table1[[#This Row],[EPI_DGN_ANTIC]],4)</f>
        <v>#VALUE!</v>
      </c>
      <c r="D1250" s="10" t="s">
        <v>2369</v>
      </c>
      <c r="E1250" s="10">
        <v>1</v>
      </c>
      <c r="F1250" s="10" t="s">
        <v>2370</v>
      </c>
      <c r="G1250" s="10"/>
      <c r="H1250" s="31">
        <v>557</v>
      </c>
      <c r="I1250" s="7" t="s">
        <v>2371</v>
      </c>
    </row>
    <row r="1251" spans="1:9" hidden="1">
      <c r="A1251" s="31">
        <f t="shared" si="8"/>
        <v>1249</v>
      </c>
      <c r="B1251" s="10" t="e">
        <f>LEFT(Table1[[#This Row],[EPI_DGN_ANTIC]],1)</f>
        <v>#VALUE!</v>
      </c>
      <c r="C1251" s="10" t="e">
        <f>LEFT(Table1[[#This Row],[EPI_DGN_ANTIC]],4)</f>
        <v>#VALUE!</v>
      </c>
      <c r="D1251" s="10" t="s">
        <v>2366</v>
      </c>
      <c r="E1251" s="10">
        <v>1</v>
      </c>
      <c r="F1251" s="10" t="s">
        <v>2372</v>
      </c>
      <c r="G1251" s="10"/>
      <c r="H1251" s="31">
        <v>558</v>
      </c>
      <c r="I1251" s="7" t="s">
        <v>2373</v>
      </c>
    </row>
    <row r="1252" spans="1:9" hidden="1">
      <c r="A1252" s="31">
        <f t="shared" si="8"/>
        <v>1250</v>
      </c>
      <c r="B1252" s="10" t="e">
        <f>LEFT(Table1[[#This Row],[EPI_DGN_ANTIC]],1)</f>
        <v>#VALUE!</v>
      </c>
      <c r="C1252" s="10" t="e">
        <f>LEFT(Table1[[#This Row],[EPI_DGN_ANTIC]],2)</f>
        <v>#VALUE!</v>
      </c>
      <c r="D1252" s="10" t="s">
        <v>1358</v>
      </c>
      <c r="E1252" s="10">
        <v>0</v>
      </c>
      <c r="F1252" s="10"/>
      <c r="G1252" s="10"/>
      <c r="H1252" s="31">
        <v>559</v>
      </c>
      <c r="I1252" s="7" t="s">
        <v>2374</v>
      </c>
    </row>
    <row r="1253" spans="1:9" hidden="1">
      <c r="A1253" s="31">
        <f t="shared" si="8"/>
        <v>1251</v>
      </c>
      <c r="B1253" s="10" t="e">
        <f>LEFT(Table1[[#This Row],[EPI_DGN_ANTIC]],1)</f>
        <v>#VALUE!</v>
      </c>
      <c r="C1253" s="10" t="e">
        <f>LEFT(Table1[[#This Row],[EPI_DGN_ANTIC]],2)</f>
        <v>#VALUE!</v>
      </c>
      <c r="D1253" s="10" t="s">
        <v>2375</v>
      </c>
      <c r="E1253" s="10">
        <v>1</v>
      </c>
      <c r="F1253" s="10" t="s">
        <v>2376</v>
      </c>
      <c r="G1253" s="10"/>
      <c r="H1253" s="31">
        <v>560</v>
      </c>
      <c r="I1253" s="7" t="s">
        <v>2374</v>
      </c>
    </row>
    <row r="1254" spans="1:9" hidden="1">
      <c r="A1254" s="31">
        <f t="shared" si="8"/>
        <v>1252</v>
      </c>
      <c r="B1254" s="10" t="e">
        <f>LEFT(Table1[[#This Row],[EPI_DGN_ANTIC]],1)</f>
        <v>#VALUE!</v>
      </c>
      <c r="C1254" s="10" t="e">
        <f>LEFT(Table1[[#This Row],[EPI_DGN_ANTIC]],2)</f>
        <v>#VALUE!</v>
      </c>
      <c r="D1254" s="10" t="s">
        <v>2377</v>
      </c>
      <c r="E1254" s="10">
        <v>1</v>
      </c>
      <c r="F1254" s="10" t="s">
        <v>2378</v>
      </c>
      <c r="G1254" s="10"/>
      <c r="H1254" s="31">
        <v>561</v>
      </c>
      <c r="I1254" s="7" t="s">
        <v>2379</v>
      </c>
    </row>
    <row r="1255" spans="1:9" hidden="1">
      <c r="A1255" s="31">
        <f t="shared" si="8"/>
        <v>1253</v>
      </c>
      <c r="B1255" s="10" t="e">
        <f>LEFT(Table1[[#This Row],[EPI_DGN_ANTIC]],1)</f>
        <v>#VALUE!</v>
      </c>
      <c r="C1255" s="10" t="e">
        <f>LEFT(Table1[[#This Row],[EPI_DGN_ANTIC]],2)</f>
        <v>#VALUE!</v>
      </c>
      <c r="D1255" s="10" t="s">
        <v>2380</v>
      </c>
      <c r="E1255" s="10">
        <v>0</v>
      </c>
      <c r="F1255" s="10"/>
      <c r="G1255" s="10"/>
      <c r="H1255" s="31">
        <v>562</v>
      </c>
      <c r="I1255" s="7" t="s">
        <v>727</v>
      </c>
    </row>
    <row r="1256" spans="1:9" hidden="1">
      <c r="A1256" s="31">
        <f t="shared" si="8"/>
        <v>1254</v>
      </c>
      <c r="B1256" s="10" t="e">
        <f>LEFT(Table1[[#This Row],[EPI_DGN_ANTIC]],1)</f>
        <v>#VALUE!</v>
      </c>
      <c r="C1256" s="10" t="e">
        <f>LEFT(Table1[[#This Row],[EPI_DGN_ANTIC]],2)</f>
        <v>#VALUE!</v>
      </c>
      <c r="D1256" s="10" t="s">
        <v>2381</v>
      </c>
      <c r="E1256" s="10">
        <v>1</v>
      </c>
      <c r="F1256" s="10" t="s">
        <v>1472</v>
      </c>
      <c r="G1256" s="10"/>
      <c r="H1256" s="31">
        <v>563</v>
      </c>
      <c r="I1256" s="7" t="s">
        <v>2382</v>
      </c>
    </row>
    <row r="1257" spans="1:9" hidden="1">
      <c r="A1257" s="31">
        <f t="shared" si="8"/>
        <v>1255</v>
      </c>
      <c r="B1257" s="10" t="e">
        <f>LEFT(Table1[[#This Row],[EPI_DGN_ANTIC]],1)</f>
        <v>#VALUE!</v>
      </c>
      <c r="C1257" s="10" t="e">
        <f>LEFT(Table1[[#This Row],[EPI_DGN_ANTIC]],2)</f>
        <v>#VALUE!</v>
      </c>
      <c r="D1257" s="10" t="s">
        <v>2383</v>
      </c>
      <c r="E1257" s="10">
        <v>1</v>
      </c>
      <c r="F1257" s="10" t="s">
        <v>2384</v>
      </c>
      <c r="G1257" s="10"/>
      <c r="H1257" s="31">
        <v>564</v>
      </c>
      <c r="I1257" s="7" t="s">
        <v>1017</v>
      </c>
    </row>
    <row r="1258" spans="1:9" hidden="1">
      <c r="A1258" s="31">
        <f t="shared" si="8"/>
        <v>1256</v>
      </c>
      <c r="B1258" s="10" t="e">
        <f>LEFT(Table1[[#This Row],[EPI_DGN_ANTIC]],1)</f>
        <v>#VALUE!</v>
      </c>
      <c r="C1258" s="10" t="e">
        <f>LEFT(Table1[[#This Row],[EPI_DGN_ANTIC]],3)</f>
        <v>#VALUE!</v>
      </c>
      <c r="D1258" s="10" t="s">
        <v>2385</v>
      </c>
      <c r="E1258" s="10">
        <v>1</v>
      </c>
      <c r="F1258" s="10" t="s">
        <v>2386</v>
      </c>
      <c r="G1258" s="10"/>
      <c r="H1258" s="31">
        <v>565</v>
      </c>
      <c r="I1258" s="7" t="s">
        <v>1017</v>
      </c>
    </row>
    <row r="1259" spans="1:9" hidden="1">
      <c r="A1259" s="31">
        <f t="shared" si="8"/>
        <v>1257</v>
      </c>
      <c r="B1259" s="10" t="s">
        <v>1355</v>
      </c>
      <c r="C1259" s="10" t="e">
        <f>LEFT(Table1[[#This Row],[EPI_DGN_ANTIC]],1)</f>
        <v>#VALUE!</v>
      </c>
      <c r="D1259" s="10" t="s">
        <v>2387</v>
      </c>
      <c r="E1259" s="10">
        <v>0</v>
      </c>
      <c r="F1259" s="10"/>
      <c r="G1259" s="10"/>
      <c r="H1259" s="31">
        <v>566</v>
      </c>
      <c r="I1259" s="7" t="s">
        <v>291</v>
      </c>
    </row>
    <row r="1260" spans="1:9" hidden="1">
      <c r="A1260" s="31">
        <f t="shared" si="8"/>
        <v>1258</v>
      </c>
      <c r="B1260" s="10" t="e">
        <f>LEFT(Table1[[#This Row],[EPI_DGN_ANTIC]],1)</f>
        <v>#VALUE!</v>
      </c>
      <c r="C1260" s="10" t="e">
        <f>LEFT(Table1[[#This Row],[EPI_DGN_ANTIC]],3)</f>
        <v>#VALUE!</v>
      </c>
      <c r="D1260" s="10" t="s">
        <v>2388</v>
      </c>
      <c r="E1260" s="10">
        <v>1</v>
      </c>
      <c r="F1260" s="10" t="s">
        <v>2389</v>
      </c>
      <c r="G1260" s="10"/>
      <c r="H1260" s="31">
        <v>567</v>
      </c>
      <c r="I1260" s="7" t="s">
        <v>2390</v>
      </c>
    </row>
    <row r="1261" spans="1:9" hidden="1">
      <c r="A1261" s="31">
        <f t="shared" si="8"/>
        <v>1259</v>
      </c>
      <c r="B1261" s="10" t="e">
        <f>LEFT(Table1[[#This Row],[EPI_DGN_ANTIC]],1)</f>
        <v>#VALUE!</v>
      </c>
      <c r="C1261" s="10" t="e">
        <f>LEFT(Table1[[#This Row],[EPI_DGN_ANTIC]],3)</f>
        <v>#VALUE!</v>
      </c>
      <c r="D1261" s="10" t="s">
        <v>2391</v>
      </c>
      <c r="E1261" s="10">
        <v>0</v>
      </c>
      <c r="F1261" s="10"/>
      <c r="G1261" s="10"/>
      <c r="H1261" s="31">
        <v>568</v>
      </c>
      <c r="I1261" s="7" t="s">
        <v>2392</v>
      </c>
    </row>
    <row r="1262" spans="1:9" hidden="1">
      <c r="A1262" s="31">
        <f t="shared" si="8"/>
        <v>1260</v>
      </c>
      <c r="B1262" s="10" t="e">
        <f>LEFT(Table1[[#This Row],[EPI_DGN_ANTIC]],1)</f>
        <v>#VALUE!</v>
      </c>
      <c r="C1262" s="10" t="e">
        <f>LEFT(Table1[[#This Row],[EPI_DGN_ANTIC]],3)</f>
        <v>#VALUE!</v>
      </c>
      <c r="D1262" s="10" t="s">
        <v>2393</v>
      </c>
      <c r="E1262" s="10">
        <v>1</v>
      </c>
      <c r="F1262" s="10" t="s">
        <v>2394</v>
      </c>
      <c r="G1262" s="10"/>
      <c r="H1262" s="31">
        <v>569</v>
      </c>
      <c r="I1262" s="7" t="s">
        <v>2392</v>
      </c>
    </row>
    <row r="1263" spans="1:9" hidden="1">
      <c r="A1263" s="31">
        <f t="shared" si="8"/>
        <v>1261</v>
      </c>
      <c r="B1263" s="10" t="e">
        <f>LEFT(Table1[[#This Row],[EPI_DGN_ANTIC]],1)</f>
        <v>#VALUE!</v>
      </c>
      <c r="C1263" s="10" t="e">
        <f>LEFT(Table1[[#This Row],[EPI_DGN_ANTIC]],3)</f>
        <v>#VALUE!</v>
      </c>
      <c r="D1263" s="10" t="s">
        <v>2395</v>
      </c>
      <c r="E1263" s="10">
        <v>1</v>
      </c>
      <c r="F1263" s="10" t="s">
        <v>2396</v>
      </c>
      <c r="G1263" s="10"/>
      <c r="H1263" s="31">
        <v>570</v>
      </c>
      <c r="I1263" s="7" t="s">
        <v>878</v>
      </c>
    </row>
    <row r="1264" spans="1:9" hidden="1">
      <c r="A1264" s="31">
        <f t="shared" si="8"/>
        <v>1262</v>
      </c>
      <c r="B1264" s="10" t="e">
        <f>LEFT(Table1[[#This Row],[EPI_DGN_ANTIC]],1)</f>
        <v>#VALUE!</v>
      </c>
      <c r="C1264" s="10" t="e">
        <f>LEFT(Table1[[#This Row],[EPI_DGN_ANTIC]],3)</f>
        <v>#VALUE!</v>
      </c>
      <c r="D1264" s="10" t="s">
        <v>2225</v>
      </c>
      <c r="E1264" s="10">
        <v>1</v>
      </c>
      <c r="F1264" s="10" t="s">
        <v>2397</v>
      </c>
      <c r="G1264" s="10"/>
      <c r="H1264" s="31">
        <v>571</v>
      </c>
      <c r="I1264" s="7" t="s">
        <v>878</v>
      </c>
    </row>
    <row r="1265" spans="1:9" hidden="1">
      <c r="A1265" s="31">
        <f t="shared" si="8"/>
        <v>1263</v>
      </c>
      <c r="B1265" s="10" t="e">
        <f>LEFT(Table1[[#This Row],[EPI_DGN_ANTIC]],1)</f>
        <v>#VALUE!</v>
      </c>
      <c r="C1265" s="10" t="e">
        <f>LEFT(Table1[[#This Row],[EPI_DGN_ANTIC]],3)</f>
        <v>#VALUE!</v>
      </c>
      <c r="D1265" s="10" t="s">
        <v>2398</v>
      </c>
      <c r="E1265" s="10">
        <v>1</v>
      </c>
      <c r="F1265" s="10" t="s">
        <v>2399</v>
      </c>
      <c r="G1265" s="10"/>
      <c r="H1265" s="31">
        <v>572</v>
      </c>
      <c r="I1265" s="7" t="s">
        <v>1022</v>
      </c>
    </row>
    <row r="1266" spans="1:9" hidden="1">
      <c r="A1266" s="31">
        <f t="shared" si="8"/>
        <v>1264</v>
      </c>
      <c r="B1266" s="10" t="e">
        <f>LEFT(Table1[[#This Row],[EPI_DGN_ANTIC]],1)</f>
        <v>#VALUE!</v>
      </c>
      <c r="C1266" s="10" t="e">
        <f>LEFT(Table1[[#This Row],[EPI_DGN_ANTIC]],3)</f>
        <v>#VALUE!</v>
      </c>
      <c r="D1266" s="10" t="s">
        <v>2400</v>
      </c>
      <c r="E1266" s="10">
        <v>1</v>
      </c>
      <c r="F1266" s="10" t="s">
        <v>2401</v>
      </c>
      <c r="G1266" s="10"/>
      <c r="H1266" s="31">
        <v>573</v>
      </c>
      <c r="I1266" s="7" t="s">
        <v>169</v>
      </c>
    </row>
    <row r="1267" spans="1:9" hidden="1">
      <c r="A1267" s="31">
        <f t="shared" si="8"/>
        <v>1265</v>
      </c>
      <c r="B1267" s="10" t="e">
        <f>LEFT(Table1[[#This Row],[EPI_DGN_ANTIC]],1)</f>
        <v>#VALUE!</v>
      </c>
      <c r="C1267" s="10" t="e">
        <f>LEFT(Table1[[#This Row],[EPI_DGN_ANTIC]],3)</f>
        <v>#VALUE!</v>
      </c>
      <c r="D1267" s="10" t="s">
        <v>2402</v>
      </c>
      <c r="E1267" s="10">
        <v>1</v>
      </c>
      <c r="F1267" s="10" t="s">
        <v>2403</v>
      </c>
      <c r="G1267" s="10"/>
      <c r="H1267" s="31">
        <v>574</v>
      </c>
      <c r="I1267" s="7" t="s">
        <v>2404</v>
      </c>
    </row>
    <row r="1268" spans="1:9" hidden="1">
      <c r="A1268" s="31">
        <f t="shared" si="8"/>
        <v>1266</v>
      </c>
      <c r="B1268" s="10" t="e">
        <f>LEFT(Table1[[#This Row],[EPI_DGN_ANTIC]],1)</f>
        <v>#VALUE!</v>
      </c>
      <c r="C1268" s="10" t="e">
        <f>LEFT(Table1[[#This Row],[EPI_DGN_ANTIC]],3)</f>
        <v>#VALUE!</v>
      </c>
      <c r="D1268" s="10" t="s">
        <v>2405</v>
      </c>
      <c r="E1268" s="10">
        <v>1</v>
      </c>
      <c r="F1268" s="10" t="s">
        <v>2406</v>
      </c>
      <c r="G1268" s="10"/>
      <c r="H1268" s="31">
        <v>575</v>
      </c>
      <c r="I1268" s="7" t="s">
        <v>890</v>
      </c>
    </row>
    <row r="1269" spans="1:9" hidden="1">
      <c r="A1269" s="31">
        <f t="shared" si="8"/>
        <v>1267</v>
      </c>
      <c r="B1269" s="10" t="e">
        <f>LEFT(Table1[[#This Row],[EPI_DGN_ANTIC]],1)</f>
        <v>#VALUE!</v>
      </c>
      <c r="C1269" s="10" t="e">
        <f>LEFT(Table1[[#This Row],[EPI_DGN_ANTIC]],3)</f>
        <v>#VALUE!</v>
      </c>
      <c r="D1269" s="10" t="s">
        <v>2407</v>
      </c>
      <c r="E1269" s="10">
        <v>1</v>
      </c>
      <c r="F1269" s="10" t="s">
        <v>2408</v>
      </c>
      <c r="G1269" s="10"/>
      <c r="H1269" s="31">
        <v>576</v>
      </c>
      <c r="I1269" s="7" t="s">
        <v>2409</v>
      </c>
    </row>
    <row r="1270" spans="1:9" hidden="1">
      <c r="A1270" s="31">
        <f t="shared" si="8"/>
        <v>1268</v>
      </c>
      <c r="B1270" s="10" t="e">
        <f>LEFT(Table1[[#This Row],[EPI_DGN_ANTIC]],1)</f>
        <v>#VALUE!</v>
      </c>
      <c r="C1270" s="10" t="e">
        <f>LEFT(Table1[[#This Row],[EPI_DGN_ANTIC]],3)</f>
        <v>#VALUE!</v>
      </c>
      <c r="D1270" s="10" t="s">
        <v>2410</v>
      </c>
      <c r="E1270" s="10">
        <v>1</v>
      </c>
      <c r="F1270" s="10" t="s">
        <v>2411</v>
      </c>
      <c r="G1270" s="10"/>
      <c r="H1270" s="31">
        <v>577</v>
      </c>
      <c r="I1270" s="7" t="s">
        <v>169</v>
      </c>
    </row>
    <row r="1271" spans="1:9" hidden="1">
      <c r="A1271" s="31">
        <f t="shared" ref="A1271:A1334" si="9">A1270+1</f>
        <v>1269</v>
      </c>
      <c r="B1271" s="10" t="e">
        <f>LEFT(Table1[[#This Row],[EPI_DGN_ANTIC]],1)</f>
        <v>#VALUE!</v>
      </c>
      <c r="C1271" s="10" t="e">
        <f>LEFT(Table1[[#This Row],[EPI_DGN_ANTIC]],4)</f>
        <v>#VALUE!</v>
      </c>
      <c r="D1271" s="10" t="s">
        <v>2412</v>
      </c>
      <c r="E1271" s="10">
        <v>1</v>
      </c>
      <c r="F1271" s="10" t="s">
        <v>2413</v>
      </c>
      <c r="G1271" s="10"/>
      <c r="H1271" s="31">
        <v>578</v>
      </c>
      <c r="I1271" s="7" t="s">
        <v>890</v>
      </c>
    </row>
    <row r="1272" spans="1:9" hidden="1">
      <c r="A1272" s="31">
        <f t="shared" si="9"/>
        <v>1270</v>
      </c>
      <c r="B1272" s="10" t="e">
        <f>LEFT(Table1[[#This Row],[EPI_DGN_ANTIC]],1)</f>
        <v>#VALUE!</v>
      </c>
      <c r="C1272" s="10" t="e">
        <f>LEFT(Table1[[#This Row],[EPI_DGN_ANTIC]],4)</f>
        <v>#VALUE!</v>
      </c>
      <c r="D1272" s="10" t="s">
        <v>2414</v>
      </c>
      <c r="E1272" s="10">
        <v>0</v>
      </c>
      <c r="F1272" s="10"/>
      <c r="G1272" s="10"/>
      <c r="H1272" s="31">
        <v>579</v>
      </c>
      <c r="I1272" s="7" t="s">
        <v>920</v>
      </c>
    </row>
    <row r="1273" spans="1:9" hidden="1">
      <c r="A1273" s="31">
        <f t="shared" si="9"/>
        <v>1271</v>
      </c>
      <c r="B1273" s="10" t="e">
        <f>LEFT(Table1[[#This Row],[EPI_DGN_ANTIC]],1)</f>
        <v>#VALUE!</v>
      </c>
      <c r="C1273" s="10" t="e">
        <f>LEFT(Table1[[#This Row],[EPI_DGN_ANTIC]],4)</f>
        <v>#VALUE!</v>
      </c>
      <c r="D1273" s="10" t="s">
        <v>2414</v>
      </c>
      <c r="E1273" s="10">
        <v>1</v>
      </c>
      <c r="F1273" s="10" t="s">
        <v>2415</v>
      </c>
      <c r="G1273" s="10"/>
      <c r="H1273" s="31">
        <v>580</v>
      </c>
      <c r="I1273" s="7" t="s">
        <v>2416</v>
      </c>
    </row>
    <row r="1274" spans="1:9" hidden="1">
      <c r="A1274" s="31">
        <f t="shared" si="9"/>
        <v>1272</v>
      </c>
      <c r="B1274" s="10" t="e">
        <f>LEFT(Table1[[#This Row],[EPI_DGN_ANTIC]],1)</f>
        <v>#VALUE!</v>
      </c>
      <c r="C1274" s="10" t="e">
        <f>LEFT(Table1[[#This Row],[EPI_DGN_ANTIC]],4)</f>
        <v>#VALUE!</v>
      </c>
      <c r="D1274" s="10" t="s">
        <v>2417</v>
      </c>
      <c r="E1274" s="10">
        <v>1</v>
      </c>
      <c r="F1274" s="10" t="s">
        <v>2418</v>
      </c>
      <c r="G1274" s="10"/>
      <c r="H1274" s="31">
        <v>581</v>
      </c>
      <c r="I1274" s="7" t="s">
        <v>2419</v>
      </c>
    </row>
    <row r="1275" spans="1:9" hidden="1">
      <c r="A1275" s="31">
        <f t="shared" si="9"/>
        <v>1273</v>
      </c>
      <c r="B1275" s="10" t="e">
        <f>LEFT(Table1[[#This Row],[EPI_DGN_ANTIC]],1)</f>
        <v>#VALUE!</v>
      </c>
      <c r="C1275" s="10" t="e">
        <f>LEFT(Table1[[#This Row],[EPI_DGN_ANTIC]],4)</f>
        <v>#VALUE!</v>
      </c>
      <c r="D1275" s="10" t="s">
        <v>2420</v>
      </c>
      <c r="E1275" s="10">
        <v>1</v>
      </c>
      <c r="F1275" s="10" t="s">
        <v>1908</v>
      </c>
      <c r="G1275" s="10"/>
      <c r="H1275" s="31">
        <v>582</v>
      </c>
      <c r="I1275" s="7" t="s">
        <v>2416</v>
      </c>
    </row>
    <row r="1276" spans="1:9" hidden="1">
      <c r="A1276" s="31">
        <f t="shared" si="9"/>
        <v>1274</v>
      </c>
      <c r="B1276" s="10" t="e">
        <f>LEFT(Table1[[#This Row],[EPI_DGN_ANTIC]],1)</f>
        <v>#VALUE!</v>
      </c>
      <c r="C1276" s="10" t="e">
        <f>LEFT(Table1[[#This Row],[EPI_DGN_ANTIC]],2)</f>
        <v>#VALUE!</v>
      </c>
      <c r="D1276" s="10" t="s">
        <v>1358</v>
      </c>
      <c r="E1276" s="10">
        <v>1</v>
      </c>
      <c r="F1276" s="10" t="s">
        <v>2215</v>
      </c>
      <c r="G1276" s="10"/>
      <c r="H1276" s="31">
        <v>583</v>
      </c>
      <c r="I1276" s="7" t="s">
        <v>990</v>
      </c>
    </row>
    <row r="1277" spans="1:9" hidden="1">
      <c r="A1277" s="31">
        <f t="shared" si="9"/>
        <v>1275</v>
      </c>
      <c r="B1277" s="10" t="e">
        <f>LEFT(Table1[[#This Row],[EPI_DGN_ANTIC]],1)</f>
        <v>#VALUE!</v>
      </c>
      <c r="C1277" s="10" t="e">
        <f>LEFT(Table1[[#This Row],[EPI_DGN_ANTIC]],4)</f>
        <v>#VALUE!</v>
      </c>
      <c r="D1277" s="10" t="s">
        <v>2421</v>
      </c>
      <c r="E1277" s="10">
        <v>0</v>
      </c>
      <c r="F1277" s="10"/>
      <c r="G1277" s="10"/>
      <c r="H1277" s="31">
        <v>584</v>
      </c>
      <c r="I1277" s="7" t="s">
        <v>990</v>
      </c>
    </row>
    <row r="1278" spans="1:9" hidden="1">
      <c r="A1278" s="31">
        <f t="shared" si="9"/>
        <v>1276</v>
      </c>
      <c r="B1278" s="10" t="e">
        <f>LEFT(Table1[[#This Row],[EPI_DGN_ANTIC]],1)</f>
        <v>#VALUE!</v>
      </c>
      <c r="C1278" s="10" t="e">
        <f>LEFT(Table1[[#This Row],[EPI_DGN_ANTIC]],4)</f>
        <v>#VALUE!</v>
      </c>
      <c r="D1278" s="10" t="s">
        <v>2422</v>
      </c>
      <c r="E1278" s="10">
        <v>1</v>
      </c>
      <c r="F1278" s="10" t="s">
        <v>2423</v>
      </c>
      <c r="G1278" s="10"/>
      <c r="H1278" s="31">
        <v>585</v>
      </c>
      <c r="I1278" s="7" t="s">
        <v>2424</v>
      </c>
    </row>
    <row r="1279" spans="1:9" hidden="1">
      <c r="A1279" s="31">
        <f t="shared" si="9"/>
        <v>1277</v>
      </c>
      <c r="B1279" s="10" t="e">
        <f>LEFT(Table1[[#This Row],[EPI_DGN_ANTIC]],1)</f>
        <v>#VALUE!</v>
      </c>
      <c r="C1279" s="10" t="e">
        <f>LEFT(Table1[[#This Row],[EPI_DGN_ANTIC]],4)</f>
        <v>#VALUE!</v>
      </c>
      <c r="D1279" s="10" t="s">
        <v>2425</v>
      </c>
      <c r="E1279" s="10">
        <v>1</v>
      </c>
      <c r="F1279" s="10" t="s">
        <v>2426</v>
      </c>
      <c r="G1279" s="10"/>
      <c r="H1279" s="31">
        <v>586</v>
      </c>
      <c r="I1279" s="7" t="s">
        <v>2427</v>
      </c>
    </row>
    <row r="1280" spans="1:9" hidden="1">
      <c r="A1280" s="31">
        <f t="shared" si="9"/>
        <v>1278</v>
      </c>
      <c r="B1280" s="10" t="e">
        <f>LEFT(Table1[[#This Row],[EPI_DGN_ANTIC]],1)</f>
        <v>#VALUE!</v>
      </c>
      <c r="C1280" s="10" t="e">
        <f>LEFT(Table1[[#This Row],[EPI_DGN_ANTIC]],4)</f>
        <v>#VALUE!</v>
      </c>
      <c r="D1280" s="10" t="s">
        <v>2428</v>
      </c>
      <c r="E1280" s="10">
        <v>0</v>
      </c>
      <c r="F1280" s="10"/>
      <c r="G1280" s="10"/>
      <c r="H1280" s="31">
        <v>587</v>
      </c>
      <c r="I1280" s="7" t="s">
        <v>2284</v>
      </c>
    </row>
    <row r="1281" spans="1:9" hidden="1">
      <c r="A1281" s="31">
        <f t="shared" si="9"/>
        <v>1279</v>
      </c>
      <c r="B1281" s="10" t="e">
        <f>LEFT(Table1[[#This Row],[EPI_DGN_ANTIC]],1)</f>
        <v>#VALUE!</v>
      </c>
      <c r="C1281" s="10" t="e">
        <f>LEFT(Table1[[#This Row],[EPI_DGN_ANTIC]],4)</f>
        <v>#VALUE!</v>
      </c>
      <c r="D1281" s="10" t="s">
        <v>2429</v>
      </c>
      <c r="E1281" s="10">
        <v>1</v>
      </c>
      <c r="F1281" s="10" t="s">
        <v>2430</v>
      </c>
      <c r="G1281" s="10"/>
      <c r="H1281" s="31">
        <v>588</v>
      </c>
      <c r="I1281" s="7" t="s">
        <v>2431</v>
      </c>
    </row>
    <row r="1282" spans="1:9" hidden="1">
      <c r="A1282" s="31">
        <f t="shared" si="9"/>
        <v>1280</v>
      </c>
      <c r="B1282" s="10" t="s">
        <v>1355</v>
      </c>
      <c r="C1282" s="10" t="e">
        <f>LEFT(Table1[[#This Row],[EPI_DGN_ANTIC]],1)</f>
        <v>#VALUE!</v>
      </c>
      <c r="D1282" s="10" t="s">
        <v>2432</v>
      </c>
      <c r="E1282" s="10">
        <v>0</v>
      </c>
      <c r="F1282" s="10"/>
      <c r="G1282" s="10"/>
      <c r="H1282" s="31">
        <v>589</v>
      </c>
      <c r="I1282" s="7" t="s">
        <v>2431</v>
      </c>
    </row>
    <row r="1283" spans="1:9" hidden="1">
      <c r="A1283" s="31">
        <f t="shared" si="9"/>
        <v>1281</v>
      </c>
      <c r="B1283" s="10" t="s">
        <v>1355</v>
      </c>
      <c r="C1283" s="10" t="e">
        <f>LEFT(Table1[[#This Row],[EPI_DGN_ANTIC]],1)</f>
        <v>#VALUE!</v>
      </c>
      <c r="D1283" s="10" t="s">
        <v>2433</v>
      </c>
      <c r="E1283" s="10">
        <v>0</v>
      </c>
      <c r="F1283" s="10"/>
      <c r="G1283" s="10"/>
      <c r="H1283" s="31">
        <v>590</v>
      </c>
      <c r="I1283" s="7" t="s">
        <v>2434</v>
      </c>
    </row>
    <row r="1284" spans="1:9" hidden="1">
      <c r="A1284" s="31">
        <f t="shared" si="9"/>
        <v>1282</v>
      </c>
      <c r="B1284" s="10" t="s">
        <v>1355</v>
      </c>
      <c r="C1284" s="10" t="e">
        <f>LEFT(Table1[[#This Row],[EPI_DGN_ANTIC]],1)</f>
        <v>#VALUE!</v>
      </c>
      <c r="D1284" s="10" t="s">
        <v>2435</v>
      </c>
      <c r="E1284" s="10">
        <v>0</v>
      </c>
      <c r="F1284" s="10"/>
      <c r="G1284" s="10"/>
      <c r="H1284" s="31">
        <v>591</v>
      </c>
      <c r="I1284" s="7" t="s">
        <v>2436</v>
      </c>
    </row>
    <row r="1285" spans="1:9" hidden="1">
      <c r="A1285" s="31">
        <f t="shared" si="9"/>
        <v>1283</v>
      </c>
      <c r="B1285" s="10" t="s">
        <v>1355</v>
      </c>
      <c r="C1285" s="10" t="e">
        <f>LEFT(Table1[[#This Row],[EPI_DGN_ANTIC]],1)</f>
        <v>#VALUE!</v>
      </c>
      <c r="D1285" s="10" t="s">
        <v>2437</v>
      </c>
      <c r="E1285" s="10">
        <v>0</v>
      </c>
      <c r="F1285" s="10"/>
      <c r="G1285" s="10"/>
      <c r="H1285" s="31">
        <v>592</v>
      </c>
      <c r="I1285" s="7" t="s">
        <v>2438</v>
      </c>
    </row>
    <row r="1286" spans="1:9" hidden="1">
      <c r="A1286" s="31">
        <f t="shared" si="9"/>
        <v>1284</v>
      </c>
      <c r="B1286" s="10" t="s">
        <v>1355</v>
      </c>
      <c r="C1286" s="10" t="e">
        <f>LEFT(Table1[[#This Row],[EPI_DGN_ANTIC]],1)</f>
        <v>#VALUE!</v>
      </c>
      <c r="D1286" s="10" t="s">
        <v>2439</v>
      </c>
      <c r="E1286" s="10">
        <v>0</v>
      </c>
      <c r="F1286" s="10"/>
      <c r="G1286" s="10"/>
      <c r="H1286" s="31">
        <v>593</v>
      </c>
      <c r="I1286" s="7" t="s">
        <v>2440</v>
      </c>
    </row>
    <row r="1287" spans="1:9" hidden="1">
      <c r="A1287" s="31">
        <f t="shared" si="9"/>
        <v>1285</v>
      </c>
      <c r="B1287" s="10" t="e">
        <f>LEFT(Table1[[#This Row],[EPI_DGN_ANTIC]],1)</f>
        <v>#VALUE!</v>
      </c>
      <c r="C1287" s="10" t="e">
        <f>LEFT(Table1[[#This Row],[EPI_DGN_ANTIC]],2)</f>
        <v>#VALUE!</v>
      </c>
      <c r="D1287" s="10" t="s">
        <v>2441</v>
      </c>
      <c r="E1287" s="10">
        <v>0</v>
      </c>
      <c r="F1287" s="10"/>
      <c r="G1287" s="10"/>
      <c r="H1287" s="31">
        <v>594</v>
      </c>
      <c r="I1287" s="7" t="s">
        <v>2442</v>
      </c>
    </row>
    <row r="1288" spans="1:9" hidden="1">
      <c r="A1288" s="31">
        <f t="shared" si="9"/>
        <v>1286</v>
      </c>
      <c r="B1288" s="10" t="e">
        <f>LEFT(Table1[[#This Row],[EPI_DGN_ANTIC]],1)</f>
        <v>#VALUE!</v>
      </c>
      <c r="C1288" s="10" t="e">
        <f>LEFT(Table1[[#This Row],[EPI_DGN_ANTIC]],2)</f>
        <v>#VALUE!</v>
      </c>
      <c r="D1288" s="10" t="s">
        <v>2443</v>
      </c>
      <c r="E1288" s="10">
        <v>1</v>
      </c>
      <c r="F1288" s="10" t="s">
        <v>2210</v>
      </c>
      <c r="G1288" s="10"/>
      <c r="H1288" s="31">
        <v>595</v>
      </c>
      <c r="I1288" s="7" t="s">
        <v>2444</v>
      </c>
    </row>
    <row r="1289" spans="1:9" hidden="1">
      <c r="A1289" s="31">
        <f t="shared" si="9"/>
        <v>1287</v>
      </c>
      <c r="B1289" s="10" t="e">
        <f>LEFT(Table1[[#This Row],[EPI_DGN_ANTIC]],1)</f>
        <v>#VALUE!</v>
      </c>
      <c r="C1289" s="10" t="e">
        <f>LEFT(Table1[[#This Row],[EPI_DGN_ANTIC]],4)</f>
        <v>#VALUE!</v>
      </c>
      <c r="D1289" s="10" t="s">
        <v>2445</v>
      </c>
      <c r="E1289" s="10">
        <v>1</v>
      </c>
      <c r="F1289" s="10" t="s">
        <v>2446</v>
      </c>
      <c r="G1289" s="10"/>
      <c r="H1289" s="31">
        <v>596</v>
      </c>
      <c r="I1289" s="7" t="s">
        <v>2444</v>
      </c>
    </row>
    <row r="1290" spans="1:9" hidden="1">
      <c r="A1290" s="31">
        <f t="shared" si="9"/>
        <v>1288</v>
      </c>
      <c r="B1290" s="10" t="e">
        <f>LEFT(Table1[[#This Row],[EPI_DGN_ANTIC]],1)</f>
        <v>#VALUE!</v>
      </c>
      <c r="C1290" s="10" t="e">
        <f>LEFT(Table1[[#This Row],[EPI_DGN_ANTIC]],4)</f>
        <v>#VALUE!</v>
      </c>
      <c r="D1290" s="10" t="s">
        <v>2447</v>
      </c>
      <c r="E1290" s="10">
        <v>0</v>
      </c>
      <c r="F1290" s="10"/>
      <c r="G1290" s="10"/>
      <c r="H1290" s="31">
        <v>597</v>
      </c>
      <c r="I1290" s="7" t="s">
        <v>2448</v>
      </c>
    </row>
    <row r="1291" spans="1:9" hidden="1">
      <c r="A1291" s="31">
        <f t="shared" si="9"/>
        <v>1289</v>
      </c>
      <c r="B1291" s="10" t="e">
        <f>LEFT(Table1[[#This Row],[EPI_DGN_ANTIC]],1)</f>
        <v>#VALUE!</v>
      </c>
      <c r="C1291" s="10" t="e">
        <f>LEFT(Table1[[#This Row],[EPI_DGN_ANTIC]],3)</f>
        <v>#VALUE!</v>
      </c>
      <c r="D1291" s="10" t="s">
        <v>2449</v>
      </c>
      <c r="E1291" s="10">
        <v>1</v>
      </c>
      <c r="F1291" s="10" t="s">
        <v>2403</v>
      </c>
      <c r="G1291" s="10"/>
      <c r="H1291" s="31">
        <v>598</v>
      </c>
      <c r="I1291" s="7" t="s">
        <v>2346</v>
      </c>
    </row>
    <row r="1292" spans="1:9" hidden="1">
      <c r="A1292" s="31">
        <f t="shared" si="9"/>
        <v>1290</v>
      </c>
      <c r="B1292" s="10" t="e">
        <f>LEFT(Table1[[#This Row],[EPI_DGN_ANTIC]],1)</f>
        <v>#VALUE!</v>
      </c>
      <c r="C1292" s="10" t="e">
        <f>LEFT(Table1[[#This Row],[EPI_DGN_ANTIC]],3)</f>
        <v>#VALUE!</v>
      </c>
      <c r="D1292" s="10" t="s">
        <v>2450</v>
      </c>
      <c r="E1292" s="10">
        <v>1</v>
      </c>
      <c r="F1292" s="10" t="s">
        <v>2406</v>
      </c>
      <c r="G1292" s="10"/>
      <c r="H1292" s="31">
        <v>599</v>
      </c>
      <c r="I1292" s="7" t="s">
        <v>2451</v>
      </c>
    </row>
    <row r="1293" spans="1:9" hidden="1">
      <c r="A1293" s="31">
        <f t="shared" si="9"/>
        <v>1291</v>
      </c>
      <c r="B1293" s="10" t="e">
        <f>LEFT(Table1[[#This Row],[EPI_DGN_ANTIC]],1)</f>
        <v>#VALUE!</v>
      </c>
      <c r="C1293" s="10" t="e">
        <f>LEFT(Table1[[#This Row],[EPI_DGN_ANTIC]],3)</f>
        <v>#VALUE!</v>
      </c>
      <c r="D1293" s="10" t="s">
        <v>2452</v>
      </c>
      <c r="E1293" s="10">
        <v>1</v>
      </c>
      <c r="F1293" s="10" t="s">
        <v>2399</v>
      </c>
      <c r="G1293" s="10"/>
      <c r="H1293" s="31">
        <v>600</v>
      </c>
      <c r="I1293" s="7" t="s">
        <v>2453</v>
      </c>
    </row>
    <row r="1294" spans="1:9" hidden="1">
      <c r="A1294" s="31">
        <f t="shared" si="9"/>
        <v>1292</v>
      </c>
      <c r="B1294" s="10" t="e">
        <f>LEFT(Table1[[#This Row],[EPI_DGN_ANTIC]],1)</f>
        <v>#VALUE!</v>
      </c>
      <c r="C1294" s="10" t="e">
        <f>LEFT(Table1[[#This Row],[EPI_DGN_ANTIC]],3)</f>
        <v>#VALUE!</v>
      </c>
      <c r="D1294" s="10" t="s">
        <v>2454</v>
      </c>
      <c r="E1294" s="10">
        <v>1</v>
      </c>
      <c r="F1294" s="10" t="s">
        <v>2401</v>
      </c>
      <c r="G1294" s="10"/>
      <c r="H1294" s="31">
        <v>601</v>
      </c>
      <c r="I1294" s="7" t="s">
        <v>2455</v>
      </c>
    </row>
    <row r="1295" spans="1:9" hidden="1">
      <c r="A1295" s="31">
        <f t="shared" si="9"/>
        <v>1293</v>
      </c>
      <c r="B1295" s="10" t="e">
        <f>LEFT(Table1[[#This Row],[EPI_DGN_ANTIC]],1)</f>
        <v>#VALUE!</v>
      </c>
      <c r="C1295" s="10" t="e">
        <f>LEFT(Table1[[#This Row],[EPI_DGN_ANTIC]],3)</f>
        <v>#VALUE!</v>
      </c>
      <c r="D1295" s="10" t="s">
        <v>2456</v>
      </c>
      <c r="E1295" s="10">
        <v>1</v>
      </c>
      <c r="F1295" s="10" t="s">
        <v>2234</v>
      </c>
      <c r="G1295" s="10"/>
      <c r="H1295" s="31">
        <v>602</v>
      </c>
      <c r="I1295" s="7" t="s">
        <v>2448</v>
      </c>
    </row>
    <row r="1296" spans="1:9" hidden="1">
      <c r="A1296" s="31">
        <f t="shared" si="9"/>
        <v>1294</v>
      </c>
      <c r="B1296" s="10" t="e">
        <f>LEFT(Table1[[#This Row],[EPI_DGN_ANTIC]],1)</f>
        <v>#VALUE!</v>
      </c>
      <c r="C1296" s="10" t="e">
        <f>LEFT(Table1[[#This Row],[EPI_DGN_ANTIC]],3)</f>
        <v>#VALUE!</v>
      </c>
      <c r="D1296" s="10" t="s">
        <v>2457</v>
      </c>
      <c r="E1296" s="10">
        <v>1</v>
      </c>
      <c r="F1296" s="10" t="s">
        <v>2236</v>
      </c>
      <c r="G1296" s="10"/>
      <c r="H1296" s="31">
        <v>603</v>
      </c>
      <c r="I1296" s="7" t="s">
        <v>2458</v>
      </c>
    </row>
    <row r="1297" spans="1:9" hidden="1">
      <c r="A1297" s="31">
        <f t="shared" si="9"/>
        <v>1295</v>
      </c>
      <c r="B1297" s="10" t="e">
        <f>LEFT(Table1[[#This Row],[EPI_DGN_ANTIC]],1)</f>
        <v>#VALUE!</v>
      </c>
      <c r="C1297" s="10" t="e">
        <f>LEFT(Table1[[#This Row],[EPI_DGN_ANTIC]],3)</f>
        <v>#VALUE!</v>
      </c>
      <c r="D1297" s="10" t="s">
        <v>2459</v>
      </c>
      <c r="E1297" s="10">
        <v>1</v>
      </c>
      <c r="F1297" s="10" t="s">
        <v>2399</v>
      </c>
      <c r="G1297" s="10"/>
      <c r="H1297" s="31">
        <v>604</v>
      </c>
      <c r="I1297" s="7" t="s">
        <v>1882</v>
      </c>
    </row>
    <row r="1298" spans="1:9" hidden="1">
      <c r="A1298" s="31">
        <f t="shared" si="9"/>
        <v>1296</v>
      </c>
      <c r="B1298" s="10" t="e">
        <f>LEFT(Table1[[#This Row],[EPI_DGN_ANTIC]],1)</f>
        <v>#VALUE!</v>
      </c>
      <c r="C1298" s="10" t="e">
        <f>LEFT(Table1[[#This Row],[EPI_DGN_ANTIC]],3)</f>
        <v>#VALUE!</v>
      </c>
      <c r="D1298" s="10" t="s">
        <v>2460</v>
      </c>
      <c r="E1298" s="10">
        <v>1</v>
      </c>
      <c r="F1298" s="10" t="s">
        <v>2401</v>
      </c>
      <c r="G1298" s="10"/>
      <c r="H1298" s="31">
        <v>605</v>
      </c>
      <c r="I1298" s="7" t="s">
        <v>2461</v>
      </c>
    </row>
    <row r="1299" spans="1:9" hidden="1">
      <c r="A1299" s="31">
        <f t="shared" si="9"/>
        <v>1297</v>
      </c>
      <c r="B1299" s="10" t="e">
        <f>LEFT(Table1[[#This Row],[EPI_DGN_ANTIC]],1)</f>
        <v>#VALUE!</v>
      </c>
      <c r="C1299" s="10" t="e">
        <f>LEFT(Table1[[#This Row],[EPI_DGN_ANTIC]],3)</f>
        <v>#VALUE!</v>
      </c>
      <c r="D1299" s="10" t="s">
        <v>2462</v>
      </c>
      <c r="E1299" s="10">
        <v>1</v>
      </c>
      <c r="F1299" s="10" t="s">
        <v>2463</v>
      </c>
      <c r="G1299" s="10"/>
      <c r="H1299" s="31">
        <v>606</v>
      </c>
      <c r="I1299" s="7" t="s">
        <v>2464</v>
      </c>
    </row>
    <row r="1300" spans="1:9" hidden="1">
      <c r="A1300" s="31">
        <f t="shared" si="9"/>
        <v>1298</v>
      </c>
      <c r="B1300" s="10" t="e">
        <f>LEFT(Table1[[#This Row],[EPI_DGN_ANTIC]],1)</f>
        <v>#VALUE!</v>
      </c>
      <c r="C1300" s="10" t="e">
        <f>LEFT(Table1[[#This Row],[EPI_DGN_ANTIC]],3)</f>
        <v>#VALUE!</v>
      </c>
      <c r="D1300" s="10" t="s">
        <v>2465</v>
      </c>
      <c r="E1300" s="10">
        <v>1</v>
      </c>
      <c r="F1300" s="10" t="s">
        <v>2406</v>
      </c>
      <c r="G1300" s="10"/>
      <c r="H1300" s="31">
        <v>607</v>
      </c>
      <c r="I1300" s="7" t="s">
        <v>2464</v>
      </c>
    </row>
    <row r="1301" spans="1:9" hidden="1">
      <c r="A1301" s="31">
        <f t="shared" si="9"/>
        <v>1299</v>
      </c>
      <c r="B1301" s="10" t="e">
        <f>LEFT(Table1[[#This Row],[EPI_DGN_ANTIC]],1)</f>
        <v>#VALUE!</v>
      </c>
      <c r="C1301" s="10" t="e">
        <f>LEFT(Table1[[#This Row],[EPI_DGN_ANTIC]],3)</f>
        <v>#VALUE!</v>
      </c>
      <c r="D1301" s="10" t="s">
        <v>2466</v>
      </c>
      <c r="E1301" s="10">
        <v>1</v>
      </c>
      <c r="F1301" s="10" t="s">
        <v>2408</v>
      </c>
      <c r="G1301" s="10"/>
      <c r="H1301" s="31">
        <v>608</v>
      </c>
      <c r="I1301" s="7" t="s">
        <v>748</v>
      </c>
    </row>
    <row r="1302" spans="1:9" hidden="1">
      <c r="A1302" s="31">
        <f t="shared" si="9"/>
        <v>1300</v>
      </c>
      <c r="B1302" s="10" t="e">
        <f>LEFT(Table1[[#This Row],[EPI_DGN_ANTIC]],1)</f>
        <v>#VALUE!</v>
      </c>
      <c r="C1302" s="10" t="e">
        <f>LEFT(Table1[[#This Row],[EPI_DGN_ANTIC]],3)</f>
        <v>#VALUE!</v>
      </c>
      <c r="D1302" s="10" t="s">
        <v>2467</v>
      </c>
      <c r="E1302" s="10">
        <v>1</v>
      </c>
      <c r="F1302" s="10" t="s">
        <v>2468</v>
      </c>
      <c r="G1302" s="10"/>
      <c r="H1302" s="31">
        <v>609</v>
      </c>
      <c r="I1302" s="7" t="s">
        <v>748</v>
      </c>
    </row>
    <row r="1303" spans="1:9" hidden="1">
      <c r="A1303" s="31">
        <f t="shared" si="9"/>
        <v>1301</v>
      </c>
      <c r="B1303" s="10" t="s">
        <v>1355</v>
      </c>
      <c r="C1303" s="10" t="e">
        <f>LEFT(Table1[[#This Row],[EPI_DGN_ANTIC]],1)</f>
        <v>#VALUE!</v>
      </c>
      <c r="D1303" s="10" t="s">
        <v>2469</v>
      </c>
      <c r="E1303" s="10">
        <v>0</v>
      </c>
      <c r="F1303" s="10"/>
      <c r="G1303" s="10"/>
      <c r="H1303" s="31">
        <v>610</v>
      </c>
      <c r="I1303" s="7" t="s">
        <v>2175</v>
      </c>
    </row>
    <row r="1304" spans="1:9" hidden="1">
      <c r="A1304" s="31">
        <f t="shared" si="9"/>
        <v>1302</v>
      </c>
      <c r="B1304" s="10" t="e">
        <f>LEFT(Table1[[#This Row],[EPI_DGN_ANTIC]],1)</f>
        <v>#VALUE!</v>
      </c>
      <c r="C1304" s="10" t="e">
        <f>LEFT(Table1[[#This Row],[EPI_DGN_ANTIC]],2)</f>
        <v>#VALUE!</v>
      </c>
      <c r="D1304" s="10" t="s">
        <v>1355</v>
      </c>
      <c r="E1304" s="10">
        <v>0</v>
      </c>
      <c r="F1304" s="10"/>
      <c r="G1304" s="10"/>
      <c r="H1304" s="31">
        <v>611</v>
      </c>
      <c r="I1304" s="7" t="s">
        <v>2175</v>
      </c>
    </row>
    <row r="1305" spans="1:9" hidden="1">
      <c r="A1305" s="31">
        <f t="shared" si="9"/>
        <v>1303</v>
      </c>
      <c r="B1305" s="10" t="s">
        <v>1355</v>
      </c>
      <c r="C1305" s="10" t="e">
        <f>LEFT(Table1[[#This Row],[EPI_DGN_ANTIC]],1)</f>
        <v>#VALUE!</v>
      </c>
      <c r="D1305" s="10" t="s">
        <v>229</v>
      </c>
      <c r="E1305" s="10">
        <v>0</v>
      </c>
      <c r="F1305" s="10"/>
      <c r="G1305" s="10"/>
      <c r="H1305" s="31">
        <v>612</v>
      </c>
      <c r="I1305" s="7" t="s">
        <v>2470</v>
      </c>
    </row>
    <row r="1306" spans="1:9" hidden="1">
      <c r="A1306" s="31">
        <f t="shared" si="9"/>
        <v>1304</v>
      </c>
      <c r="B1306" s="10" t="s">
        <v>1355</v>
      </c>
      <c r="C1306" s="10" t="e">
        <f>LEFT(Table1[[#This Row],[EPI_DGN_ANTIC]],1)</f>
        <v>#VALUE!</v>
      </c>
      <c r="D1306" s="10" t="s">
        <v>2471</v>
      </c>
      <c r="E1306" s="10">
        <v>0</v>
      </c>
      <c r="F1306" s="10"/>
      <c r="G1306" s="10"/>
      <c r="H1306" s="31">
        <v>613</v>
      </c>
      <c r="I1306" s="7" t="s">
        <v>2472</v>
      </c>
    </row>
    <row r="1307" spans="1:9" hidden="1">
      <c r="A1307" s="31">
        <f t="shared" si="9"/>
        <v>1305</v>
      </c>
      <c r="B1307" s="10" t="e">
        <f>LEFT(Table1[[#This Row],[EPI_DGN_ANTIC]],1)</f>
        <v>#VALUE!</v>
      </c>
      <c r="C1307" s="10" t="e">
        <f>LEFT(Table1[[#This Row],[EPI_DGN_ANTIC]],3)</f>
        <v>#VALUE!</v>
      </c>
      <c r="D1307" s="10" t="s">
        <v>2473</v>
      </c>
      <c r="E1307" s="10">
        <v>1</v>
      </c>
      <c r="F1307" s="10" t="s">
        <v>1824</v>
      </c>
      <c r="G1307" s="10"/>
      <c r="H1307" s="31">
        <v>614</v>
      </c>
      <c r="I1307" s="7" t="s">
        <v>2474</v>
      </c>
    </row>
    <row r="1308" spans="1:9" hidden="1">
      <c r="A1308" s="31">
        <f t="shared" si="9"/>
        <v>1306</v>
      </c>
      <c r="B1308" s="10" t="e">
        <f>LEFT(Table1[[#This Row],[EPI_DGN_ANTIC]],1)</f>
        <v>#VALUE!</v>
      </c>
      <c r="C1308" s="10" t="e">
        <f>LEFT(Table1[[#This Row],[EPI_DGN_ANTIC]],3)</f>
        <v>#VALUE!</v>
      </c>
      <c r="D1308" s="10" t="s">
        <v>2475</v>
      </c>
      <c r="E1308" s="10">
        <v>1</v>
      </c>
      <c r="F1308" s="10" t="s">
        <v>2476</v>
      </c>
      <c r="G1308" s="10"/>
      <c r="H1308" s="31">
        <v>615</v>
      </c>
      <c r="I1308" s="7" t="s">
        <v>2477</v>
      </c>
    </row>
    <row r="1309" spans="1:9" hidden="1">
      <c r="A1309" s="31">
        <f t="shared" si="9"/>
        <v>1307</v>
      </c>
      <c r="B1309" s="10" t="e">
        <f>LEFT(Table1[[#This Row],[EPI_DGN_ANTIC]],1)</f>
        <v>#VALUE!</v>
      </c>
      <c r="C1309" s="10" t="e">
        <f>LEFT(Table1[[#This Row],[EPI_DGN_ANTIC]],2)</f>
        <v>#VALUE!</v>
      </c>
      <c r="D1309" s="10" t="s">
        <v>2478</v>
      </c>
      <c r="E1309" s="10">
        <v>0</v>
      </c>
      <c r="F1309" s="10"/>
      <c r="G1309" s="10"/>
      <c r="H1309" s="31">
        <v>616</v>
      </c>
      <c r="I1309" s="7" t="s">
        <v>2479</v>
      </c>
    </row>
    <row r="1310" spans="1:9" hidden="1">
      <c r="A1310" s="31">
        <f t="shared" si="9"/>
        <v>1308</v>
      </c>
      <c r="B1310" s="10" t="e">
        <f>LEFT(Table1[[#This Row],[EPI_DGN_ANTIC]],1)</f>
        <v>#VALUE!</v>
      </c>
      <c r="C1310" s="10" t="e">
        <f>LEFT(Table1[[#This Row],[EPI_DGN_ANTIC]],2)</f>
        <v>#VALUE!</v>
      </c>
      <c r="D1310" s="10" t="s">
        <v>2480</v>
      </c>
      <c r="E1310" s="10">
        <v>1</v>
      </c>
      <c r="F1310" s="10" t="s">
        <v>1579</v>
      </c>
      <c r="G1310" s="10"/>
      <c r="H1310" s="31">
        <v>617</v>
      </c>
      <c r="I1310" s="7" t="s">
        <v>1811</v>
      </c>
    </row>
    <row r="1311" spans="1:9" hidden="1">
      <c r="A1311" s="31">
        <f t="shared" si="9"/>
        <v>1309</v>
      </c>
      <c r="B1311" s="10" t="e">
        <f>LEFT(Table1[[#This Row],[EPI_DGN_ANTIC]],1)</f>
        <v>#VALUE!</v>
      </c>
      <c r="C1311" s="10" t="e">
        <f>LEFT(Table1[[#This Row],[EPI_DGN_ANTIC]],2)</f>
        <v>#VALUE!</v>
      </c>
      <c r="D1311" s="10" t="s">
        <v>2481</v>
      </c>
      <c r="E1311" s="10">
        <v>1</v>
      </c>
      <c r="F1311" s="10" t="s">
        <v>2482</v>
      </c>
      <c r="G1311" s="10"/>
      <c r="H1311" s="31">
        <v>618</v>
      </c>
      <c r="I1311" s="7" t="s">
        <v>2483</v>
      </c>
    </row>
    <row r="1312" spans="1:9" hidden="1">
      <c r="A1312" s="31">
        <f t="shared" si="9"/>
        <v>1310</v>
      </c>
      <c r="B1312" s="10" t="e">
        <f>LEFT(Table1[[#This Row],[EPI_DGN_ANTIC]],1)</f>
        <v>#VALUE!</v>
      </c>
      <c r="C1312" s="10" t="e">
        <f>LEFT(Table1[[#This Row],[EPI_DGN_ANTIC]],3)</f>
        <v>#VALUE!</v>
      </c>
      <c r="D1312" s="10" t="s">
        <v>2484</v>
      </c>
      <c r="E1312" s="10">
        <v>1</v>
      </c>
      <c r="F1312" s="10" t="s">
        <v>1587</v>
      </c>
      <c r="G1312" s="10"/>
      <c r="H1312" s="31">
        <v>619</v>
      </c>
      <c r="I1312" s="7" t="s">
        <v>2485</v>
      </c>
    </row>
    <row r="1313" spans="1:9" hidden="1">
      <c r="A1313" s="31">
        <f t="shared" si="9"/>
        <v>1311</v>
      </c>
      <c r="B1313" s="10" t="e">
        <f>LEFT(Table1[[#This Row],[EPI_DGN_ANTIC]],1)</f>
        <v>#VALUE!</v>
      </c>
      <c r="C1313" s="10" t="e">
        <f>LEFT(Table1[[#This Row],[EPI_DGN_ANTIC]],3)</f>
        <v>#VALUE!</v>
      </c>
      <c r="D1313" s="10" t="s">
        <v>2486</v>
      </c>
      <c r="E1313" s="10">
        <v>1</v>
      </c>
      <c r="F1313" s="10" t="s">
        <v>2487</v>
      </c>
      <c r="G1313" s="10"/>
      <c r="H1313" s="31">
        <v>620</v>
      </c>
      <c r="I1313" s="7" t="s">
        <v>109</v>
      </c>
    </row>
    <row r="1314" spans="1:9" hidden="1">
      <c r="A1314" s="31">
        <f t="shared" si="9"/>
        <v>1312</v>
      </c>
      <c r="B1314" s="10" t="e">
        <f>LEFT(Table1[[#This Row],[EPI_DGN_ANTIC]],1)</f>
        <v>#VALUE!</v>
      </c>
      <c r="C1314" s="10" t="e">
        <f>LEFT(Table1[[#This Row],[EPI_DGN_ANTIC]],2)</f>
        <v>#VALUE!</v>
      </c>
      <c r="D1314" s="10" t="s">
        <v>1550</v>
      </c>
      <c r="E1314" s="10">
        <v>0</v>
      </c>
      <c r="F1314" s="10"/>
      <c r="G1314" s="10"/>
      <c r="H1314" s="31">
        <v>621</v>
      </c>
      <c r="I1314" s="7" t="s">
        <v>1095</v>
      </c>
    </row>
    <row r="1315" spans="1:9" hidden="1">
      <c r="A1315" s="31">
        <f t="shared" si="9"/>
        <v>1313</v>
      </c>
      <c r="B1315" s="10" t="e">
        <f>LEFT(Table1[[#This Row],[EPI_DGN_ANTIC]],1)</f>
        <v>#VALUE!</v>
      </c>
      <c r="C1315" s="10" t="e">
        <f>LEFT(Table1[[#This Row],[EPI_DGN_ANTIC]],3)</f>
        <v>#VALUE!</v>
      </c>
      <c r="D1315" s="10" t="s">
        <v>2488</v>
      </c>
      <c r="E1315" s="10">
        <v>0</v>
      </c>
      <c r="F1315" s="10"/>
      <c r="G1315" s="10"/>
      <c r="H1315" s="31">
        <v>622</v>
      </c>
      <c r="I1315" s="7" t="s">
        <v>1097</v>
      </c>
    </row>
    <row r="1316" spans="1:9" hidden="1">
      <c r="A1316" s="31">
        <f t="shared" si="9"/>
        <v>1314</v>
      </c>
      <c r="B1316" s="10" t="e">
        <f>LEFT(Table1[[#This Row],[EPI_DGN_ANTIC]],1)</f>
        <v>#VALUE!</v>
      </c>
      <c r="C1316" s="10" t="e">
        <f>LEFT(Table1[[#This Row],[EPI_DGN_ANTIC]],3)</f>
        <v>#VALUE!</v>
      </c>
      <c r="D1316" s="10" t="s">
        <v>2489</v>
      </c>
      <c r="E1316" s="10">
        <v>0</v>
      </c>
      <c r="F1316" s="10"/>
      <c r="G1316" s="10"/>
      <c r="H1316" s="31">
        <v>623</v>
      </c>
      <c r="I1316" s="7" t="s">
        <v>1105</v>
      </c>
    </row>
    <row r="1317" spans="1:9" hidden="1">
      <c r="A1317" s="31">
        <f t="shared" si="9"/>
        <v>1315</v>
      </c>
      <c r="B1317" s="10" t="e">
        <f>LEFT(Table1[[#This Row],[EPI_DGN_ANTIC]],1)</f>
        <v>#VALUE!</v>
      </c>
      <c r="C1317" s="10" t="e">
        <f>LEFT(Table1[[#This Row],[EPI_DGN_ANTIC]],3)</f>
        <v>#VALUE!</v>
      </c>
      <c r="D1317" s="10" t="s">
        <v>2490</v>
      </c>
      <c r="E1317" s="10">
        <v>0</v>
      </c>
      <c r="F1317" s="10"/>
      <c r="G1317" s="10"/>
      <c r="H1317" s="31">
        <v>624</v>
      </c>
      <c r="I1317" s="7" t="s">
        <v>1108</v>
      </c>
    </row>
    <row r="1318" spans="1:9" hidden="1">
      <c r="A1318" s="31">
        <f t="shared" si="9"/>
        <v>1316</v>
      </c>
      <c r="B1318" s="10" t="e">
        <f>LEFT(Table1[[#This Row],[EPI_DGN_ANTIC]],1)</f>
        <v>#VALUE!</v>
      </c>
      <c r="C1318" s="10" t="e">
        <f>LEFT(Table1[[#This Row],[EPI_DGN_ANTIC]],3)</f>
        <v>#VALUE!</v>
      </c>
      <c r="D1318" s="10" t="s">
        <v>1567</v>
      </c>
      <c r="E1318" s="10">
        <v>1</v>
      </c>
      <c r="F1318" s="10" t="s">
        <v>2491</v>
      </c>
      <c r="G1318" s="10"/>
      <c r="H1318" s="31">
        <v>625</v>
      </c>
      <c r="I1318" s="7" t="s">
        <v>1111</v>
      </c>
    </row>
    <row r="1319" spans="1:9" hidden="1">
      <c r="A1319" s="31">
        <f t="shared" si="9"/>
        <v>1317</v>
      </c>
      <c r="B1319" s="10" t="e">
        <f>LEFT(Table1[[#This Row],[EPI_DGN_ANTIC]],1)</f>
        <v>#VALUE!</v>
      </c>
      <c r="C1319" s="10" t="e">
        <f>LEFT(Table1[[#This Row],[EPI_DGN_ANTIC]],3)</f>
        <v>#VALUE!</v>
      </c>
      <c r="D1319" s="10" t="s">
        <v>2492</v>
      </c>
      <c r="E1319" s="10">
        <v>0</v>
      </c>
      <c r="F1319" s="10"/>
      <c r="G1319" s="10"/>
      <c r="H1319" s="31">
        <v>626</v>
      </c>
      <c r="I1319" s="7" t="s">
        <v>1100</v>
      </c>
    </row>
    <row r="1320" spans="1:9" hidden="1">
      <c r="A1320" s="31">
        <f t="shared" si="9"/>
        <v>1318</v>
      </c>
      <c r="B1320" s="10" t="e">
        <f>LEFT(Table1[[#This Row],[EPI_DGN_ANTIC]],1)</f>
        <v>#VALUE!</v>
      </c>
      <c r="C1320" s="10" t="e">
        <f>LEFT(Table1[[#This Row],[EPI_DGN_ANTIC]],2)</f>
        <v>#VALUE!</v>
      </c>
      <c r="D1320" s="10" t="s">
        <v>1798</v>
      </c>
      <c r="E1320" s="10">
        <v>1</v>
      </c>
      <c r="F1320" s="10" t="s">
        <v>2493</v>
      </c>
      <c r="G1320" s="10"/>
      <c r="H1320" s="31">
        <v>627</v>
      </c>
      <c r="I1320" s="7" t="s">
        <v>2404</v>
      </c>
    </row>
    <row r="1321" spans="1:9" hidden="1">
      <c r="A1321" s="31">
        <f t="shared" si="9"/>
        <v>1319</v>
      </c>
      <c r="B1321" s="10" t="e">
        <f>LEFT(Table1[[#This Row],[EPI_DGN_ANTIC]],1)</f>
        <v>#VALUE!</v>
      </c>
      <c r="C1321" s="10" t="e">
        <f>LEFT(Table1[[#This Row],[EPI_DGN_ANTIC]],3)</f>
        <v>#VALUE!</v>
      </c>
      <c r="D1321" s="10" t="s">
        <v>2494</v>
      </c>
      <c r="E1321" s="10">
        <v>1</v>
      </c>
      <c r="F1321" s="10" t="s">
        <v>2495</v>
      </c>
      <c r="G1321" s="10"/>
      <c r="H1321" s="31">
        <v>628</v>
      </c>
      <c r="I1321" s="7" t="s">
        <v>125</v>
      </c>
    </row>
    <row r="1322" spans="1:9" hidden="1">
      <c r="A1322" s="31">
        <f t="shared" si="9"/>
        <v>1320</v>
      </c>
      <c r="B1322" s="10" t="e">
        <f>LEFT(Table1[[#This Row],[EPI_DGN_ANTIC]],1)</f>
        <v>#VALUE!</v>
      </c>
      <c r="C1322" s="10" t="e">
        <f>LEFT(Table1[[#This Row],[EPI_DGN_ANTIC]],3)</f>
        <v>#VALUE!</v>
      </c>
      <c r="D1322" s="10" t="s">
        <v>2496</v>
      </c>
      <c r="E1322" s="10">
        <v>0</v>
      </c>
      <c r="F1322" s="10"/>
      <c r="G1322" s="10"/>
      <c r="H1322" s="31">
        <v>629</v>
      </c>
      <c r="I1322" s="7" t="s">
        <v>1650</v>
      </c>
    </row>
    <row r="1323" spans="1:9" hidden="1">
      <c r="A1323" s="31">
        <f t="shared" si="9"/>
        <v>1321</v>
      </c>
      <c r="B1323" s="10" t="e">
        <f>LEFT(Table1[[#This Row],[EPI_DGN_ANTIC]],1)</f>
        <v>#VALUE!</v>
      </c>
      <c r="C1323" s="10" t="e">
        <f>LEFT(Table1[[#This Row],[EPI_DGN_ANTIC]],3)</f>
        <v>#VALUE!</v>
      </c>
      <c r="D1323" s="10" t="s">
        <v>2497</v>
      </c>
      <c r="E1323" s="10">
        <v>1</v>
      </c>
      <c r="F1323" s="10" t="s">
        <v>1566</v>
      </c>
      <c r="G1323" s="10"/>
      <c r="H1323" s="31">
        <v>630</v>
      </c>
      <c r="I1323" s="7" t="s">
        <v>2498</v>
      </c>
    </row>
    <row r="1324" spans="1:9" hidden="1">
      <c r="A1324" s="31">
        <f t="shared" si="9"/>
        <v>1322</v>
      </c>
      <c r="B1324" s="10" t="e">
        <f>LEFT(Table1[[#This Row],[EPI_DGN_ANTIC]],1)</f>
        <v>#VALUE!</v>
      </c>
      <c r="C1324" s="10" t="e">
        <f>LEFT(Table1[[#This Row],[EPI_DGN_ANTIC]],3)</f>
        <v>#VALUE!</v>
      </c>
      <c r="D1324" s="10" t="s">
        <v>2499</v>
      </c>
      <c r="E1324" s="10">
        <v>1</v>
      </c>
      <c r="F1324" s="10" t="s">
        <v>2500</v>
      </c>
      <c r="G1324" s="10"/>
      <c r="H1324" s="31">
        <v>631</v>
      </c>
      <c r="I1324" s="7" t="s">
        <v>2501</v>
      </c>
    </row>
    <row r="1325" spans="1:9" hidden="1">
      <c r="A1325" s="31">
        <f t="shared" si="9"/>
        <v>1323</v>
      </c>
      <c r="B1325" s="10" t="e">
        <f>LEFT(Table1[[#This Row],[EPI_DGN_ANTIC]],1)</f>
        <v>#VALUE!</v>
      </c>
      <c r="C1325" s="10" t="e">
        <f>LEFT(Table1[[#This Row],[EPI_DGN_ANTIC]],3)</f>
        <v>#VALUE!</v>
      </c>
      <c r="D1325" s="10" t="s">
        <v>2502</v>
      </c>
      <c r="E1325" s="10">
        <v>1</v>
      </c>
      <c r="F1325" s="10" t="s">
        <v>2487</v>
      </c>
      <c r="G1325" s="10"/>
      <c r="H1325" s="31">
        <v>632</v>
      </c>
      <c r="I1325" s="7" t="s">
        <v>534</v>
      </c>
    </row>
    <row r="1326" spans="1:9" hidden="1">
      <c r="A1326" s="31">
        <f t="shared" si="9"/>
        <v>1324</v>
      </c>
      <c r="B1326" s="10" t="e">
        <f>LEFT(Table1[[#This Row],[EPI_DGN_ANTIC]],1)</f>
        <v>#VALUE!</v>
      </c>
      <c r="C1326" s="10" t="e">
        <f>LEFT(Table1[[#This Row],[EPI_DGN_ANTIC]],3)</f>
        <v>#VALUE!</v>
      </c>
      <c r="D1326" s="10" t="s">
        <v>2503</v>
      </c>
      <c r="E1326" s="10">
        <v>1</v>
      </c>
      <c r="F1326" s="10" t="s">
        <v>1566</v>
      </c>
      <c r="G1326" s="10"/>
      <c r="H1326" s="31">
        <v>633</v>
      </c>
      <c r="I1326" s="7" t="s">
        <v>2504</v>
      </c>
    </row>
    <row r="1327" spans="1:9" hidden="1">
      <c r="A1327" s="31">
        <f t="shared" si="9"/>
        <v>1325</v>
      </c>
      <c r="B1327" s="10" t="e">
        <f>LEFT(Table1[[#This Row],[EPI_DGN_ANTIC]],1)</f>
        <v>#VALUE!</v>
      </c>
      <c r="C1327" s="10" t="e">
        <f>LEFT(Table1[[#This Row],[EPI_DGN_ANTIC]],3)</f>
        <v>#VALUE!</v>
      </c>
      <c r="D1327" s="10" t="s">
        <v>2505</v>
      </c>
      <c r="E1327" s="10">
        <v>1</v>
      </c>
      <c r="F1327" s="10" t="s">
        <v>2506</v>
      </c>
      <c r="G1327" s="10"/>
      <c r="H1327" s="31">
        <v>634</v>
      </c>
      <c r="I1327" s="7" t="s">
        <v>2507</v>
      </c>
    </row>
    <row r="1328" spans="1:9" hidden="1">
      <c r="A1328" s="31">
        <f t="shared" si="9"/>
        <v>1326</v>
      </c>
      <c r="B1328" s="10" t="e">
        <f>LEFT(Table1[[#This Row],[EPI_DGN_ANTIC]],1)</f>
        <v>#VALUE!</v>
      </c>
      <c r="C1328" s="10" t="e">
        <f>LEFT(Table1[[#This Row],[EPI_DGN_ANTIC]],3)</f>
        <v>#VALUE!</v>
      </c>
      <c r="D1328" s="10" t="s">
        <v>2508</v>
      </c>
      <c r="E1328" s="10">
        <v>1</v>
      </c>
      <c r="F1328" s="10" t="s">
        <v>1619</v>
      </c>
      <c r="G1328" s="10"/>
      <c r="H1328" s="31">
        <v>635</v>
      </c>
      <c r="I1328" s="7" t="s">
        <v>2509</v>
      </c>
    </row>
    <row r="1329" spans="1:9" hidden="1">
      <c r="A1329" s="31">
        <f t="shared" si="9"/>
        <v>1327</v>
      </c>
      <c r="B1329" s="10" t="e">
        <f>LEFT(Table1[[#This Row],[EPI_DGN_ANTIC]],1)</f>
        <v>#VALUE!</v>
      </c>
      <c r="C1329" s="10" t="e">
        <f>LEFT(Table1[[#This Row],[EPI_DGN_ANTIC]],3)</f>
        <v>#VALUE!</v>
      </c>
      <c r="D1329" s="10" t="s">
        <v>2510</v>
      </c>
      <c r="E1329" s="10">
        <v>1</v>
      </c>
      <c r="F1329" s="10" t="s">
        <v>2511</v>
      </c>
      <c r="G1329" s="10"/>
      <c r="H1329" s="31">
        <v>636</v>
      </c>
      <c r="I1329" s="7" t="s">
        <v>1406</v>
      </c>
    </row>
    <row r="1330" spans="1:9" hidden="1">
      <c r="A1330" s="31">
        <f t="shared" si="9"/>
        <v>1328</v>
      </c>
      <c r="B1330" s="10" t="e">
        <f>LEFT(Table1[[#This Row],[EPI_DGN_ANTIC]],1)</f>
        <v>#VALUE!</v>
      </c>
      <c r="C1330" s="10" t="e">
        <f>LEFT(Table1[[#This Row],[EPI_DGN_ANTIC]],3)</f>
        <v>#VALUE!</v>
      </c>
      <c r="D1330" s="10" t="s">
        <v>2512</v>
      </c>
      <c r="E1330" s="10">
        <v>1</v>
      </c>
      <c r="F1330" s="10" t="s">
        <v>2511</v>
      </c>
      <c r="G1330" s="10"/>
      <c r="H1330" s="31">
        <v>637</v>
      </c>
      <c r="I1330" s="7" t="s">
        <v>2513</v>
      </c>
    </row>
    <row r="1331" spans="1:9" hidden="1">
      <c r="A1331" s="31">
        <f t="shared" si="9"/>
        <v>1329</v>
      </c>
      <c r="B1331" s="10" t="e">
        <f>LEFT(Table1[[#This Row],[EPI_DGN_ANTIC]],1)</f>
        <v>#VALUE!</v>
      </c>
      <c r="C1331" s="10" t="e">
        <f>LEFT(Table1[[#This Row],[EPI_DGN_ANTIC]],3)</f>
        <v>#VALUE!</v>
      </c>
      <c r="D1331" s="10" t="s">
        <v>2514</v>
      </c>
      <c r="E1331" s="10">
        <v>1</v>
      </c>
      <c r="F1331" s="10" t="s">
        <v>2515</v>
      </c>
      <c r="G1331" s="10"/>
      <c r="H1331" s="31">
        <v>638</v>
      </c>
      <c r="I1331" s="7" t="s">
        <v>2513</v>
      </c>
    </row>
    <row r="1332" spans="1:9" hidden="1">
      <c r="A1332" s="31">
        <f t="shared" si="9"/>
        <v>1330</v>
      </c>
      <c r="B1332" s="10" t="e">
        <f>LEFT(Table1[[#This Row],[EPI_DGN_ANTIC]],1)</f>
        <v>#VALUE!</v>
      </c>
      <c r="C1332" s="10" t="e">
        <f>LEFT(Table1[[#This Row],[EPI_DGN_ANTIC]],3)</f>
        <v>#VALUE!</v>
      </c>
      <c r="D1332" s="10" t="s">
        <v>2516</v>
      </c>
      <c r="E1332" s="10">
        <v>1</v>
      </c>
      <c r="F1332" s="10" t="s">
        <v>2515</v>
      </c>
      <c r="G1332" s="10"/>
      <c r="H1332" s="31">
        <v>639</v>
      </c>
      <c r="I1332" s="7" t="s">
        <v>830</v>
      </c>
    </row>
    <row r="1333" spans="1:9" hidden="1">
      <c r="A1333" s="31">
        <f t="shared" si="9"/>
        <v>1331</v>
      </c>
      <c r="B1333" s="10" t="e">
        <f>LEFT(Table1[[#This Row],[EPI_DGN_ANTIC]],1)</f>
        <v>#VALUE!</v>
      </c>
      <c r="C1333" s="10" t="e">
        <f>LEFT(Table1[[#This Row],[EPI_DGN_ANTIC]],2)</f>
        <v>#VALUE!</v>
      </c>
      <c r="D1333" s="10" t="s">
        <v>1550</v>
      </c>
      <c r="E1333" s="10">
        <v>0</v>
      </c>
      <c r="F1333" s="10"/>
      <c r="G1333" s="10"/>
      <c r="H1333" s="31">
        <v>640</v>
      </c>
      <c r="I1333" s="7" t="s">
        <v>2513</v>
      </c>
    </row>
    <row r="1334" spans="1:9" hidden="1">
      <c r="A1334" s="31">
        <f t="shared" si="9"/>
        <v>1332</v>
      </c>
      <c r="B1334" s="10" t="e">
        <f>LEFT(Table1[[#This Row],[EPI_DGN_ANTIC]],1)</f>
        <v>#VALUE!</v>
      </c>
      <c r="C1334" s="10" t="e">
        <f>LEFT(Table1[[#This Row],[EPI_DGN_ANTIC]],3)</f>
        <v>#VALUE!</v>
      </c>
      <c r="D1334" s="10" t="s">
        <v>2517</v>
      </c>
      <c r="E1334" s="10">
        <v>0</v>
      </c>
      <c r="F1334" s="10"/>
      <c r="G1334" s="10"/>
      <c r="H1334" s="31">
        <v>641</v>
      </c>
      <c r="I1334" s="7" t="s">
        <v>2513</v>
      </c>
    </row>
    <row r="1335" spans="1:9" hidden="1">
      <c r="A1335" s="31">
        <f t="shared" ref="A1335:A1398" si="10">A1334+1</f>
        <v>1333</v>
      </c>
      <c r="B1335" s="10" t="e">
        <f>LEFT(Table1[[#This Row],[EPI_DGN_ANTIC]],1)</f>
        <v>#VALUE!</v>
      </c>
      <c r="C1335" s="10" t="e">
        <f>LEFT(Table1[[#This Row],[EPI_DGN_ANTIC]],3)</f>
        <v>#VALUE!</v>
      </c>
      <c r="D1335" s="10" t="s">
        <v>2518</v>
      </c>
      <c r="E1335" s="10">
        <v>0</v>
      </c>
      <c r="F1335" s="10"/>
      <c r="G1335" s="10"/>
      <c r="H1335" s="31">
        <v>642</v>
      </c>
      <c r="I1335" s="7" t="s">
        <v>1888</v>
      </c>
    </row>
    <row r="1336" spans="1:9" hidden="1">
      <c r="A1336" s="31">
        <f t="shared" si="10"/>
        <v>1334</v>
      </c>
      <c r="B1336" s="10" t="e">
        <f>LEFT(Table1[[#This Row],[EPI_DGN_ANTIC]],1)</f>
        <v>#VALUE!</v>
      </c>
      <c r="C1336" s="10" t="e">
        <f>LEFT(Table1[[#This Row],[EPI_DGN_ANTIC]],3)</f>
        <v>#VALUE!</v>
      </c>
      <c r="D1336" s="10" t="s">
        <v>2519</v>
      </c>
      <c r="E1336" s="10">
        <v>0</v>
      </c>
      <c r="F1336" s="10"/>
      <c r="G1336" s="10"/>
      <c r="H1336" s="31">
        <v>643</v>
      </c>
      <c r="I1336" s="7" t="s">
        <v>2513</v>
      </c>
    </row>
    <row r="1337" spans="1:9" hidden="1">
      <c r="A1337" s="31">
        <f t="shared" si="10"/>
        <v>1335</v>
      </c>
      <c r="B1337" s="10" t="e">
        <f>LEFT(Table1[[#This Row],[EPI_DGN_ANTIC]],1)</f>
        <v>#VALUE!</v>
      </c>
      <c r="C1337" s="10" t="e">
        <f>LEFT(Table1[[#This Row],[EPI_DGN_ANTIC]],2)</f>
        <v>#VALUE!</v>
      </c>
      <c r="D1337" s="10" t="s">
        <v>2520</v>
      </c>
      <c r="E1337" s="10">
        <v>0</v>
      </c>
      <c r="F1337" s="10"/>
      <c r="G1337" s="10"/>
      <c r="H1337" s="31">
        <v>644</v>
      </c>
      <c r="I1337" s="7" t="s">
        <v>2521</v>
      </c>
    </row>
    <row r="1338" spans="1:9" hidden="1">
      <c r="A1338" s="31">
        <f t="shared" si="10"/>
        <v>1336</v>
      </c>
      <c r="B1338" s="10" t="e">
        <f>LEFT(Table1[[#This Row],[EPI_DGN_ANTIC]],1)</f>
        <v>#VALUE!</v>
      </c>
      <c r="C1338" s="10" t="e">
        <f>LEFT(Table1[[#This Row],[EPI_DGN_ANTIC]],3)</f>
        <v>#VALUE!</v>
      </c>
      <c r="D1338" s="10" t="s">
        <v>2522</v>
      </c>
      <c r="E1338" s="10">
        <v>0</v>
      </c>
      <c r="F1338" s="10"/>
      <c r="G1338" s="10"/>
      <c r="H1338" s="31">
        <v>645</v>
      </c>
      <c r="I1338" s="7" t="s">
        <v>1910</v>
      </c>
    </row>
    <row r="1339" spans="1:9" hidden="1">
      <c r="A1339" s="31">
        <f t="shared" si="10"/>
        <v>1337</v>
      </c>
      <c r="B1339" s="10" t="e">
        <f>LEFT(Table1[[#This Row],[EPI_DGN_ANTIC]],1)</f>
        <v>#VALUE!</v>
      </c>
      <c r="C1339" s="10" t="e">
        <f>LEFT(Table1[[#This Row],[EPI_DGN_ANTIC]],3)</f>
        <v>#VALUE!</v>
      </c>
      <c r="D1339" s="10" t="s">
        <v>1595</v>
      </c>
      <c r="E1339" s="10">
        <v>1</v>
      </c>
      <c r="F1339" s="10" t="s">
        <v>2523</v>
      </c>
      <c r="G1339" s="10"/>
      <c r="H1339" s="31">
        <v>646</v>
      </c>
      <c r="I1339" s="7" t="s">
        <v>1889</v>
      </c>
    </row>
    <row r="1340" spans="1:9" hidden="1">
      <c r="A1340" s="31">
        <f t="shared" si="10"/>
        <v>1338</v>
      </c>
      <c r="B1340" s="10" t="e">
        <f>LEFT(Table1[[#This Row],[EPI_DGN_ANTIC]],1)</f>
        <v>#VALUE!</v>
      </c>
      <c r="C1340" s="10" t="e">
        <f>LEFT(Table1[[#This Row],[EPI_DGN_ANTIC]],3)</f>
        <v>#VALUE!</v>
      </c>
      <c r="D1340" s="10" t="s">
        <v>1897</v>
      </c>
      <c r="E1340" s="10">
        <v>1</v>
      </c>
      <c r="F1340" s="10" t="s">
        <v>2524</v>
      </c>
      <c r="G1340" s="10"/>
      <c r="H1340" s="31">
        <v>647</v>
      </c>
      <c r="I1340" s="7" t="s">
        <v>2525</v>
      </c>
    </row>
    <row r="1341" spans="1:9" hidden="1">
      <c r="A1341" s="31">
        <f t="shared" si="10"/>
        <v>1339</v>
      </c>
      <c r="B1341" s="10" t="e">
        <f>LEFT(Table1[[#This Row],[EPI_DGN_ANTIC]],1)</f>
        <v>#VALUE!</v>
      </c>
      <c r="C1341" s="10" t="e">
        <f>LEFT(Table1[[#This Row],[EPI_DGN_ANTIC]],3)</f>
        <v>#VALUE!</v>
      </c>
      <c r="D1341" s="10" t="s">
        <v>2526</v>
      </c>
      <c r="E1341" s="10">
        <v>0</v>
      </c>
      <c r="F1341" s="10"/>
      <c r="G1341" s="10"/>
      <c r="H1341" s="31">
        <v>648</v>
      </c>
      <c r="I1341" s="7" t="s">
        <v>1406</v>
      </c>
    </row>
    <row r="1342" spans="1:9" hidden="1">
      <c r="A1342" s="31">
        <f t="shared" si="10"/>
        <v>1340</v>
      </c>
      <c r="B1342" s="10" t="e">
        <f>LEFT(Table1[[#This Row],[EPI_DGN_ANTIC]],1)</f>
        <v>#VALUE!</v>
      </c>
      <c r="C1342" s="10" t="e">
        <f>LEFT(Table1[[#This Row],[EPI_DGN_ANTIC]],3)</f>
        <v>#VALUE!</v>
      </c>
      <c r="D1342" s="10" t="s">
        <v>1590</v>
      </c>
      <c r="E1342" s="10">
        <v>1</v>
      </c>
      <c r="F1342" s="10" t="s">
        <v>2527</v>
      </c>
      <c r="G1342" s="10"/>
      <c r="H1342" s="31">
        <v>649</v>
      </c>
      <c r="I1342" s="7" t="s">
        <v>2528</v>
      </c>
    </row>
    <row r="1343" spans="1:9" hidden="1">
      <c r="A1343" s="31">
        <f t="shared" si="10"/>
        <v>1341</v>
      </c>
      <c r="B1343" s="10" t="e">
        <f>LEFT(Table1[[#This Row],[EPI_DGN_ANTIC]],1)</f>
        <v>#VALUE!</v>
      </c>
      <c r="C1343" s="10" t="e">
        <f>LEFT(Table1[[#This Row],[EPI_DGN_ANTIC]],3)</f>
        <v>#VALUE!</v>
      </c>
      <c r="D1343" s="10" t="s">
        <v>2529</v>
      </c>
      <c r="E1343" s="10">
        <v>0</v>
      </c>
      <c r="F1343" s="10"/>
      <c r="G1343" s="10"/>
      <c r="H1343" s="31">
        <v>650</v>
      </c>
      <c r="I1343" s="7" t="s">
        <v>2530</v>
      </c>
    </row>
    <row r="1344" spans="1:9" hidden="1">
      <c r="A1344" s="31">
        <f t="shared" si="10"/>
        <v>1342</v>
      </c>
      <c r="B1344" s="10" t="e">
        <f>LEFT(Table1[[#This Row],[EPI_DGN_ANTIC]],1)</f>
        <v>#VALUE!</v>
      </c>
      <c r="C1344" s="10" t="e">
        <f>LEFT(Table1[[#This Row],[EPI_DGN_ANTIC]],2)</f>
        <v>#VALUE!</v>
      </c>
      <c r="D1344" s="10" t="s">
        <v>2531</v>
      </c>
      <c r="E1344" s="10">
        <v>0</v>
      </c>
      <c r="F1344" s="10"/>
      <c r="G1344" s="10"/>
      <c r="H1344" s="31">
        <v>651</v>
      </c>
      <c r="I1344" s="7" t="s">
        <v>2532</v>
      </c>
    </row>
    <row r="1345" spans="1:9" hidden="1">
      <c r="A1345" s="31">
        <f t="shared" si="10"/>
        <v>1343</v>
      </c>
      <c r="B1345" s="10" t="e">
        <f>LEFT(Table1[[#This Row],[EPI_DGN_ANTIC]],1)</f>
        <v>#VALUE!</v>
      </c>
      <c r="C1345" s="10" t="e">
        <f>LEFT(Table1[[#This Row],[EPI_DGN_ANTIC]],2)</f>
        <v>#VALUE!</v>
      </c>
      <c r="D1345" s="10" t="s">
        <v>2533</v>
      </c>
      <c r="E1345" s="10">
        <v>1</v>
      </c>
      <c r="F1345" s="10" t="s">
        <v>2534</v>
      </c>
      <c r="G1345" s="10"/>
      <c r="H1345" s="31">
        <v>652</v>
      </c>
      <c r="I1345" s="7" t="s">
        <v>2455</v>
      </c>
    </row>
    <row r="1346" spans="1:9" hidden="1">
      <c r="A1346" s="31">
        <f t="shared" si="10"/>
        <v>1344</v>
      </c>
      <c r="B1346" s="10" t="e">
        <f>LEFT(Table1[[#This Row],[EPI_DGN_ANTIC]],1)</f>
        <v>#VALUE!</v>
      </c>
      <c r="C1346" s="10" t="e">
        <f>LEFT(Table1[[#This Row],[EPI_DGN_ANTIC]],2)</f>
        <v>#VALUE!</v>
      </c>
      <c r="D1346" s="10" t="s">
        <v>2535</v>
      </c>
      <c r="E1346" s="10">
        <v>1</v>
      </c>
      <c r="F1346" s="10" t="s">
        <v>2536</v>
      </c>
      <c r="G1346" s="10"/>
      <c r="H1346" s="31">
        <v>653</v>
      </c>
      <c r="I1346" s="7" t="s">
        <v>2537</v>
      </c>
    </row>
    <row r="1347" spans="1:9" hidden="1">
      <c r="A1347" s="31">
        <f t="shared" si="10"/>
        <v>1345</v>
      </c>
      <c r="B1347" s="10" t="e">
        <f>LEFT(Table1[[#This Row],[EPI_DGN_ANTIC]],1)</f>
        <v>#VALUE!</v>
      </c>
      <c r="C1347" s="10" t="e">
        <f>LEFT(Table1[[#This Row],[EPI_DGN_ANTIC]],2)</f>
        <v>#VALUE!</v>
      </c>
      <c r="D1347" s="10" t="s">
        <v>2531</v>
      </c>
      <c r="E1347" s="10">
        <v>1</v>
      </c>
      <c r="F1347" s="10" t="s">
        <v>2538</v>
      </c>
      <c r="G1347" s="10"/>
      <c r="H1347" s="31">
        <v>654</v>
      </c>
      <c r="I1347" s="7" t="s">
        <v>884</v>
      </c>
    </row>
    <row r="1348" spans="1:9" hidden="1">
      <c r="A1348" s="31">
        <f t="shared" si="10"/>
        <v>1346</v>
      </c>
      <c r="B1348" s="10" t="e">
        <f>LEFT(Table1[[#This Row],[EPI_DGN_ANTIC]],1)</f>
        <v>#VALUE!</v>
      </c>
      <c r="C1348" s="10" t="e">
        <f>LEFT(Table1[[#This Row],[EPI_DGN_ANTIC]],2)</f>
        <v>#VALUE!</v>
      </c>
      <c r="D1348" s="10" t="s">
        <v>1550</v>
      </c>
      <c r="E1348" s="10">
        <v>1</v>
      </c>
      <c r="F1348" s="10" t="s">
        <v>1616</v>
      </c>
      <c r="G1348" s="10"/>
      <c r="H1348" s="31">
        <v>655</v>
      </c>
      <c r="I1348" s="7" t="s">
        <v>2539</v>
      </c>
    </row>
    <row r="1349" spans="1:9" hidden="1">
      <c r="A1349" s="31">
        <f t="shared" si="10"/>
        <v>1347</v>
      </c>
      <c r="B1349" s="10" t="e">
        <f>LEFT(Table1[[#This Row],[EPI_DGN_ANTIC]],1)</f>
        <v>#VALUE!</v>
      </c>
      <c r="C1349" s="10" t="e">
        <f>LEFT(Table1[[#This Row],[EPI_DGN_ANTIC]],2)</f>
        <v>#VALUE!</v>
      </c>
      <c r="D1349" s="10" t="s">
        <v>2540</v>
      </c>
      <c r="E1349" s="10">
        <v>0</v>
      </c>
      <c r="F1349" s="10"/>
      <c r="G1349" s="10"/>
      <c r="H1349" s="31">
        <v>656</v>
      </c>
      <c r="I1349" s="7" t="s">
        <v>2455</v>
      </c>
    </row>
    <row r="1350" spans="1:9" hidden="1">
      <c r="A1350" s="31">
        <f t="shared" si="10"/>
        <v>1348</v>
      </c>
      <c r="B1350" s="10" t="e">
        <f>LEFT(Table1[[#This Row],[EPI_DGN_ANTIC]],1)</f>
        <v>#VALUE!</v>
      </c>
      <c r="C1350" s="10" t="e">
        <f>LEFT(Table1[[#This Row],[EPI_DGN_ANTIC]],2)</f>
        <v>#VALUE!</v>
      </c>
      <c r="D1350" s="10" t="s">
        <v>2540</v>
      </c>
      <c r="E1350" s="10">
        <v>1</v>
      </c>
      <c r="F1350" s="10" t="s">
        <v>1558</v>
      </c>
      <c r="G1350" s="10"/>
      <c r="H1350" s="31">
        <v>657</v>
      </c>
      <c r="I1350" s="7" t="s">
        <v>303</v>
      </c>
    </row>
    <row r="1351" spans="1:9" hidden="1">
      <c r="A1351" s="31">
        <f t="shared" si="10"/>
        <v>1349</v>
      </c>
      <c r="B1351" s="10" t="e">
        <f>LEFT(Table1[[#This Row],[EPI_DGN_ANTIC]],1)</f>
        <v>#VALUE!</v>
      </c>
      <c r="C1351" s="10" t="e">
        <f>LEFT(Table1[[#This Row],[EPI_DGN_ANTIC]],3)</f>
        <v>#VALUE!</v>
      </c>
      <c r="D1351" s="10" t="s">
        <v>2541</v>
      </c>
      <c r="E1351" s="10">
        <v>0</v>
      </c>
      <c r="F1351" s="10"/>
      <c r="G1351" s="10"/>
      <c r="H1351" s="31">
        <v>658</v>
      </c>
      <c r="I1351" s="7" t="s">
        <v>2542</v>
      </c>
    </row>
    <row r="1352" spans="1:9" hidden="1">
      <c r="A1352" s="31">
        <f t="shared" si="10"/>
        <v>1350</v>
      </c>
      <c r="B1352" s="10" t="s">
        <v>1355</v>
      </c>
      <c r="C1352" s="10" t="e">
        <f>LEFT(Table1[[#This Row],[EPI_DGN_ANTIC]],1)</f>
        <v>#VALUE!</v>
      </c>
      <c r="D1352" s="10" t="s">
        <v>378</v>
      </c>
      <c r="E1352" s="10">
        <v>0</v>
      </c>
      <c r="F1352" s="10"/>
      <c r="G1352" s="10"/>
      <c r="H1352" s="31">
        <v>659</v>
      </c>
      <c r="I1352" s="7" t="s">
        <v>2543</v>
      </c>
    </row>
    <row r="1353" spans="1:9" hidden="1">
      <c r="A1353" s="31">
        <f t="shared" si="10"/>
        <v>1351</v>
      </c>
      <c r="B1353" s="10" t="s">
        <v>1355</v>
      </c>
      <c r="C1353" s="10" t="e">
        <f>LEFT(Table1[[#This Row],[EPI_DGN_ANTIC]],1)</f>
        <v>#VALUE!</v>
      </c>
      <c r="D1353" s="10" t="s">
        <v>2544</v>
      </c>
      <c r="E1353" s="10">
        <v>0</v>
      </c>
      <c r="F1353" s="10"/>
      <c r="G1353" s="10"/>
      <c r="H1353" s="31">
        <v>660</v>
      </c>
      <c r="I1353" s="7" t="s">
        <v>2545</v>
      </c>
    </row>
    <row r="1354" spans="1:9" hidden="1">
      <c r="A1354" s="31">
        <f t="shared" si="10"/>
        <v>1352</v>
      </c>
      <c r="B1354" s="10" t="s">
        <v>1355</v>
      </c>
      <c r="C1354" s="10" t="e">
        <f>LEFT(Table1[[#This Row],[EPI_DGN_ANTIC]],1)</f>
        <v>#VALUE!</v>
      </c>
      <c r="D1354" s="10" t="s">
        <v>2546</v>
      </c>
      <c r="E1354" s="10">
        <v>0</v>
      </c>
      <c r="F1354" s="10"/>
      <c r="G1354" s="10"/>
      <c r="H1354" s="31">
        <v>661</v>
      </c>
      <c r="I1354" s="7" t="s">
        <v>2547</v>
      </c>
    </row>
    <row r="1355" spans="1:9" hidden="1">
      <c r="A1355" s="31">
        <f t="shared" si="10"/>
        <v>1353</v>
      </c>
      <c r="B1355" s="10" t="e">
        <f>LEFT(Table1[[#This Row],[EPI_DGN_ANTIC]],1)</f>
        <v>#VALUE!</v>
      </c>
      <c r="C1355" s="10" t="e">
        <f>LEFT(Table1[[#This Row],[EPI_DGN_ANTIC]],2)</f>
        <v>#VALUE!</v>
      </c>
      <c r="D1355" s="10" t="s">
        <v>1563</v>
      </c>
      <c r="E1355" s="10">
        <v>1</v>
      </c>
      <c r="F1355" s="10" t="s">
        <v>794</v>
      </c>
      <c r="G1355" s="10"/>
      <c r="H1355" s="31">
        <v>662</v>
      </c>
      <c r="I1355" s="7" t="s">
        <v>2548</v>
      </c>
    </row>
    <row r="1356" spans="1:9" hidden="1">
      <c r="A1356" s="31">
        <f t="shared" si="10"/>
        <v>1354</v>
      </c>
      <c r="B1356" s="10" t="e">
        <f>LEFT(Table1[[#This Row],[EPI_DGN_ANTIC]],1)</f>
        <v>#VALUE!</v>
      </c>
      <c r="C1356" s="10" t="e">
        <f>LEFT(Table1[[#This Row],[EPI_DGN_ANTIC]],3)</f>
        <v>#VALUE!</v>
      </c>
      <c r="D1356" s="10" t="s">
        <v>2549</v>
      </c>
      <c r="E1356" s="10">
        <v>1</v>
      </c>
      <c r="F1356" s="10" t="s">
        <v>1616</v>
      </c>
      <c r="G1356" s="10"/>
      <c r="H1356" s="31">
        <v>663</v>
      </c>
      <c r="I1356" s="7" t="s">
        <v>2550</v>
      </c>
    </row>
    <row r="1357" spans="1:9" hidden="1">
      <c r="A1357" s="31">
        <f t="shared" si="10"/>
        <v>1355</v>
      </c>
      <c r="B1357" s="10" t="e">
        <f>LEFT(Table1[[#This Row],[EPI_DGN_ANTIC]],1)</f>
        <v>#VALUE!</v>
      </c>
      <c r="C1357" s="10" t="e">
        <f>LEFT(Table1[[#This Row],[EPI_DGN_ANTIC]],3)</f>
        <v>#VALUE!</v>
      </c>
      <c r="D1357" s="10" t="s">
        <v>2551</v>
      </c>
      <c r="E1357" s="10">
        <v>1</v>
      </c>
      <c r="F1357" s="10" t="s">
        <v>1622</v>
      </c>
      <c r="G1357" s="10"/>
      <c r="H1357" s="31">
        <v>664</v>
      </c>
      <c r="I1357" s="7" t="s">
        <v>2552</v>
      </c>
    </row>
    <row r="1358" spans="1:9" hidden="1">
      <c r="A1358" s="31">
        <f t="shared" si="10"/>
        <v>1356</v>
      </c>
      <c r="B1358" s="10" t="e">
        <f>LEFT(Table1[[#This Row],[EPI_DGN_ANTIC]],1)</f>
        <v>#VALUE!</v>
      </c>
      <c r="C1358" s="10" t="e">
        <f>LEFT(Table1[[#This Row],[EPI_DGN_ANTIC]],3)</f>
        <v>#VALUE!</v>
      </c>
      <c r="D1358" s="10" t="s">
        <v>2553</v>
      </c>
      <c r="E1358" s="10">
        <v>1</v>
      </c>
      <c r="F1358" s="10" t="s">
        <v>2554</v>
      </c>
      <c r="G1358" s="10"/>
      <c r="H1358" s="10"/>
      <c r="I1358" s="7"/>
    </row>
    <row r="1359" spans="1:9" hidden="1">
      <c r="A1359" s="31">
        <f t="shared" si="10"/>
        <v>1357</v>
      </c>
      <c r="B1359" s="10" t="e">
        <f>LEFT(Table1[[#This Row],[EPI_DGN_ANTIC]],1)</f>
        <v>#VALUE!</v>
      </c>
      <c r="C1359" s="10" t="e">
        <f>LEFT(Table1[[#This Row],[EPI_DGN_ANTIC]],3)</f>
        <v>#VALUE!</v>
      </c>
      <c r="D1359" s="10" t="s">
        <v>2555</v>
      </c>
      <c r="E1359" s="10">
        <v>1</v>
      </c>
      <c r="F1359" s="10" t="s">
        <v>1784</v>
      </c>
      <c r="G1359" s="10"/>
      <c r="H1359" s="10"/>
      <c r="I1359" s="7"/>
    </row>
    <row r="1360" spans="1:9" hidden="1">
      <c r="A1360" s="31">
        <f t="shared" si="10"/>
        <v>1358</v>
      </c>
      <c r="B1360" s="10" t="e">
        <f>LEFT(Table1[[#This Row],[EPI_DGN_ANTIC]],1)</f>
        <v>#VALUE!</v>
      </c>
      <c r="C1360" s="10" t="e">
        <f>LEFT(Table1[[#This Row],[EPI_DGN_ANTIC]],3)</f>
        <v>#VALUE!</v>
      </c>
      <c r="D1360" s="10" t="s">
        <v>2556</v>
      </c>
      <c r="E1360" s="10">
        <v>1</v>
      </c>
      <c r="F1360" s="10" t="s">
        <v>1730</v>
      </c>
      <c r="G1360" s="10"/>
      <c r="H1360" s="10"/>
      <c r="I1360" s="7"/>
    </row>
    <row r="1361" spans="1:9" hidden="1">
      <c r="A1361" s="31">
        <f t="shared" si="10"/>
        <v>1359</v>
      </c>
      <c r="B1361" s="10" t="e">
        <f>LEFT(Table1[[#This Row],[EPI_DGN_ANTIC]],1)</f>
        <v>#VALUE!</v>
      </c>
      <c r="C1361" s="10" t="e">
        <f>LEFT(Table1[[#This Row],[EPI_DGN_ANTIC]],2)</f>
        <v>#VALUE!</v>
      </c>
      <c r="D1361" s="10" t="s">
        <v>2557</v>
      </c>
      <c r="E1361" s="10">
        <v>1</v>
      </c>
      <c r="F1361" s="10" t="s">
        <v>1211</v>
      </c>
      <c r="G1361" s="10"/>
      <c r="H1361" s="10"/>
      <c r="I1361" s="7"/>
    </row>
    <row r="1362" spans="1:9" hidden="1">
      <c r="A1362" s="31">
        <f t="shared" si="10"/>
        <v>1360</v>
      </c>
      <c r="B1362" s="10" t="e">
        <f>LEFT(Table1[[#This Row],[EPI_DGN_ANTIC]],1)</f>
        <v>#VALUE!</v>
      </c>
      <c r="C1362" s="10" t="e">
        <f>LEFT(Table1[[#This Row],[EPI_DGN_ANTIC]],2)</f>
        <v>#VALUE!</v>
      </c>
      <c r="D1362" s="10" t="s">
        <v>2558</v>
      </c>
      <c r="E1362" s="10">
        <v>1</v>
      </c>
      <c r="F1362" s="10" t="s">
        <v>1661</v>
      </c>
      <c r="G1362" s="10"/>
      <c r="H1362" s="10"/>
      <c r="I1362" s="7"/>
    </row>
    <row r="1363" spans="1:9" hidden="1">
      <c r="A1363" s="31">
        <f t="shared" si="10"/>
        <v>1361</v>
      </c>
      <c r="B1363" s="10" t="e">
        <f>LEFT(Table1[[#This Row],[EPI_DGN_ANTIC]],1)</f>
        <v>#VALUE!</v>
      </c>
      <c r="C1363" s="10" t="e">
        <f>LEFT(Table1[[#This Row],[EPI_DGN_ANTIC]],2)</f>
        <v>#VALUE!</v>
      </c>
      <c r="D1363" s="10" t="s">
        <v>2559</v>
      </c>
      <c r="E1363" s="10">
        <v>1</v>
      </c>
      <c r="F1363" s="10" t="s">
        <v>1661</v>
      </c>
      <c r="G1363" s="10"/>
      <c r="H1363" s="10"/>
      <c r="I1363" s="7"/>
    </row>
    <row r="1364" spans="1:9" hidden="1">
      <c r="A1364" s="31">
        <f t="shared" si="10"/>
        <v>1362</v>
      </c>
      <c r="B1364" s="10" t="e">
        <f>LEFT(Table1[[#This Row],[EPI_DGN_ANTIC]],1)</f>
        <v>#VALUE!</v>
      </c>
      <c r="C1364" s="10" t="e">
        <f>LEFT(Table1[[#This Row],[EPI_DGN_ANTIC]],2)</f>
        <v>#VALUE!</v>
      </c>
      <c r="D1364" s="10" t="s">
        <v>2560</v>
      </c>
      <c r="E1364" s="10">
        <v>1</v>
      </c>
      <c r="F1364" s="10" t="s">
        <v>1661</v>
      </c>
      <c r="G1364" s="10"/>
      <c r="H1364" s="10"/>
      <c r="I1364" s="7"/>
    </row>
    <row r="1365" spans="1:9" hidden="1">
      <c r="A1365" s="31">
        <f t="shared" si="10"/>
        <v>1363</v>
      </c>
      <c r="B1365" s="10" t="e">
        <f>LEFT(Table1[[#This Row],[EPI_DGN_ANTIC]],1)</f>
        <v>#VALUE!</v>
      </c>
      <c r="C1365" s="10" t="e">
        <f>LEFT(Table1[[#This Row],[EPI_DGN_ANTIC]],2)</f>
        <v>#VALUE!</v>
      </c>
      <c r="D1365" s="10" t="s">
        <v>2561</v>
      </c>
      <c r="E1365" s="10">
        <v>0</v>
      </c>
      <c r="F1365" s="10"/>
      <c r="G1365" s="10"/>
      <c r="H1365" s="10"/>
      <c r="I1365" s="7"/>
    </row>
    <row r="1366" spans="1:9" hidden="1">
      <c r="A1366" s="31">
        <f t="shared" si="10"/>
        <v>1364</v>
      </c>
      <c r="B1366" s="10" t="e">
        <f>LEFT(Table1[[#This Row],[EPI_DGN_ANTIC]],1)</f>
        <v>#VALUE!</v>
      </c>
      <c r="C1366" s="10" t="e">
        <f>LEFT(Table1[[#This Row],[EPI_DGN_ANTIC]],2)</f>
        <v>#VALUE!</v>
      </c>
      <c r="D1366" s="10" t="s">
        <v>2562</v>
      </c>
      <c r="E1366" s="10">
        <v>1</v>
      </c>
      <c r="F1366" s="10" t="s">
        <v>2563</v>
      </c>
      <c r="G1366" s="10"/>
      <c r="H1366" s="10"/>
      <c r="I1366" s="7"/>
    </row>
    <row r="1367" spans="1:9" hidden="1">
      <c r="A1367" s="31">
        <f t="shared" si="10"/>
        <v>1365</v>
      </c>
      <c r="B1367" s="10" t="e">
        <f>LEFT(Table1[[#This Row],[EPI_DGN_ANTIC]],1)</f>
        <v>#VALUE!</v>
      </c>
      <c r="C1367" s="10" t="e">
        <f>LEFT(Table1[[#This Row],[EPI_DGN_ANTIC]],2)</f>
        <v>#VALUE!</v>
      </c>
      <c r="D1367" s="10" t="s">
        <v>2564</v>
      </c>
      <c r="E1367" s="10">
        <v>1</v>
      </c>
      <c r="F1367" s="10" t="s">
        <v>2565</v>
      </c>
      <c r="G1367" s="10"/>
      <c r="H1367" s="10"/>
      <c r="I1367" s="7"/>
    </row>
    <row r="1368" spans="1:9" hidden="1">
      <c r="A1368" s="31">
        <f t="shared" si="10"/>
        <v>1366</v>
      </c>
      <c r="B1368" s="10" t="e">
        <f>LEFT(Table1[[#This Row],[EPI_DGN_ANTIC]],1)</f>
        <v>#VALUE!</v>
      </c>
      <c r="C1368" s="10" t="e">
        <f>LEFT(Table1[[#This Row],[EPI_DGN_ANTIC]],2)</f>
        <v>#VALUE!</v>
      </c>
      <c r="D1368" s="10" t="s">
        <v>2566</v>
      </c>
      <c r="E1368" s="10">
        <v>1</v>
      </c>
      <c r="F1368" s="10" t="s">
        <v>2302</v>
      </c>
      <c r="G1368" s="10"/>
      <c r="H1368" s="10"/>
      <c r="I1368" s="7"/>
    </row>
    <row r="1369" spans="1:9" hidden="1">
      <c r="A1369" s="31">
        <f t="shared" si="10"/>
        <v>1367</v>
      </c>
      <c r="B1369" s="10" t="e">
        <f>LEFT(Table1[[#This Row],[EPI_DGN_ANTIC]],1)</f>
        <v>#VALUE!</v>
      </c>
      <c r="C1369" s="10" t="e">
        <f>LEFT(Table1[[#This Row],[EPI_DGN_ANTIC]],2)</f>
        <v>#VALUE!</v>
      </c>
      <c r="D1369" s="10" t="s">
        <v>2567</v>
      </c>
      <c r="E1369" s="10">
        <v>1</v>
      </c>
      <c r="F1369" s="10" t="s">
        <v>2302</v>
      </c>
      <c r="G1369" s="10"/>
      <c r="H1369" s="10"/>
      <c r="I1369" s="7"/>
    </row>
    <row r="1370" spans="1:9" hidden="1">
      <c r="A1370" s="31">
        <f t="shared" si="10"/>
        <v>1368</v>
      </c>
      <c r="B1370" s="10" t="e">
        <f>LEFT(Table1[[#This Row],[EPI_DGN_ANTIC]],1)</f>
        <v>#VALUE!</v>
      </c>
      <c r="C1370" s="10" t="e">
        <f>LEFT(Table1[[#This Row],[EPI_DGN_ANTIC]],3)</f>
        <v>#VALUE!</v>
      </c>
      <c r="D1370" s="10" t="s">
        <v>2568</v>
      </c>
      <c r="E1370" s="10">
        <v>1</v>
      </c>
      <c r="F1370" s="10" t="s">
        <v>1925</v>
      </c>
      <c r="G1370" s="10"/>
      <c r="H1370" s="10"/>
      <c r="I1370" s="7"/>
    </row>
    <row r="1371" spans="1:9" hidden="1">
      <c r="A1371" s="31">
        <f t="shared" si="10"/>
        <v>1369</v>
      </c>
      <c r="B1371" s="10" t="e">
        <f>LEFT(Table1[[#This Row],[EPI_DGN_ANTIC]],1)</f>
        <v>#VALUE!</v>
      </c>
      <c r="C1371" s="10" t="e">
        <f>LEFT(Table1[[#This Row],[EPI_DGN_ANTIC]],3)</f>
        <v>#VALUE!</v>
      </c>
      <c r="D1371" s="10" t="s">
        <v>2569</v>
      </c>
      <c r="E1371" s="10">
        <v>0</v>
      </c>
      <c r="F1371" s="10"/>
      <c r="G1371" s="10"/>
      <c r="H1371" s="10"/>
      <c r="I1371" s="7"/>
    </row>
    <row r="1372" spans="1:9" hidden="1">
      <c r="A1372" s="31">
        <f t="shared" si="10"/>
        <v>1370</v>
      </c>
      <c r="B1372" s="10" t="e">
        <f>LEFT(Table1[[#This Row],[EPI_DGN_ANTIC]],1)</f>
        <v>#VALUE!</v>
      </c>
      <c r="C1372" s="10" t="e">
        <f>LEFT(Table1[[#This Row],[EPI_DGN_ANTIC]],3)</f>
        <v>#VALUE!</v>
      </c>
      <c r="D1372" s="10" t="s">
        <v>2570</v>
      </c>
      <c r="E1372" s="10">
        <v>1</v>
      </c>
      <c r="F1372" s="10" t="s">
        <v>2571</v>
      </c>
      <c r="G1372" s="10"/>
      <c r="H1372" s="10"/>
      <c r="I1372" s="7"/>
    </row>
    <row r="1373" spans="1:9" hidden="1">
      <c r="A1373" s="31">
        <f t="shared" si="10"/>
        <v>1371</v>
      </c>
      <c r="B1373" s="10" t="e">
        <f>LEFT(Table1[[#This Row],[EPI_DGN_ANTIC]],1)</f>
        <v>#VALUE!</v>
      </c>
      <c r="C1373" s="10" t="e">
        <f>LEFT(Table1[[#This Row],[EPI_DGN_ANTIC]],3)</f>
        <v>#VALUE!</v>
      </c>
      <c r="D1373" s="10" t="s">
        <v>2572</v>
      </c>
      <c r="E1373" s="10">
        <v>1</v>
      </c>
      <c r="F1373" s="10" t="s">
        <v>2573</v>
      </c>
      <c r="G1373" s="10"/>
      <c r="H1373" s="10"/>
      <c r="I1373" s="7"/>
    </row>
    <row r="1374" spans="1:9" hidden="1">
      <c r="A1374" s="31">
        <f t="shared" si="10"/>
        <v>1372</v>
      </c>
      <c r="B1374" s="10" t="e">
        <f>LEFT(Table1[[#This Row],[EPI_DGN_ANTIC]],1)</f>
        <v>#VALUE!</v>
      </c>
      <c r="C1374" s="10" t="e">
        <f>LEFT(Table1[[#This Row],[EPI_DGN_ANTIC]],3)</f>
        <v>#VALUE!</v>
      </c>
      <c r="D1374" s="10" t="s">
        <v>2574</v>
      </c>
      <c r="E1374" s="10">
        <v>0</v>
      </c>
      <c r="F1374" s="10"/>
      <c r="G1374" s="10"/>
      <c r="H1374" s="10"/>
      <c r="I1374" s="7"/>
    </row>
    <row r="1375" spans="1:9" hidden="1">
      <c r="A1375" s="31">
        <f t="shared" si="10"/>
        <v>1373</v>
      </c>
      <c r="B1375" s="10" t="e">
        <f>LEFT(Table1[[#This Row],[EPI_DGN_ANTIC]],1)</f>
        <v>#VALUE!</v>
      </c>
      <c r="C1375" s="10" t="e">
        <f>LEFT(Table1[[#This Row],[EPI_DGN_ANTIC]],2)</f>
        <v>#VALUE!</v>
      </c>
      <c r="D1375" s="10" t="s">
        <v>2165</v>
      </c>
      <c r="E1375" s="10">
        <v>1</v>
      </c>
      <c r="F1375" s="10" t="s">
        <v>1501</v>
      </c>
      <c r="G1375" s="10"/>
      <c r="H1375" s="10"/>
      <c r="I1375" s="7"/>
    </row>
    <row r="1376" spans="1:9" hidden="1">
      <c r="A1376" s="31">
        <f t="shared" si="10"/>
        <v>1374</v>
      </c>
      <c r="B1376" s="10" t="e">
        <f>LEFT(Table1[[#This Row],[EPI_DGN_ANTIC]],1)</f>
        <v>#VALUE!</v>
      </c>
      <c r="C1376" s="10" t="e">
        <f>LEFT(Table1[[#This Row],[EPI_DGN_ANTIC]],3)</f>
        <v>#VALUE!</v>
      </c>
      <c r="D1376" s="10" t="s">
        <v>2575</v>
      </c>
      <c r="E1376" s="10">
        <v>1</v>
      </c>
      <c r="F1376" s="10" t="s">
        <v>2426</v>
      </c>
      <c r="G1376" s="10"/>
      <c r="H1376" s="10"/>
      <c r="I1376" s="7"/>
    </row>
    <row r="1377" spans="1:9" hidden="1">
      <c r="A1377" s="31">
        <f t="shared" si="10"/>
        <v>1375</v>
      </c>
      <c r="B1377" s="10" t="e">
        <f>LEFT(Table1[[#This Row],[EPI_DGN_ANTIC]],1)</f>
        <v>#VALUE!</v>
      </c>
      <c r="C1377" s="10" t="e">
        <f>LEFT(Table1[[#This Row],[EPI_DGN_ANTIC]],3)</f>
        <v>#VALUE!</v>
      </c>
      <c r="D1377" s="10" t="s">
        <v>2576</v>
      </c>
      <c r="E1377" s="10">
        <v>1</v>
      </c>
      <c r="F1377" s="10" t="s">
        <v>2219</v>
      </c>
      <c r="G1377" s="10"/>
      <c r="H1377" s="10"/>
      <c r="I1377" s="7"/>
    </row>
    <row r="1378" spans="1:9" hidden="1">
      <c r="A1378" s="31">
        <f t="shared" si="10"/>
        <v>1376</v>
      </c>
      <c r="B1378" s="10" t="e">
        <f>LEFT(Table1[[#This Row],[EPI_DGN_ANTIC]],1)</f>
        <v>#VALUE!</v>
      </c>
      <c r="C1378" s="10" t="e">
        <f>LEFT(Table1[[#This Row],[EPI_DGN_ANTIC]],2)</f>
        <v>#VALUE!</v>
      </c>
      <c r="D1378" s="10" t="s">
        <v>2577</v>
      </c>
      <c r="E1378" s="10">
        <v>1</v>
      </c>
      <c r="F1378" s="10" t="s">
        <v>2236</v>
      </c>
      <c r="G1378" s="10"/>
      <c r="H1378" s="10"/>
      <c r="I1378" s="7"/>
    </row>
    <row r="1379" spans="1:9" hidden="1">
      <c r="A1379" s="31">
        <f t="shared" si="10"/>
        <v>1377</v>
      </c>
      <c r="B1379" s="10" t="e">
        <f>LEFT(Table1[[#This Row],[EPI_DGN_ANTIC]],1)</f>
        <v>#VALUE!</v>
      </c>
      <c r="C1379" s="10" t="e">
        <f>LEFT(Table1[[#This Row],[EPI_DGN_ANTIC]],3)</f>
        <v>#VALUE!</v>
      </c>
      <c r="D1379" s="10" t="s">
        <v>2578</v>
      </c>
      <c r="E1379" s="10">
        <v>1</v>
      </c>
      <c r="F1379" s="10" t="s">
        <v>2579</v>
      </c>
      <c r="G1379" s="10"/>
      <c r="H1379" s="10"/>
      <c r="I1379" s="7"/>
    </row>
    <row r="1380" spans="1:9" hidden="1">
      <c r="A1380" s="31">
        <f t="shared" si="10"/>
        <v>1378</v>
      </c>
      <c r="B1380" s="10" t="e">
        <f>LEFT(Table1[[#This Row],[EPI_DGN_ANTIC]],1)</f>
        <v>#VALUE!</v>
      </c>
      <c r="C1380" s="10" t="e">
        <f>LEFT(Table1[[#This Row],[EPI_DGN_ANTIC]],4)</f>
        <v>#VALUE!</v>
      </c>
      <c r="D1380" s="10" t="s">
        <v>2580</v>
      </c>
      <c r="E1380" s="10">
        <v>1</v>
      </c>
      <c r="F1380" s="10" t="s">
        <v>1935</v>
      </c>
      <c r="G1380" s="10"/>
      <c r="H1380" s="10"/>
      <c r="I1380" s="7"/>
    </row>
    <row r="1381" spans="1:9" hidden="1">
      <c r="A1381" s="31">
        <f t="shared" si="10"/>
        <v>1379</v>
      </c>
      <c r="B1381" s="10" t="e">
        <f>LEFT(Table1[[#This Row],[EPI_DGN_ANTIC]],1)</f>
        <v>#VALUE!</v>
      </c>
      <c r="C1381" s="10" t="e">
        <f>LEFT(Table1[[#This Row],[EPI_DGN_ANTIC]],3)</f>
        <v>#VALUE!</v>
      </c>
      <c r="D1381" s="10" t="s">
        <v>2581</v>
      </c>
      <c r="E1381" s="10">
        <v>1</v>
      </c>
      <c r="F1381" s="10" t="s">
        <v>2582</v>
      </c>
      <c r="G1381" s="10"/>
      <c r="H1381" s="10"/>
      <c r="I1381" s="7"/>
    </row>
    <row r="1382" spans="1:9" hidden="1">
      <c r="A1382" s="31">
        <f t="shared" si="10"/>
        <v>1380</v>
      </c>
      <c r="B1382" s="10" t="e">
        <f>LEFT(Table1[[#This Row],[EPI_DGN_ANTIC]],1)</f>
        <v>#VALUE!</v>
      </c>
      <c r="C1382" s="10" t="e">
        <f>LEFT(Table1[[#This Row],[EPI_DGN_ANTIC]],3)</f>
        <v>#VALUE!</v>
      </c>
      <c r="D1382" s="10" t="s">
        <v>2583</v>
      </c>
      <c r="E1382" s="10">
        <v>1</v>
      </c>
      <c r="F1382" s="10" t="s">
        <v>2584</v>
      </c>
      <c r="G1382" s="10"/>
      <c r="H1382" s="10"/>
      <c r="I1382" s="7"/>
    </row>
    <row r="1383" spans="1:9" hidden="1">
      <c r="A1383" s="31">
        <f t="shared" si="10"/>
        <v>1381</v>
      </c>
      <c r="B1383" s="10" t="e">
        <f>LEFT(Table1[[#This Row],[EPI_DGN_ANTIC]],1)</f>
        <v>#VALUE!</v>
      </c>
      <c r="C1383" s="10" t="e">
        <f>LEFT(Table1[[#This Row],[EPI_DGN_ANTIC]],4)</f>
        <v>#VALUE!</v>
      </c>
      <c r="D1383" s="10" t="s">
        <v>2585</v>
      </c>
      <c r="E1383" s="10">
        <v>1</v>
      </c>
      <c r="F1383" s="10" t="s">
        <v>2586</v>
      </c>
      <c r="G1383" s="10"/>
      <c r="H1383" s="10"/>
      <c r="I1383" s="7"/>
    </row>
    <row r="1384" spans="1:9" hidden="1">
      <c r="A1384" s="31">
        <f t="shared" si="10"/>
        <v>1382</v>
      </c>
      <c r="B1384" s="10" t="e">
        <f>LEFT(Table1[[#This Row],[EPI_DGN_ANTIC]],1)</f>
        <v>#VALUE!</v>
      </c>
      <c r="C1384" s="10" t="e">
        <f>LEFT(Table1[[#This Row],[EPI_DGN_ANTIC]],4)</f>
        <v>#VALUE!</v>
      </c>
      <c r="D1384" s="10" t="s">
        <v>2587</v>
      </c>
      <c r="E1384" s="10">
        <v>1</v>
      </c>
      <c r="F1384" s="10" t="s">
        <v>2588</v>
      </c>
      <c r="G1384" s="10"/>
      <c r="H1384" s="10"/>
      <c r="I1384" s="7"/>
    </row>
    <row r="1385" spans="1:9" hidden="1">
      <c r="A1385" s="31">
        <f t="shared" si="10"/>
        <v>1383</v>
      </c>
      <c r="B1385" s="10" t="e">
        <f>LEFT(Table1[[#This Row],[EPI_DGN_ANTIC]],1)</f>
        <v>#VALUE!</v>
      </c>
      <c r="C1385" s="10" t="e">
        <f>LEFT(Table1[[#This Row],[EPI_DGN_ANTIC]],4)</f>
        <v>#VALUE!</v>
      </c>
      <c r="D1385" s="10" t="s">
        <v>2589</v>
      </c>
      <c r="E1385" s="10">
        <v>1</v>
      </c>
      <c r="F1385" s="10" t="s">
        <v>2590</v>
      </c>
      <c r="G1385" s="10"/>
      <c r="H1385" s="10"/>
      <c r="I1385" s="7"/>
    </row>
    <row r="1386" spans="1:9" hidden="1">
      <c r="A1386" s="31">
        <f t="shared" si="10"/>
        <v>1384</v>
      </c>
      <c r="B1386" s="10" t="e">
        <f>LEFT(Table1[[#This Row],[EPI_DGN_ANTIC]],1)</f>
        <v>#VALUE!</v>
      </c>
      <c r="C1386" s="10" t="e">
        <f>LEFT(Table1[[#This Row],[EPI_DGN_ANTIC]],2)</f>
        <v>#VALUE!</v>
      </c>
      <c r="D1386" s="10" t="s">
        <v>2591</v>
      </c>
      <c r="E1386" s="10">
        <v>1</v>
      </c>
      <c r="F1386" s="10" t="s">
        <v>2592</v>
      </c>
      <c r="G1386" s="10"/>
      <c r="H1386" s="10"/>
      <c r="I1386" s="7"/>
    </row>
    <row r="1387" spans="1:9" hidden="1">
      <c r="A1387" s="31">
        <f t="shared" si="10"/>
        <v>1385</v>
      </c>
      <c r="B1387" s="10" t="e">
        <f>LEFT(Table1[[#This Row],[EPI_DGN_ANTIC]],1)</f>
        <v>#VALUE!</v>
      </c>
      <c r="C1387" s="10" t="e">
        <f>LEFT(Table1[[#This Row],[EPI_DGN_ANTIC]],3)</f>
        <v>#VALUE!</v>
      </c>
      <c r="D1387" s="10" t="s">
        <v>2593</v>
      </c>
      <c r="E1387" s="10">
        <v>1</v>
      </c>
      <c r="F1387" s="10" t="s">
        <v>2594</v>
      </c>
      <c r="G1387" s="10"/>
      <c r="H1387" s="10"/>
      <c r="I1387" s="7"/>
    </row>
    <row r="1388" spans="1:9" hidden="1">
      <c r="A1388" s="31">
        <f t="shared" si="10"/>
        <v>1386</v>
      </c>
      <c r="B1388" s="10" t="e">
        <f>LEFT(Table1[[#This Row],[EPI_DGN_ANTIC]],1)</f>
        <v>#VALUE!</v>
      </c>
      <c r="C1388" s="10" t="e">
        <f>LEFT(Table1[[#This Row],[EPI_DGN_ANTIC]],3)</f>
        <v>#VALUE!</v>
      </c>
      <c r="D1388" s="10" t="s">
        <v>2595</v>
      </c>
      <c r="E1388" s="10">
        <v>1</v>
      </c>
      <c r="F1388" s="10" t="s">
        <v>1538</v>
      </c>
      <c r="G1388" s="10"/>
      <c r="H1388" s="10"/>
      <c r="I1388" s="7"/>
    </row>
    <row r="1389" spans="1:9" hidden="1">
      <c r="A1389" s="31">
        <f t="shared" si="10"/>
        <v>1387</v>
      </c>
      <c r="B1389" s="10" t="e">
        <f>LEFT(Table1[[#This Row],[EPI_DGN_ANTIC]],1)</f>
        <v>#VALUE!</v>
      </c>
      <c r="C1389" s="10" t="e">
        <f>LEFT(Table1[[#This Row],[EPI_DGN_ANTIC]],3)</f>
        <v>#VALUE!</v>
      </c>
      <c r="D1389" s="10" t="s">
        <v>2596</v>
      </c>
      <c r="E1389" s="10">
        <v>1</v>
      </c>
      <c r="F1389" s="10" t="s">
        <v>2430</v>
      </c>
      <c r="G1389" s="10"/>
      <c r="H1389" s="10"/>
      <c r="I1389" s="7"/>
    </row>
    <row r="1390" spans="1:9" hidden="1">
      <c r="A1390" s="31">
        <f t="shared" si="10"/>
        <v>1388</v>
      </c>
      <c r="B1390" s="10" t="e">
        <f>LEFT(Table1[[#This Row],[EPI_DGN_ANTIC]],1)</f>
        <v>#VALUE!</v>
      </c>
      <c r="C1390" s="10" t="e">
        <f>LEFT(Table1[[#This Row],[EPI_DGN_ANTIC]],3)</f>
        <v>#VALUE!</v>
      </c>
      <c r="D1390" s="10" t="s">
        <v>2597</v>
      </c>
      <c r="E1390" s="10">
        <v>1</v>
      </c>
      <c r="F1390" s="10" t="s">
        <v>2598</v>
      </c>
      <c r="G1390" s="10"/>
      <c r="H1390" s="10"/>
      <c r="I1390" s="7"/>
    </row>
    <row r="1391" spans="1:9" hidden="1">
      <c r="A1391" s="31">
        <f t="shared" si="10"/>
        <v>1389</v>
      </c>
      <c r="B1391" s="10" t="e">
        <f>LEFT(Table1[[#This Row],[EPI_DGN_ANTIC]],1)</f>
        <v>#VALUE!</v>
      </c>
      <c r="C1391" s="10" t="e">
        <f>LEFT(Table1[[#This Row],[EPI_DGN_ANTIC]],3)</f>
        <v>#VALUE!</v>
      </c>
      <c r="D1391" s="10" t="s">
        <v>2599</v>
      </c>
      <c r="E1391" s="10">
        <v>1</v>
      </c>
      <c r="F1391" s="10" t="s">
        <v>1543</v>
      </c>
      <c r="G1391" s="10"/>
      <c r="H1391" s="10"/>
      <c r="I1391" s="7"/>
    </row>
    <row r="1392" spans="1:9" hidden="1">
      <c r="A1392" s="31">
        <f t="shared" si="10"/>
        <v>1390</v>
      </c>
      <c r="B1392" s="10" t="e">
        <f>LEFT(Table1[[#This Row],[EPI_DGN_ANTIC]],1)</f>
        <v>#VALUE!</v>
      </c>
      <c r="C1392" s="10" t="e">
        <f>LEFT(Table1[[#This Row],[EPI_DGN_ANTIC]],3)</f>
        <v>#VALUE!</v>
      </c>
      <c r="D1392" s="10" t="s">
        <v>2600</v>
      </c>
      <c r="E1392" s="10">
        <v>1</v>
      </c>
      <c r="F1392" s="10" t="s">
        <v>2208</v>
      </c>
      <c r="G1392" s="10"/>
      <c r="H1392" s="10"/>
      <c r="I1392" s="7"/>
    </row>
    <row r="1393" spans="1:9" hidden="1">
      <c r="A1393" s="31">
        <f t="shared" si="10"/>
        <v>1391</v>
      </c>
      <c r="B1393" s="10" t="e">
        <f>LEFT(Table1[[#This Row],[EPI_DGN_ANTIC]],1)</f>
        <v>#VALUE!</v>
      </c>
      <c r="C1393" s="10" t="e">
        <f>LEFT(Table1[[#This Row],[EPI_DGN_ANTIC]],3)</f>
        <v>#VALUE!</v>
      </c>
      <c r="D1393" s="10" t="s">
        <v>2601</v>
      </c>
      <c r="E1393" s="10">
        <v>1</v>
      </c>
      <c r="F1393" s="10" t="s">
        <v>2602</v>
      </c>
      <c r="G1393" s="10"/>
      <c r="H1393" s="10"/>
      <c r="I1393" s="7"/>
    </row>
    <row r="1394" spans="1:9" hidden="1">
      <c r="A1394" s="31">
        <f t="shared" si="10"/>
        <v>1392</v>
      </c>
      <c r="B1394" s="10" t="e">
        <f>LEFT(Table1[[#This Row],[EPI_DGN_ANTIC]],1)</f>
        <v>#VALUE!</v>
      </c>
      <c r="C1394" s="10" t="e">
        <f>LEFT(Table1[[#This Row],[EPI_DGN_ANTIC]],3)</f>
        <v>#VALUE!</v>
      </c>
      <c r="D1394" s="10" t="s">
        <v>2603</v>
      </c>
      <c r="E1394" s="10">
        <v>0</v>
      </c>
      <c r="F1394" s="10"/>
      <c r="G1394" s="10"/>
      <c r="H1394" s="10"/>
      <c r="I1394" s="7"/>
    </row>
    <row r="1395" spans="1:9" hidden="1">
      <c r="A1395" s="31">
        <f t="shared" si="10"/>
        <v>1393</v>
      </c>
      <c r="B1395" s="10" t="e">
        <f>LEFT(Table1[[#This Row],[EPI_DGN_ANTIC]],1)</f>
        <v>#VALUE!</v>
      </c>
      <c r="C1395" s="10" t="e">
        <f>LEFT(Table1[[#This Row],[EPI_DGN_ANTIC]],2)</f>
        <v>#VALUE!</v>
      </c>
      <c r="D1395" s="10" t="s">
        <v>2604</v>
      </c>
      <c r="E1395" s="10">
        <v>1</v>
      </c>
      <c r="F1395" s="10" t="s">
        <v>1801</v>
      </c>
      <c r="G1395" s="10"/>
      <c r="H1395" s="10"/>
      <c r="I1395" s="7"/>
    </row>
    <row r="1396" spans="1:9" hidden="1">
      <c r="A1396" s="31">
        <f t="shared" si="10"/>
        <v>1394</v>
      </c>
      <c r="B1396" s="10" t="e">
        <f>LEFT(Table1[[#This Row],[EPI_DGN_ANTIC]],1)</f>
        <v>#VALUE!</v>
      </c>
      <c r="C1396" s="10" t="e">
        <f>LEFT(Table1[[#This Row],[EPI_DGN_ANTIC]],3)</f>
        <v>#VALUE!</v>
      </c>
      <c r="D1396" s="10" t="s">
        <v>2605</v>
      </c>
      <c r="E1396" s="10">
        <v>1</v>
      </c>
      <c r="F1396" s="10" t="s">
        <v>2606</v>
      </c>
      <c r="G1396" s="10"/>
      <c r="H1396" s="10"/>
      <c r="I1396" s="7"/>
    </row>
    <row r="1397" spans="1:9" hidden="1">
      <c r="A1397" s="31">
        <f t="shared" si="10"/>
        <v>1395</v>
      </c>
      <c r="B1397" s="10" t="e">
        <f>LEFT(Table1[[#This Row],[EPI_DGN_ANTIC]],1)</f>
        <v>#VALUE!</v>
      </c>
      <c r="C1397" s="10" t="e">
        <f>LEFT(Table1[[#This Row],[EPI_DGN_ANTIC]],3)</f>
        <v>#VALUE!</v>
      </c>
      <c r="D1397" s="10" t="s">
        <v>2607</v>
      </c>
      <c r="E1397" s="10">
        <v>1</v>
      </c>
      <c r="F1397" s="10" t="s">
        <v>2608</v>
      </c>
      <c r="G1397" s="10"/>
      <c r="H1397" s="10"/>
      <c r="I1397" s="7"/>
    </row>
    <row r="1398" spans="1:9" hidden="1">
      <c r="A1398" s="31">
        <f t="shared" si="10"/>
        <v>1396</v>
      </c>
      <c r="B1398" s="10" t="e">
        <f>LEFT(Table1[[#This Row],[EPI_DGN_ANTIC]],1)</f>
        <v>#VALUE!</v>
      </c>
      <c r="C1398" s="10" t="e">
        <f>LEFT(Table1[[#This Row],[EPI_DGN_ANTIC]],3)</f>
        <v>#VALUE!</v>
      </c>
      <c r="D1398" s="10" t="s">
        <v>2609</v>
      </c>
      <c r="E1398" s="10">
        <v>1</v>
      </c>
      <c r="F1398" s="10" t="s">
        <v>2610</v>
      </c>
      <c r="G1398" s="10"/>
      <c r="H1398" s="10"/>
      <c r="I1398" s="7"/>
    </row>
    <row r="1399" spans="1:9" hidden="1">
      <c r="A1399" s="31">
        <f t="shared" ref="A1399:A1462" si="11">A1398+1</f>
        <v>1397</v>
      </c>
      <c r="B1399" s="10" t="e">
        <f>LEFT(Table1[[#This Row],[EPI_DGN_ANTIC]],1)</f>
        <v>#VALUE!</v>
      </c>
      <c r="C1399" s="10" t="e">
        <f>LEFT(Table1[[#This Row],[EPI_DGN_ANTIC]],3)</f>
        <v>#VALUE!</v>
      </c>
      <c r="D1399" s="10" t="s">
        <v>2611</v>
      </c>
      <c r="E1399" s="10">
        <v>1</v>
      </c>
      <c r="F1399" s="10" t="s">
        <v>1820</v>
      </c>
      <c r="G1399" s="10"/>
      <c r="H1399" s="10"/>
      <c r="I1399" s="7"/>
    </row>
    <row r="1400" spans="1:9" hidden="1">
      <c r="A1400" s="31">
        <f t="shared" si="11"/>
        <v>1398</v>
      </c>
      <c r="B1400" s="10" t="e">
        <f>LEFT(Table1[[#This Row],[EPI_DGN_ANTIC]],1)</f>
        <v>#VALUE!</v>
      </c>
      <c r="C1400" s="10" t="e">
        <f>LEFT(Table1[[#This Row],[EPI_DGN_ANTIC]],3)</f>
        <v>#VALUE!</v>
      </c>
      <c r="D1400" s="10" t="s">
        <v>2612</v>
      </c>
      <c r="E1400" s="10">
        <v>1</v>
      </c>
      <c r="F1400" s="10" t="s">
        <v>2613</v>
      </c>
      <c r="G1400" s="10"/>
      <c r="H1400" s="10"/>
      <c r="I1400" s="7"/>
    </row>
    <row r="1401" spans="1:9" hidden="1">
      <c r="A1401" s="31">
        <f t="shared" si="11"/>
        <v>1399</v>
      </c>
      <c r="B1401" s="10" t="e">
        <f>LEFT(Table1[[#This Row],[EPI_DGN_ANTIC]],1)</f>
        <v>#VALUE!</v>
      </c>
      <c r="C1401" s="10" t="e">
        <f>LEFT(Table1[[#This Row],[EPI_DGN_ANTIC]],3)</f>
        <v>#VALUE!</v>
      </c>
      <c r="D1401" s="10" t="s">
        <v>2614</v>
      </c>
      <c r="E1401" s="10">
        <v>1</v>
      </c>
      <c r="F1401" s="10" t="s">
        <v>2615</v>
      </c>
      <c r="G1401" s="10"/>
      <c r="H1401" s="10"/>
      <c r="I1401" s="7"/>
    </row>
    <row r="1402" spans="1:9" hidden="1">
      <c r="A1402" s="31">
        <f t="shared" si="11"/>
        <v>1400</v>
      </c>
      <c r="B1402" s="10" t="e">
        <f>LEFT(Table1[[#This Row],[EPI_DGN_ANTIC]],1)</f>
        <v>#VALUE!</v>
      </c>
      <c r="C1402" s="10" t="e">
        <f>LEFT(Table1[[#This Row],[EPI_DGN_ANTIC]],3)</f>
        <v>#VALUE!</v>
      </c>
      <c r="D1402" s="10" t="s">
        <v>2616</v>
      </c>
      <c r="E1402" s="10">
        <v>1</v>
      </c>
      <c r="F1402" s="10" t="s">
        <v>2617</v>
      </c>
      <c r="G1402" s="10"/>
      <c r="H1402" s="10"/>
      <c r="I1402" s="7"/>
    </row>
    <row r="1403" spans="1:9" hidden="1">
      <c r="A1403" s="31">
        <f t="shared" si="11"/>
        <v>1401</v>
      </c>
      <c r="B1403" s="10" t="e">
        <f>LEFT(Table1[[#This Row],[EPI_DGN_ANTIC]],1)</f>
        <v>#VALUE!</v>
      </c>
      <c r="C1403" s="10" t="e">
        <f>LEFT(Table1[[#This Row],[EPI_DGN_ANTIC]],3)</f>
        <v>#VALUE!</v>
      </c>
      <c r="D1403" s="10" t="s">
        <v>2618</v>
      </c>
      <c r="E1403" s="10">
        <v>1</v>
      </c>
      <c r="F1403" s="10" t="s">
        <v>2619</v>
      </c>
      <c r="G1403" s="10"/>
      <c r="H1403" s="10"/>
      <c r="I1403" s="7"/>
    </row>
    <row r="1404" spans="1:9" hidden="1">
      <c r="A1404" s="31">
        <f t="shared" si="11"/>
        <v>1402</v>
      </c>
      <c r="B1404" s="10" t="e">
        <f>LEFT(Table1[[#This Row],[EPI_DGN_ANTIC]],1)</f>
        <v>#VALUE!</v>
      </c>
      <c r="C1404" s="10" t="e">
        <f>LEFT(Table1[[#This Row],[EPI_DGN_ANTIC]],3)</f>
        <v>#VALUE!</v>
      </c>
      <c r="D1404" s="10" t="s">
        <v>2620</v>
      </c>
      <c r="E1404" s="10">
        <v>1</v>
      </c>
      <c r="F1404" s="10" t="s">
        <v>2621</v>
      </c>
      <c r="G1404" s="10"/>
      <c r="H1404" s="10"/>
      <c r="I1404" s="7"/>
    </row>
    <row r="1405" spans="1:9" hidden="1">
      <c r="A1405" s="31">
        <f t="shared" si="11"/>
        <v>1403</v>
      </c>
      <c r="B1405" s="10" t="e">
        <f>LEFT(Table1[[#This Row],[EPI_DGN_ANTIC]],1)</f>
        <v>#VALUE!</v>
      </c>
      <c r="C1405" s="10" t="e">
        <f>LEFT(Table1[[#This Row],[EPI_DGN_ANTIC]],3)</f>
        <v>#VALUE!</v>
      </c>
      <c r="D1405" s="10" t="s">
        <v>2622</v>
      </c>
      <c r="E1405" s="10">
        <v>1</v>
      </c>
      <c r="F1405" s="10" t="s">
        <v>2623</v>
      </c>
      <c r="G1405" s="10"/>
      <c r="H1405" s="10"/>
      <c r="I1405" s="7"/>
    </row>
    <row r="1406" spans="1:9" hidden="1">
      <c r="A1406" s="31">
        <f t="shared" si="11"/>
        <v>1404</v>
      </c>
      <c r="B1406" s="10" t="e">
        <f>LEFT(Table1[[#This Row],[EPI_DGN_ANTIC]],1)</f>
        <v>#VALUE!</v>
      </c>
      <c r="C1406" s="10" t="e">
        <f>LEFT(Table1[[#This Row],[EPI_DGN_ANTIC]],3)</f>
        <v>#VALUE!</v>
      </c>
      <c r="D1406" s="10" t="s">
        <v>2624</v>
      </c>
      <c r="E1406" s="10">
        <v>1</v>
      </c>
      <c r="F1406" s="10" t="s">
        <v>603</v>
      </c>
      <c r="G1406" s="10"/>
      <c r="H1406" s="10"/>
      <c r="I1406" s="7"/>
    </row>
    <row r="1407" spans="1:9" hidden="1">
      <c r="A1407" s="31">
        <f t="shared" si="11"/>
        <v>1405</v>
      </c>
      <c r="B1407" s="10" t="e">
        <f>LEFT(Table1[[#This Row],[EPI_DGN_ANTIC]],1)</f>
        <v>#VALUE!</v>
      </c>
      <c r="C1407" s="10" t="e">
        <f>LEFT(Table1[[#This Row],[EPI_DGN_ANTIC]],3)</f>
        <v>#VALUE!</v>
      </c>
      <c r="D1407" s="10" t="s">
        <v>2625</v>
      </c>
      <c r="E1407" s="10">
        <v>1</v>
      </c>
      <c r="F1407" s="10" t="s">
        <v>50</v>
      </c>
      <c r="G1407" s="10"/>
      <c r="H1407" s="10"/>
      <c r="I1407" s="7"/>
    </row>
    <row r="1408" spans="1:9" hidden="1">
      <c r="A1408" s="31">
        <f t="shared" si="11"/>
        <v>1406</v>
      </c>
      <c r="B1408" s="10" t="e">
        <f>LEFT(Table1[[#This Row],[EPI_DGN_ANTIC]],1)</f>
        <v>#VALUE!</v>
      </c>
      <c r="C1408" s="10" t="e">
        <f>LEFT(Table1[[#This Row],[EPI_DGN_ANTIC]],3)</f>
        <v>#VALUE!</v>
      </c>
      <c r="D1408" s="10" t="s">
        <v>2626</v>
      </c>
      <c r="E1408" s="10">
        <v>1</v>
      </c>
      <c r="F1408" s="10" t="s">
        <v>2627</v>
      </c>
      <c r="G1408" s="10"/>
      <c r="H1408" s="10"/>
      <c r="I1408" s="7"/>
    </row>
    <row r="1409" spans="1:9" hidden="1">
      <c r="A1409" s="31">
        <f t="shared" si="11"/>
        <v>1407</v>
      </c>
      <c r="B1409" s="10" t="e">
        <f>LEFT(Table1[[#This Row],[EPI_DGN_ANTIC]],1)</f>
        <v>#VALUE!</v>
      </c>
      <c r="C1409" s="10" t="e">
        <f>LEFT(Table1[[#This Row],[EPI_DGN_ANTIC]],3)</f>
        <v>#VALUE!</v>
      </c>
      <c r="D1409" s="10" t="s">
        <v>2628</v>
      </c>
      <c r="E1409" s="10">
        <v>1</v>
      </c>
      <c r="F1409" s="10" t="s">
        <v>2629</v>
      </c>
      <c r="G1409" s="10"/>
      <c r="H1409" s="10"/>
      <c r="I1409" s="7"/>
    </row>
    <row r="1410" spans="1:9" hidden="1">
      <c r="A1410" s="31">
        <f t="shared" si="11"/>
        <v>1408</v>
      </c>
      <c r="B1410" s="10" t="e">
        <f>LEFT(Table1[[#This Row],[EPI_DGN_ANTIC]],1)</f>
        <v>#VALUE!</v>
      </c>
      <c r="C1410" s="10" t="e">
        <f>LEFT(Table1[[#This Row],[EPI_DGN_ANTIC]],3)</f>
        <v>#VALUE!</v>
      </c>
      <c r="D1410" s="10" t="s">
        <v>2630</v>
      </c>
      <c r="E1410" s="10">
        <v>1</v>
      </c>
      <c r="F1410" s="10" t="s">
        <v>2631</v>
      </c>
      <c r="G1410" s="10"/>
      <c r="H1410" s="10"/>
      <c r="I1410" s="7"/>
    </row>
    <row r="1411" spans="1:9" hidden="1">
      <c r="A1411" s="31">
        <f t="shared" si="11"/>
        <v>1409</v>
      </c>
      <c r="B1411" s="10" t="e">
        <f>LEFT(Table1[[#This Row],[EPI_DGN_ANTIC]],1)</f>
        <v>#VALUE!</v>
      </c>
      <c r="C1411" s="10" t="e">
        <f>LEFT(Table1[[#This Row],[EPI_DGN_ANTIC]],3)</f>
        <v>#VALUE!</v>
      </c>
      <c r="D1411" s="10" t="s">
        <v>2632</v>
      </c>
      <c r="E1411" s="10">
        <v>1</v>
      </c>
      <c r="F1411" s="10" t="s">
        <v>56</v>
      </c>
      <c r="G1411" s="10"/>
      <c r="H1411" s="10"/>
      <c r="I1411" s="7"/>
    </row>
    <row r="1412" spans="1:9" hidden="1">
      <c r="A1412" s="31">
        <f t="shared" si="11"/>
        <v>1410</v>
      </c>
      <c r="B1412" s="10" t="e">
        <f>LEFT(Table1[[#This Row],[EPI_DGN_ANTIC]],1)</f>
        <v>#VALUE!</v>
      </c>
      <c r="C1412" s="10" t="e">
        <f>LEFT(Table1[[#This Row],[EPI_DGN_ANTIC]],3)</f>
        <v>#VALUE!</v>
      </c>
      <c r="D1412" s="10" t="s">
        <v>2633</v>
      </c>
      <c r="E1412" s="10">
        <v>1</v>
      </c>
      <c r="F1412" s="10" t="s">
        <v>2634</v>
      </c>
      <c r="G1412" s="10"/>
      <c r="H1412" s="10"/>
      <c r="I1412" s="7"/>
    </row>
    <row r="1413" spans="1:9" hidden="1">
      <c r="A1413" s="31">
        <f t="shared" si="11"/>
        <v>1411</v>
      </c>
      <c r="B1413" s="10" t="e">
        <f>LEFT(Table1[[#This Row],[EPI_DGN_ANTIC]],1)</f>
        <v>#VALUE!</v>
      </c>
      <c r="C1413" s="10" t="e">
        <f>LEFT(Table1[[#This Row],[EPI_DGN_ANTIC]],3)</f>
        <v>#VALUE!</v>
      </c>
      <c r="D1413" s="10" t="s">
        <v>2635</v>
      </c>
      <c r="E1413" s="10">
        <v>1</v>
      </c>
      <c r="F1413" s="10" t="s">
        <v>1924</v>
      </c>
      <c r="G1413" s="10"/>
      <c r="H1413" s="10"/>
      <c r="I1413" s="7"/>
    </row>
    <row r="1414" spans="1:9" hidden="1">
      <c r="A1414" s="31">
        <f t="shared" si="11"/>
        <v>1412</v>
      </c>
      <c r="B1414" s="10" t="e">
        <f>LEFT(Table1[[#This Row],[EPI_DGN_ANTIC]],1)</f>
        <v>#VALUE!</v>
      </c>
      <c r="C1414" s="10" t="e">
        <f>LEFT(Table1[[#This Row],[EPI_DGN_ANTIC]],3)</f>
        <v>#VALUE!</v>
      </c>
      <c r="D1414" s="10" t="s">
        <v>2636</v>
      </c>
      <c r="E1414" s="10">
        <v>1</v>
      </c>
      <c r="F1414" s="10" t="s">
        <v>1587</v>
      </c>
      <c r="G1414" s="10"/>
      <c r="H1414" s="10"/>
      <c r="I1414" s="7"/>
    </row>
    <row r="1415" spans="1:9" hidden="1">
      <c r="A1415" s="31">
        <f t="shared" si="11"/>
        <v>1413</v>
      </c>
      <c r="B1415" s="10" t="e">
        <f>LEFT(Table1[[#This Row],[EPI_DGN_ANTIC]],1)</f>
        <v>#VALUE!</v>
      </c>
      <c r="C1415" s="10" t="e">
        <f>LEFT(Table1[[#This Row],[EPI_DGN_ANTIC]],3)</f>
        <v>#VALUE!</v>
      </c>
      <c r="D1415" s="10" t="s">
        <v>2637</v>
      </c>
      <c r="E1415" s="10">
        <v>1</v>
      </c>
      <c r="F1415" s="10" t="s">
        <v>98</v>
      </c>
      <c r="G1415" s="10"/>
      <c r="H1415" s="10"/>
      <c r="I1415" s="7"/>
    </row>
    <row r="1416" spans="1:9" hidden="1">
      <c r="A1416" s="31">
        <f t="shared" si="11"/>
        <v>1414</v>
      </c>
      <c r="B1416" s="10" t="e">
        <f>LEFT(Table1[[#This Row],[EPI_DGN_ANTIC]],1)</f>
        <v>#VALUE!</v>
      </c>
      <c r="C1416" s="10" t="e">
        <f>LEFT(Table1[[#This Row],[EPI_DGN_ANTIC]],2)</f>
        <v>#VALUE!</v>
      </c>
      <c r="D1416" s="10" t="s">
        <v>1649</v>
      </c>
      <c r="E1416" s="10">
        <v>0</v>
      </c>
      <c r="F1416" s="10"/>
      <c r="G1416" s="10"/>
      <c r="H1416" s="10"/>
      <c r="I1416" s="7"/>
    </row>
    <row r="1417" spans="1:9" hidden="1">
      <c r="A1417" s="31">
        <f t="shared" si="11"/>
        <v>1415</v>
      </c>
      <c r="B1417" s="10" t="e">
        <f>LEFT(Table1[[#This Row],[EPI_DGN_ANTIC]],1)</f>
        <v>#VALUE!</v>
      </c>
      <c r="C1417" s="10" t="e">
        <f>LEFT(Table1[[#This Row],[EPI_DGN_ANTIC]],3)</f>
        <v>#VALUE!</v>
      </c>
      <c r="D1417" s="10" t="s">
        <v>2638</v>
      </c>
      <c r="E1417" s="10">
        <v>0</v>
      </c>
      <c r="F1417" s="10" t="s">
        <v>2639</v>
      </c>
      <c r="G1417" s="10"/>
      <c r="H1417" s="10"/>
      <c r="I1417" s="7"/>
    </row>
    <row r="1418" spans="1:9" hidden="1">
      <c r="A1418" s="31">
        <f t="shared" si="11"/>
        <v>1416</v>
      </c>
      <c r="B1418" s="10" t="e">
        <f>LEFT(Table1[[#This Row],[EPI_DGN_ANTIC]],1)</f>
        <v>#VALUE!</v>
      </c>
      <c r="C1418" s="10" t="e">
        <f>LEFT(Table1[[#This Row],[EPI_DGN_ANTIC]],3)</f>
        <v>#VALUE!</v>
      </c>
      <c r="D1418" s="10" t="s">
        <v>2640</v>
      </c>
      <c r="E1418" s="10">
        <v>1</v>
      </c>
      <c r="F1418" s="10" t="s">
        <v>1008</v>
      </c>
      <c r="G1418" s="10"/>
      <c r="H1418" s="10"/>
      <c r="I1418" s="7"/>
    </row>
    <row r="1419" spans="1:9" hidden="1">
      <c r="A1419" s="31">
        <f t="shared" si="11"/>
        <v>1417</v>
      </c>
      <c r="B1419" s="10" t="e">
        <f>LEFT(Table1[[#This Row],[EPI_DGN_ANTIC]],1)</f>
        <v>#VALUE!</v>
      </c>
      <c r="C1419" s="10" t="e">
        <f>LEFT(Table1[[#This Row],[EPI_DGN_ANTIC]],3)</f>
        <v>#VALUE!</v>
      </c>
      <c r="D1419" s="10" t="s">
        <v>2641</v>
      </c>
      <c r="E1419" s="10">
        <v>1</v>
      </c>
      <c r="F1419" s="10" t="s">
        <v>2642</v>
      </c>
      <c r="G1419" s="10"/>
      <c r="H1419" s="10"/>
      <c r="I1419" s="7"/>
    </row>
    <row r="1420" spans="1:9" hidden="1">
      <c r="A1420" s="31">
        <f t="shared" si="11"/>
        <v>1418</v>
      </c>
      <c r="B1420" s="10" t="e">
        <f>LEFT(Table1[[#This Row],[EPI_DGN_ANTIC]],1)</f>
        <v>#VALUE!</v>
      </c>
      <c r="C1420" s="10" t="e">
        <f>LEFT(Table1[[#This Row],[EPI_DGN_ANTIC]],3)</f>
        <v>#VALUE!</v>
      </c>
      <c r="D1420" s="10" t="s">
        <v>2643</v>
      </c>
      <c r="E1420" s="10">
        <v>1</v>
      </c>
      <c r="F1420" s="10" t="s">
        <v>2644</v>
      </c>
      <c r="G1420" s="10"/>
      <c r="H1420" s="10"/>
      <c r="I1420" s="7"/>
    </row>
    <row r="1421" spans="1:9" hidden="1">
      <c r="A1421" s="31">
        <f t="shared" si="11"/>
        <v>1419</v>
      </c>
      <c r="B1421" s="10" t="e">
        <f>LEFT(Table1[[#This Row],[EPI_DGN_ANTIC]],1)</f>
        <v>#VALUE!</v>
      </c>
      <c r="C1421" s="10" t="e">
        <f>LEFT(Table1[[#This Row],[EPI_DGN_ANTIC]],3)</f>
        <v>#VALUE!</v>
      </c>
      <c r="D1421" s="10" t="s">
        <v>2645</v>
      </c>
      <c r="E1421" s="10">
        <v>1</v>
      </c>
      <c r="F1421" s="10" t="s">
        <v>2644</v>
      </c>
      <c r="G1421" s="10"/>
      <c r="H1421" s="10"/>
      <c r="I1421" s="7"/>
    </row>
    <row r="1422" spans="1:9" hidden="1">
      <c r="A1422" s="31">
        <f t="shared" si="11"/>
        <v>1420</v>
      </c>
      <c r="B1422" s="10" t="e">
        <f>LEFT(Table1[[#This Row],[EPI_DGN_ANTIC]],1)</f>
        <v>#VALUE!</v>
      </c>
      <c r="C1422" s="10" t="e">
        <f>LEFT(Table1[[#This Row],[EPI_DGN_ANTIC]],3)</f>
        <v>#VALUE!</v>
      </c>
      <c r="D1422" s="10" t="s">
        <v>2646</v>
      </c>
      <c r="E1422" s="10">
        <v>1</v>
      </c>
      <c r="F1422" s="10" t="s">
        <v>1142</v>
      </c>
      <c r="G1422" s="10"/>
      <c r="H1422" s="10"/>
      <c r="I1422" s="7"/>
    </row>
    <row r="1423" spans="1:9" hidden="1">
      <c r="A1423" s="31">
        <f t="shared" si="11"/>
        <v>1421</v>
      </c>
      <c r="B1423" s="10" t="e">
        <f>LEFT(Table1[[#This Row],[EPI_DGN_ANTIC]],1)</f>
        <v>#VALUE!</v>
      </c>
      <c r="C1423" s="10" t="e">
        <f>LEFT(Table1[[#This Row],[EPI_DGN_ANTIC]],3)</f>
        <v>#VALUE!</v>
      </c>
      <c r="D1423" s="10" t="s">
        <v>2647</v>
      </c>
      <c r="E1423" s="10">
        <v>1</v>
      </c>
      <c r="F1423" s="10" t="s">
        <v>1142</v>
      </c>
      <c r="G1423" s="10"/>
      <c r="H1423" s="10"/>
      <c r="I1423" s="7"/>
    </row>
    <row r="1424" spans="1:9" hidden="1">
      <c r="A1424" s="31">
        <f t="shared" si="11"/>
        <v>1422</v>
      </c>
      <c r="B1424" s="10" t="e">
        <f>LEFT(Table1[[#This Row],[EPI_DGN_ANTIC]],1)</f>
        <v>#VALUE!</v>
      </c>
      <c r="C1424" s="10" t="e">
        <f>LEFT(Table1[[#This Row],[EPI_DGN_ANTIC]],3)</f>
        <v>#VALUE!</v>
      </c>
      <c r="D1424" s="10" t="s">
        <v>2648</v>
      </c>
      <c r="E1424" s="10">
        <v>1</v>
      </c>
      <c r="F1424" s="10" t="s">
        <v>1237</v>
      </c>
      <c r="G1424" s="10"/>
      <c r="H1424" s="10"/>
      <c r="I1424" s="7"/>
    </row>
    <row r="1425" spans="1:9" hidden="1">
      <c r="A1425" s="31">
        <f t="shared" si="11"/>
        <v>1423</v>
      </c>
      <c r="B1425" s="10" t="e">
        <f>LEFT(Table1[[#This Row],[EPI_DGN_ANTIC]],1)</f>
        <v>#VALUE!</v>
      </c>
      <c r="C1425" s="10" t="e">
        <f>LEFT(Table1[[#This Row],[EPI_DGN_ANTIC]],3)</f>
        <v>#VALUE!</v>
      </c>
      <c r="D1425" s="10" t="s">
        <v>2649</v>
      </c>
      <c r="E1425" s="10">
        <v>0</v>
      </c>
      <c r="F1425" s="10"/>
      <c r="G1425" s="10"/>
      <c r="H1425" s="10"/>
      <c r="I1425" s="7"/>
    </row>
    <row r="1426" spans="1:9" hidden="1">
      <c r="A1426" s="31">
        <f t="shared" si="11"/>
        <v>1424</v>
      </c>
      <c r="B1426" s="10" t="e">
        <f>LEFT(Table1[[#This Row],[EPI_DGN_ANTIC]],1)</f>
        <v>#VALUE!</v>
      </c>
      <c r="C1426" s="10" t="e">
        <f>LEFT(Table1[[#This Row],[EPI_DGN_ANTIC]],4)</f>
        <v>#VALUE!</v>
      </c>
      <c r="D1426" s="10" t="s">
        <v>2650</v>
      </c>
      <c r="E1426" s="10">
        <v>1</v>
      </c>
      <c r="F1426" s="10" t="s">
        <v>2651</v>
      </c>
      <c r="G1426" s="10"/>
      <c r="H1426" s="10"/>
      <c r="I1426" s="7"/>
    </row>
    <row r="1427" spans="1:9" hidden="1">
      <c r="A1427" s="31">
        <f t="shared" si="11"/>
        <v>1425</v>
      </c>
      <c r="B1427" s="10" t="e">
        <f>LEFT(Table1[[#This Row],[EPI_DGN_ANTIC]],1)</f>
        <v>#VALUE!</v>
      </c>
      <c r="C1427" s="10" t="e">
        <f>LEFT(Table1[[#This Row],[EPI_DGN_ANTIC]],4)</f>
        <v>#VALUE!</v>
      </c>
      <c r="D1427" s="10" t="s">
        <v>2652</v>
      </c>
      <c r="E1427" s="10">
        <v>0</v>
      </c>
      <c r="F1427" s="10"/>
      <c r="G1427" s="10"/>
      <c r="H1427" s="10"/>
      <c r="I1427" s="7"/>
    </row>
    <row r="1428" spans="1:9" hidden="1">
      <c r="A1428" s="31">
        <f t="shared" si="11"/>
        <v>1426</v>
      </c>
      <c r="B1428" s="10" t="e">
        <f>LEFT(Table1[[#This Row],[EPI_DGN_ANTIC]],1)</f>
        <v>#VALUE!</v>
      </c>
      <c r="C1428" s="10" t="e">
        <f>LEFT(Table1[[#This Row],[EPI_DGN_ANTIC]],3)</f>
        <v>#VALUE!</v>
      </c>
      <c r="D1428" s="10" t="s">
        <v>2653</v>
      </c>
      <c r="E1428" s="10">
        <v>1</v>
      </c>
      <c r="F1428" s="10" t="s">
        <v>2654</v>
      </c>
      <c r="G1428" s="10"/>
      <c r="H1428" s="10"/>
      <c r="I1428" s="7"/>
    </row>
    <row r="1429" spans="1:9" hidden="1">
      <c r="A1429" s="31">
        <f t="shared" si="11"/>
        <v>1427</v>
      </c>
      <c r="B1429" s="10" t="e">
        <f>LEFT(Table1[[#This Row],[EPI_DGN_ANTIC]],1)</f>
        <v>#VALUE!</v>
      </c>
      <c r="C1429" s="10" t="e">
        <f>LEFT(Table1[[#This Row],[EPI_DGN_ANTIC]],3)</f>
        <v>#VALUE!</v>
      </c>
      <c r="D1429" s="10" t="s">
        <v>2655</v>
      </c>
      <c r="E1429" s="10">
        <v>1</v>
      </c>
      <c r="F1429" s="10" t="s">
        <v>2656</v>
      </c>
      <c r="G1429" s="10"/>
      <c r="H1429" s="10"/>
      <c r="I1429" s="7"/>
    </row>
    <row r="1430" spans="1:9" hidden="1">
      <c r="A1430" s="31">
        <f t="shared" si="11"/>
        <v>1428</v>
      </c>
      <c r="B1430" s="10" t="e">
        <f>LEFT(Table1[[#This Row],[EPI_DGN_ANTIC]],1)</f>
        <v>#VALUE!</v>
      </c>
      <c r="C1430" s="10" t="e">
        <f>LEFT(Table1[[#This Row],[EPI_DGN_ANTIC]],3)</f>
        <v>#VALUE!</v>
      </c>
      <c r="D1430" s="10" t="s">
        <v>2657</v>
      </c>
      <c r="E1430" s="10">
        <v>1</v>
      </c>
      <c r="F1430" s="10" t="s">
        <v>2656</v>
      </c>
      <c r="G1430" s="10"/>
      <c r="H1430" s="10"/>
      <c r="I1430" s="7"/>
    </row>
    <row r="1431" spans="1:9" hidden="1">
      <c r="A1431" s="31">
        <f t="shared" si="11"/>
        <v>1429</v>
      </c>
      <c r="B1431" s="10" t="e">
        <f>LEFT(Table1[[#This Row],[EPI_DGN_ANTIC]],1)</f>
        <v>#VALUE!</v>
      </c>
      <c r="C1431" s="10" t="e">
        <f>LEFT(Table1[[#This Row],[EPI_DGN_ANTIC]],3)</f>
        <v>#VALUE!</v>
      </c>
      <c r="D1431" s="10" t="s">
        <v>2658</v>
      </c>
      <c r="E1431" s="10">
        <v>1</v>
      </c>
      <c r="F1431" s="10" t="s">
        <v>2659</v>
      </c>
      <c r="G1431" s="10"/>
      <c r="H1431" s="10"/>
      <c r="I1431" s="7"/>
    </row>
    <row r="1432" spans="1:9" hidden="1">
      <c r="A1432" s="31">
        <f t="shared" si="11"/>
        <v>1430</v>
      </c>
      <c r="B1432" s="10" t="e">
        <f>LEFT(Table1[[#This Row],[EPI_DGN_ANTIC]],1)</f>
        <v>#VALUE!</v>
      </c>
      <c r="C1432" s="10" t="e">
        <f>LEFT(Table1[[#This Row],[EPI_DGN_ANTIC]],3)</f>
        <v>#VALUE!</v>
      </c>
      <c r="D1432" s="10" t="s">
        <v>2660</v>
      </c>
      <c r="E1432" s="10">
        <v>1</v>
      </c>
      <c r="F1432" s="10" t="s">
        <v>817</v>
      </c>
      <c r="G1432" s="10"/>
      <c r="H1432" s="10"/>
      <c r="I1432" s="7"/>
    </row>
    <row r="1433" spans="1:9" hidden="1">
      <c r="A1433" s="31">
        <f t="shared" si="11"/>
        <v>1431</v>
      </c>
      <c r="B1433" s="10" t="e">
        <f>LEFT(Table1[[#This Row],[EPI_DGN_ANTIC]],1)</f>
        <v>#VALUE!</v>
      </c>
      <c r="C1433" s="10" t="e">
        <f>LEFT(Table1[[#This Row],[EPI_DGN_ANTIC]],3)</f>
        <v>#VALUE!</v>
      </c>
      <c r="D1433" s="10" t="s">
        <v>2661</v>
      </c>
      <c r="E1433" s="10">
        <v>1</v>
      </c>
      <c r="F1433" s="10" t="s">
        <v>2662</v>
      </c>
      <c r="G1433" s="10"/>
      <c r="H1433" s="10"/>
      <c r="I1433" s="7"/>
    </row>
    <row r="1434" spans="1:9" hidden="1">
      <c r="A1434" s="31">
        <f t="shared" si="11"/>
        <v>1432</v>
      </c>
      <c r="B1434" s="10" t="e">
        <f>LEFT(Table1[[#This Row],[EPI_DGN_ANTIC]],1)</f>
        <v>#VALUE!</v>
      </c>
      <c r="C1434" s="10" t="e">
        <f>LEFT(Table1[[#This Row],[EPI_DGN_ANTIC]],3)</f>
        <v>#VALUE!</v>
      </c>
      <c r="D1434" s="10" t="s">
        <v>2663</v>
      </c>
      <c r="E1434" s="10">
        <v>1</v>
      </c>
      <c r="F1434" s="10" t="s">
        <v>1237</v>
      </c>
      <c r="G1434" s="10"/>
      <c r="H1434" s="10"/>
      <c r="I1434" s="7"/>
    </row>
    <row r="1435" spans="1:9" hidden="1">
      <c r="A1435" s="31">
        <f t="shared" si="11"/>
        <v>1433</v>
      </c>
      <c r="B1435" s="10" t="e">
        <f>LEFT(Table1[[#This Row],[EPI_DGN_ANTIC]],1)</f>
        <v>#VALUE!</v>
      </c>
      <c r="C1435" s="10" t="e">
        <f>LEFT(Table1[[#This Row],[EPI_DGN_ANTIC]],3)</f>
        <v>#VALUE!</v>
      </c>
      <c r="D1435" s="10" t="s">
        <v>2664</v>
      </c>
      <c r="E1435" s="10">
        <v>1</v>
      </c>
      <c r="F1435" s="10" t="s">
        <v>1237</v>
      </c>
      <c r="G1435" s="10"/>
      <c r="H1435" s="10"/>
      <c r="I1435" s="7"/>
    </row>
    <row r="1436" spans="1:9" hidden="1">
      <c r="A1436" s="31">
        <f t="shared" si="11"/>
        <v>1434</v>
      </c>
      <c r="B1436" s="10" t="e">
        <f>LEFT(Table1[[#This Row],[EPI_DGN_ANTIC]],1)</f>
        <v>#VALUE!</v>
      </c>
      <c r="C1436" s="10" t="e">
        <f>LEFT(Table1[[#This Row],[EPI_DGN_ANTIC]],3)</f>
        <v>#VALUE!</v>
      </c>
      <c r="D1436" s="10" t="s">
        <v>2665</v>
      </c>
      <c r="E1436" s="10">
        <v>1</v>
      </c>
      <c r="F1436" s="10" t="s">
        <v>330</v>
      </c>
      <c r="G1436" s="10"/>
      <c r="H1436" s="10"/>
      <c r="I1436" s="7"/>
    </row>
    <row r="1437" spans="1:9" hidden="1">
      <c r="A1437" s="31">
        <f t="shared" si="11"/>
        <v>1435</v>
      </c>
      <c r="B1437" s="10" t="e">
        <f>LEFT(Table1[[#This Row],[EPI_DGN_ANTIC]],1)</f>
        <v>#VALUE!</v>
      </c>
      <c r="C1437" s="10" t="e">
        <f>LEFT(Table1[[#This Row],[EPI_DGN_ANTIC]],3)</f>
        <v>#VALUE!</v>
      </c>
      <c r="D1437" s="10" t="s">
        <v>2666</v>
      </c>
      <c r="E1437" s="10">
        <v>1</v>
      </c>
      <c r="F1437" s="10" t="s">
        <v>2667</v>
      </c>
      <c r="G1437" s="10"/>
      <c r="H1437" s="10"/>
      <c r="I1437" s="7"/>
    </row>
    <row r="1438" spans="1:9" hidden="1">
      <c r="A1438" s="31">
        <f t="shared" si="11"/>
        <v>1436</v>
      </c>
      <c r="B1438" s="10" t="e">
        <f>LEFT(Table1[[#This Row],[EPI_DGN_ANTIC]],1)</f>
        <v>#VALUE!</v>
      </c>
      <c r="C1438" s="10" t="e">
        <f>LEFT(Table1[[#This Row],[EPI_DGN_ANTIC]],3)</f>
        <v>#VALUE!</v>
      </c>
      <c r="D1438" s="10" t="s">
        <v>2668</v>
      </c>
      <c r="E1438" s="10">
        <v>1</v>
      </c>
      <c r="F1438" s="10" t="s">
        <v>2669</v>
      </c>
      <c r="G1438" s="10"/>
      <c r="H1438" s="10"/>
      <c r="I1438" s="7"/>
    </row>
    <row r="1439" spans="1:9" hidden="1">
      <c r="A1439" s="31">
        <f t="shared" si="11"/>
        <v>1437</v>
      </c>
      <c r="B1439" s="10" t="e">
        <f>LEFT(Table1[[#This Row],[EPI_DGN_ANTIC]],1)</f>
        <v>#VALUE!</v>
      </c>
      <c r="C1439" s="10" t="e">
        <f>LEFT(Table1[[#This Row],[EPI_DGN_ANTIC]],3)</f>
        <v>#VALUE!</v>
      </c>
      <c r="D1439" s="10" t="s">
        <v>2670</v>
      </c>
      <c r="E1439" s="10">
        <v>1</v>
      </c>
      <c r="F1439" s="10" t="s">
        <v>2669</v>
      </c>
      <c r="G1439" s="10"/>
      <c r="H1439" s="10"/>
      <c r="I1439" s="7"/>
    </row>
    <row r="1440" spans="1:9" hidden="1">
      <c r="A1440" s="31">
        <f t="shared" si="11"/>
        <v>1438</v>
      </c>
      <c r="B1440" s="10" t="e">
        <f>LEFT(Table1[[#This Row],[EPI_DGN_ANTIC]],1)</f>
        <v>#VALUE!</v>
      </c>
      <c r="C1440" s="10" t="e">
        <f>LEFT(Table1[[#This Row],[EPI_DGN_ANTIC]],3)</f>
        <v>#VALUE!</v>
      </c>
      <c r="D1440" s="10" t="s">
        <v>2671</v>
      </c>
      <c r="E1440" s="10">
        <v>1</v>
      </c>
      <c r="F1440" s="10" t="s">
        <v>1021</v>
      </c>
      <c r="G1440" s="10"/>
      <c r="H1440" s="10"/>
      <c r="I1440" s="7"/>
    </row>
    <row r="1441" spans="1:9" hidden="1">
      <c r="A1441" s="31">
        <f t="shared" si="11"/>
        <v>1439</v>
      </c>
      <c r="B1441" s="10" t="e">
        <f>LEFT(Table1[[#This Row],[EPI_DGN_ANTIC]],1)</f>
        <v>#VALUE!</v>
      </c>
      <c r="C1441" s="10" t="e">
        <f>LEFT(Table1[[#This Row],[EPI_DGN_ANTIC]],3)</f>
        <v>#VALUE!</v>
      </c>
      <c r="D1441" s="10" t="s">
        <v>2672</v>
      </c>
      <c r="E1441" s="10">
        <v>1</v>
      </c>
      <c r="F1441" s="10" t="s">
        <v>1021</v>
      </c>
      <c r="G1441" s="10"/>
      <c r="H1441" s="10"/>
      <c r="I1441" s="7"/>
    </row>
    <row r="1442" spans="1:9" hidden="1">
      <c r="A1442" s="31">
        <f t="shared" si="11"/>
        <v>1440</v>
      </c>
      <c r="B1442" s="10" t="e">
        <f>LEFT(Table1[[#This Row],[EPI_DGN_ANTIC]],1)</f>
        <v>#VALUE!</v>
      </c>
      <c r="C1442" s="10" t="e">
        <f>LEFT(Table1[[#This Row],[EPI_DGN_ANTIC]],3)</f>
        <v>#VALUE!</v>
      </c>
      <c r="D1442" s="10" t="s">
        <v>2638</v>
      </c>
      <c r="E1442" s="10">
        <v>0</v>
      </c>
      <c r="F1442" s="10"/>
      <c r="G1442" s="10"/>
      <c r="H1442" s="10"/>
      <c r="I1442" s="7"/>
    </row>
    <row r="1443" spans="1:9" hidden="1">
      <c r="A1443" s="31">
        <f t="shared" si="11"/>
        <v>1441</v>
      </c>
      <c r="B1443" s="10" t="e">
        <f>LEFT(Table1[[#This Row],[EPI_DGN_ANTIC]],1)</f>
        <v>#VALUE!</v>
      </c>
      <c r="C1443" s="10" t="e">
        <f>LEFT(Table1[[#This Row],[EPI_DGN_ANTIC]],3)</f>
        <v>#VALUE!</v>
      </c>
      <c r="D1443" s="10" t="s">
        <v>2673</v>
      </c>
      <c r="E1443" s="10">
        <v>1</v>
      </c>
      <c r="F1443" s="10" t="s">
        <v>1240</v>
      </c>
      <c r="G1443" s="10"/>
      <c r="H1443" s="10"/>
      <c r="I1443" s="7"/>
    </row>
    <row r="1444" spans="1:9" hidden="1">
      <c r="A1444" s="31">
        <f t="shared" si="11"/>
        <v>1442</v>
      </c>
      <c r="B1444" s="10" t="e">
        <f>LEFT(Table1[[#This Row],[EPI_DGN_ANTIC]],1)</f>
        <v>#VALUE!</v>
      </c>
      <c r="C1444" s="10" t="e">
        <f>LEFT(Table1[[#This Row],[EPI_DGN_ANTIC]],3)</f>
        <v>#VALUE!</v>
      </c>
      <c r="D1444" s="10" t="s">
        <v>2674</v>
      </c>
      <c r="E1444" s="10">
        <v>1</v>
      </c>
      <c r="F1444" s="10" t="s">
        <v>424</v>
      </c>
      <c r="G1444" s="10"/>
      <c r="H1444" s="10"/>
      <c r="I1444" s="7"/>
    </row>
    <row r="1445" spans="1:9" hidden="1">
      <c r="A1445" s="31">
        <f t="shared" si="11"/>
        <v>1443</v>
      </c>
      <c r="B1445" s="10" t="e">
        <f>LEFT(Table1[[#This Row],[EPI_DGN_ANTIC]],1)</f>
        <v>#VALUE!</v>
      </c>
      <c r="C1445" s="10" t="e">
        <f>LEFT(Table1[[#This Row],[EPI_DGN_ANTIC]],3)</f>
        <v>#VALUE!</v>
      </c>
      <c r="D1445" s="10" t="s">
        <v>2675</v>
      </c>
      <c r="E1445" s="10">
        <v>0</v>
      </c>
      <c r="F1445" s="10"/>
      <c r="G1445" s="10"/>
      <c r="H1445" s="10"/>
      <c r="I1445" s="7"/>
    </row>
    <row r="1446" spans="1:9" hidden="1">
      <c r="A1446" s="31">
        <f t="shared" si="11"/>
        <v>1444</v>
      </c>
      <c r="B1446" s="10" t="e">
        <f>LEFT(Table1[[#This Row],[EPI_DGN_ANTIC]],1)</f>
        <v>#VALUE!</v>
      </c>
      <c r="C1446" s="10" t="e">
        <f>LEFT(Table1[[#This Row],[EPI_DGN_ANTIC]],3)</f>
        <v>#VALUE!</v>
      </c>
      <c r="D1446" s="10" t="s">
        <v>2676</v>
      </c>
      <c r="E1446" s="10">
        <v>1</v>
      </c>
      <c r="F1446" s="10" t="s">
        <v>2677</v>
      </c>
      <c r="G1446" s="10"/>
      <c r="H1446" s="10"/>
      <c r="I1446" s="7"/>
    </row>
    <row r="1447" spans="1:9" hidden="1">
      <c r="A1447" s="31">
        <f t="shared" si="11"/>
        <v>1445</v>
      </c>
      <c r="B1447" s="10" t="e">
        <f>LEFT(Table1[[#This Row],[EPI_DGN_ANTIC]],1)</f>
        <v>#VALUE!</v>
      </c>
      <c r="C1447" s="10" t="e">
        <f>LEFT(Table1[[#This Row],[EPI_DGN_ANTIC]],3)</f>
        <v>#VALUE!</v>
      </c>
      <c r="D1447" s="10" t="s">
        <v>2678</v>
      </c>
      <c r="E1447" s="10">
        <v>1</v>
      </c>
      <c r="F1447" s="10" t="s">
        <v>1067</v>
      </c>
      <c r="G1447" s="10"/>
      <c r="H1447" s="10"/>
      <c r="I1447" s="7"/>
    </row>
    <row r="1448" spans="1:9" hidden="1">
      <c r="A1448" s="31">
        <f t="shared" si="11"/>
        <v>1446</v>
      </c>
      <c r="B1448" s="10" t="e">
        <f>LEFT(Table1[[#This Row],[EPI_DGN_ANTIC]],1)</f>
        <v>#VALUE!</v>
      </c>
      <c r="C1448" s="10" t="e">
        <f>LEFT(Table1[[#This Row],[EPI_DGN_ANTIC]],3)</f>
        <v>#VALUE!</v>
      </c>
      <c r="D1448" s="10" t="s">
        <v>2679</v>
      </c>
      <c r="E1448" s="10">
        <v>1</v>
      </c>
      <c r="F1448" s="10" t="s">
        <v>2680</v>
      </c>
      <c r="G1448" s="10"/>
      <c r="H1448" s="10"/>
      <c r="I1448" s="7"/>
    </row>
    <row r="1449" spans="1:9" hidden="1">
      <c r="A1449" s="31">
        <f t="shared" si="11"/>
        <v>1447</v>
      </c>
      <c r="B1449" s="10" t="e">
        <f>LEFT(Table1[[#This Row],[EPI_DGN_ANTIC]],1)</f>
        <v>#VALUE!</v>
      </c>
      <c r="C1449" s="10" t="e">
        <f>LEFT(Table1[[#This Row],[EPI_DGN_ANTIC]],3)</f>
        <v>#VALUE!</v>
      </c>
      <c r="D1449" s="10" t="s">
        <v>2681</v>
      </c>
      <c r="E1449" s="10">
        <v>1</v>
      </c>
      <c r="F1449" s="10" t="s">
        <v>424</v>
      </c>
      <c r="G1449" s="10"/>
      <c r="H1449" s="10"/>
      <c r="I1449" s="7"/>
    </row>
    <row r="1450" spans="1:9" hidden="1">
      <c r="A1450" s="31">
        <f t="shared" si="11"/>
        <v>1448</v>
      </c>
      <c r="B1450" s="10" t="e">
        <f>LEFT(Table1[[#This Row],[EPI_DGN_ANTIC]],1)</f>
        <v>#VALUE!</v>
      </c>
      <c r="C1450" s="10" t="e">
        <f>LEFT(Table1[[#This Row],[EPI_DGN_ANTIC]],3)</f>
        <v>#VALUE!</v>
      </c>
      <c r="D1450" s="10" t="s">
        <v>2682</v>
      </c>
      <c r="E1450" s="10">
        <v>1</v>
      </c>
      <c r="F1450" s="10" t="s">
        <v>1067</v>
      </c>
      <c r="G1450" s="10"/>
      <c r="H1450" s="10"/>
      <c r="I1450" s="7"/>
    </row>
    <row r="1451" spans="1:9" hidden="1">
      <c r="A1451" s="31">
        <f t="shared" si="11"/>
        <v>1449</v>
      </c>
      <c r="B1451" s="10" t="e">
        <f>LEFT(Table1[[#This Row],[EPI_DGN_ANTIC]],1)</f>
        <v>#VALUE!</v>
      </c>
      <c r="C1451" s="10" t="e">
        <f>LEFT(Table1[[#This Row],[EPI_DGN_ANTIC]],2)</f>
        <v>#VALUE!</v>
      </c>
      <c r="D1451" s="10" t="s">
        <v>2683</v>
      </c>
      <c r="E1451" s="10">
        <v>1</v>
      </c>
      <c r="F1451" s="10" t="s">
        <v>1116</v>
      </c>
      <c r="G1451" s="10"/>
      <c r="H1451" s="10"/>
      <c r="I1451" s="7"/>
    </row>
    <row r="1452" spans="1:9" hidden="1">
      <c r="A1452" s="31">
        <f t="shared" si="11"/>
        <v>1450</v>
      </c>
      <c r="B1452" s="10" t="e">
        <f>LEFT(Table1[[#This Row],[EPI_DGN_ANTIC]],1)</f>
        <v>#VALUE!</v>
      </c>
      <c r="C1452" s="10" t="e">
        <f>LEFT(Table1[[#This Row],[EPI_DGN_ANTIC]],3)</f>
        <v>#VALUE!</v>
      </c>
      <c r="D1452" s="10" t="s">
        <v>2684</v>
      </c>
      <c r="E1452" s="10">
        <v>0</v>
      </c>
      <c r="F1452" s="10"/>
      <c r="G1452" s="10"/>
      <c r="H1452" s="10"/>
      <c r="I1452" s="7"/>
    </row>
    <row r="1453" spans="1:9" hidden="1">
      <c r="A1453" s="31">
        <f t="shared" si="11"/>
        <v>1451</v>
      </c>
      <c r="B1453" s="10" t="e">
        <f>LEFT(Table1[[#This Row],[EPI_DGN_ANTIC]],1)</f>
        <v>#VALUE!</v>
      </c>
      <c r="C1453" s="10" t="e">
        <f>LEFT(Table1[[#This Row],[EPI_DGN_ANTIC]],2)</f>
        <v>#VALUE!</v>
      </c>
      <c r="D1453" s="10" t="s">
        <v>2685</v>
      </c>
      <c r="E1453" s="10">
        <v>0</v>
      </c>
      <c r="F1453" s="10"/>
      <c r="G1453" s="10"/>
      <c r="H1453" s="10"/>
      <c r="I1453" s="7"/>
    </row>
    <row r="1454" spans="1:9" hidden="1">
      <c r="A1454" s="31">
        <f t="shared" si="11"/>
        <v>1452</v>
      </c>
      <c r="B1454" s="10" t="e">
        <f>LEFT(Table1[[#This Row],[EPI_DGN_ANTIC]],1)</f>
        <v>#VALUE!</v>
      </c>
      <c r="C1454" s="10" t="e">
        <f>LEFT(Table1[[#This Row],[EPI_DGN_ANTIC]],3)</f>
        <v>#VALUE!</v>
      </c>
      <c r="D1454" s="10" t="s">
        <v>2686</v>
      </c>
      <c r="E1454" s="10">
        <v>1</v>
      </c>
      <c r="F1454" s="10" t="s">
        <v>1745</v>
      </c>
      <c r="G1454" s="10"/>
      <c r="H1454" s="10"/>
      <c r="I1454" s="7"/>
    </row>
    <row r="1455" spans="1:9" hidden="1">
      <c r="A1455" s="31">
        <f t="shared" si="11"/>
        <v>1453</v>
      </c>
      <c r="B1455" s="10" t="e">
        <f>LEFT(Table1[[#This Row],[EPI_DGN_ANTIC]],1)</f>
        <v>#VALUE!</v>
      </c>
      <c r="C1455" s="10" t="e">
        <f>LEFT(Table1[[#This Row],[EPI_DGN_ANTIC]],3)</f>
        <v>#VALUE!</v>
      </c>
      <c r="D1455" s="10" t="s">
        <v>2687</v>
      </c>
      <c r="E1455" s="10">
        <v>1</v>
      </c>
      <c r="F1455" s="10" t="s">
        <v>2688</v>
      </c>
      <c r="G1455" s="10"/>
      <c r="H1455" s="10"/>
      <c r="I1455" s="7"/>
    </row>
    <row r="1456" spans="1:9" hidden="1">
      <c r="A1456" s="31">
        <f t="shared" si="11"/>
        <v>1454</v>
      </c>
      <c r="B1456" s="10" t="e">
        <f>LEFT(Table1[[#This Row],[EPI_DGN_ANTIC]],1)</f>
        <v>#VALUE!</v>
      </c>
      <c r="C1456" s="10" t="e">
        <f>LEFT(Table1[[#This Row],[EPI_DGN_ANTIC]],3)</f>
        <v>#VALUE!</v>
      </c>
      <c r="D1456" s="10" t="s">
        <v>2689</v>
      </c>
      <c r="E1456" s="10">
        <v>1</v>
      </c>
      <c r="F1456" s="10" t="s">
        <v>1745</v>
      </c>
      <c r="G1456" s="10"/>
      <c r="H1456" s="10"/>
      <c r="I1456" s="7"/>
    </row>
    <row r="1457" spans="1:9" hidden="1">
      <c r="A1457" s="31">
        <f t="shared" si="11"/>
        <v>1455</v>
      </c>
      <c r="B1457" s="10" t="e">
        <f>LEFT(Table1[[#This Row],[EPI_DGN_ANTIC]],1)</f>
        <v>#VALUE!</v>
      </c>
      <c r="C1457" s="10" t="e">
        <f>LEFT(Table1[[#This Row],[EPI_DGN_ANTIC]],2)</f>
        <v>#VALUE!</v>
      </c>
      <c r="D1457" s="10" t="s">
        <v>2690</v>
      </c>
      <c r="E1457" s="10">
        <v>1</v>
      </c>
      <c r="F1457" s="10" t="s">
        <v>1211</v>
      </c>
      <c r="G1457" s="10"/>
      <c r="H1457" s="10"/>
      <c r="I1457" s="7"/>
    </row>
    <row r="1458" spans="1:9" hidden="1">
      <c r="A1458" s="31">
        <f t="shared" si="11"/>
        <v>1456</v>
      </c>
      <c r="B1458" s="10" t="e">
        <f>LEFT(Table1[[#This Row],[EPI_DGN_ANTIC]],1)</f>
        <v>#VALUE!</v>
      </c>
      <c r="C1458" s="10" t="e">
        <f>LEFT(Table1[[#This Row],[EPI_DGN_ANTIC]],2)</f>
        <v>#VALUE!</v>
      </c>
      <c r="D1458" s="10" t="s">
        <v>2691</v>
      </c>
      <c r="E1458" s="10">
        <v>1</v>
      </c>
      <c r="F1458" s="10" t="s">
        <v>1211</v>
      </c>
      <c r="G1458" s="10"/>
      <c r="H1458" s="10"/>
      <c r="I1458" s="7"/>
    </row>
    <row r="1459" spans="1:9" hidden="1">
      <c r="A1459" s="31">
        <f t="shared" si="11"/>
        <v>1457</v>
      </c>
      <c r="B1459" s="10" t="e">
        <f>LEFT(Table1[[#This Row],[EPI_DGN_ANTIC]],1)</f>
        <v>#VALUE!</v>
      </c>
      <c r="C1459" s="10" t="e">
        <f>LEFT(Table1[[#This Row],[EPI_DGN_ANTIC]],4)</f>
        <v>#VALUE!</v>
      </c>
      <c r="D1459" s="10" t="s">
        <v>2692</v>
      </c>
      <c r="E1459" s="10">
        <v>1</v>
      </c>
      <c r="F1459" s="10" t="s">
        <v>2693</v>
      </c>
      <c r="G1459" s="10"/>
      <c r="H1459" s="10"/>
      <c r="I1459" s="7"/>
    </row>
    <row r="1460" spans="1:9" hidden="1">
      <c r="A1460" s="31">
        <f t="shared" si="11"/>
        <v>1458</v>
      </c>
      <c r="B1460" s="10" t="e">
        <f>LEFT(Table1[[#This Row],[EPI_DGN_ANTIC]],1)</f>
        <v>#VALUE!</v>
      </c>
      <c r="C1460" s="10" t="e">
        <f>LEFT(Table1[[#This Row],[EPI_DGN_ANTIC]],3)</f>
        <v>#VALUE!</v>
      </c>
      <c r="D1460" s="10" t="s">
        <v>2694</v>
      </c>
      <c r="E1460" s="10">
        <v>1</v>
      </c>
      <c r="F1460" s="10" t="s">
        <v>2695</v>
      </c>
      <c r="G1460" s="10"/>
      <c r="H1460" s="10"/>
      <c r="I1460" s="7"/>
    </row>
    <row r="1461" spans="1:9" hidden="1">
      <c r="A1461" s="31">
        <f t="shared" si="11"/>
        <v>1459</v>
      </c>
      <c r="B1461" s="10" t="e">
        <f>LEFT(Table1[[#This Row],[EPI_DGN_ANTIC]],1)</f>
        <v>#VALUE!</v>
      </c>
      <c r="C1461" s="10" t="e">
        <f>LEFT(Table1[[#This Row],[EPI_DGN_ANTIC]],4)</f>
        <v>#VALUE!</v>
      </c>
      <c r="D1461" s="10" t="s">
        <v>2696</v>
      </c>
      <c r="E1461" s="10">
        <v>1</v>
      </c>
      <c r="F1461" s="10" t="s">
        <v>1935</v>
      </c>
      <c r="G1461" s="10"/>
      <c r="H1461" s="10"/>
      <c r="I1461" s="7"/>
    </row>
    <row r="1462" spans="1:9" hidden="1">
      <c r="A1462" s="31">
        <f t="shared" si="11"/>
        <v>1460</v>
      </c>
      <c r="B1462" s="10" t="e">
        <f>LEFT(Table1[[#This Row],[EPI_DGN_ANTIC]],1)</f>
        <v>#VALUE!</v>
      </c>
      <c r="C1462" s="10" t="e">
        <f>LEFT(Table1[[#This Row],[EPI_DGN_ANTIC]],2)</f>
        <v>#VALUE!</v>
      </c>
      <c r="D1462" s="10" t="s">
        <v>1649</v>
      </c>
      <c r="E1462" s="10">
        <v>1</v>
      </c>
      <c r="F1462" s="10" t="s">
        <v>1921</v>
      </c>
      <c r="G1462" s="10"/>
      <c r="H1462" s="10"/>
      <c r="I1462" s="7"/>
    </row>
    <row r="1463" spans="1:9" hidden="1">
      <c r="A1463" s="31">
        <f t="shared" ref="A1463:A1526" si="12">A1462+1</f>
        <v>1461</v>
      </c>
      <c r="B1463" s="10" t="e">
        <f>LEFT(Table1[[#This Row],[EPI_DGN_ANTIC]],1)</f>
        <v>#VALUE!</v>
      </c>
      <c r="C1463" s="10" t="e">
        <f>LEFT(Table1[[#This Row],[EPI_DGN_ANTIC]],3)</f>
        <v>#VALUE!</v>
      </c>
      <c r="D1463" s="10" t="s">
        <v>2697</v>
      </c>
      <c r="E1463" s="10">
        <v>0</v>
      </c>
      <c r="F1463" s="10"/>
      <c r="G1463" s="10"/>
      <c r="H1463" s="10"/>
      <c r="I1463" s="7"/>
    </row>
    <row r="1464" spans="1:9" hidden="1">
      <c r="A1464" s="31">
        <f t="shared" si="12"/>
        <v>1462</v>
      </c>
      <c r="B1464" s="10" t="e">
        <f>LEFT(Table1[[#This Row],[EPI_DGN_ANTIC]],1)</f>
        <v>#VALUE!</v>
      </c>
      <c r="C1464" s="10" t="e">
        <f>LEFT(Table1[[#This Row],[EPI_DGN_ANTIC]],3)</f>
        <v>#VALUE!</v>
      </c>
      <c r="D1464" s="10" t="s">
        <v>2698</v>
      </c>
      <c r="E1464" s="10">
        <v>1</v>
      </c>
      <c r="F1464" s="10" t="s">
        <v>2699</v>
      </c>
      <c r="G1464" s="10"/>
      <c r="H1464" s="10"/>
      <c r="I1464" s="7"/>
    </row>
    <row r="1465" spans="1:9" hidden="1">
      <c r="A1465" s="31">
        <f t="shared" si="12"/>
        <v>1463</v>
      </c>
      <c r="B1465" s="10" t="e">
        <f>LEFT(Table1[[#This Row],[EPI_DGN_ANTIC]],1)</f>
        <v>#VALUE!</v>
      </c>
      <c r="C1465" s="10" t="e">
        <f>LEFT(Table1[[#This Row],[EPI_DGN_ANTIC]],2)</f>
        <v>#VALUE!</v>
      </c>
      <c r="D1465" s="10" t="s">
        <v>2700</v>
      </c>
      <c r="E1465" s="10">
        <v>1</v>
      </c>
      <c r="F1465" s="10" t="s">
        <v>2699</v>
      </c>
      <c r="G1465" s="10"/>
      <c r="H1465" s="10"/>
      <c r="I1465" s="7"/>
    </row>
    <row r="1466" spans="1:9" hidden="1">
      <c r="A1466" s="31">
        <f t="shared" si="12"/>
        <v>1464</v>
      </c>
      <c r="B1466" s="10" t="e">
        <f>LEFT(Table1[[#This Row],[EPI_DGN_ANTIC]],1)</f>
        <v>#VALUE!</v>
      </c>
      <c r="C1466" s="10" t="e">
        <f>LEFT(Table1[[#This Row],[EPI_DGN_ANTIC]],3)</f>
        <v>#VALUE!</v>
      </c>
      <c r="D1466" s="10" t="s">
        <v>2701</v>
      </c>
      <c r="E1466" s="10">
        <v>0</v>
      </c>
      <c r="F1466" s="10"/>
      <c r="G1466" s="10"/>
      <c r="H1466" s="10"/>
      <c r="I1466" s="7"/>
    </row>
    <row r="1467" spans="1:9" hidden="1">
      <c r="A1467" s="31">
        <f t="shared" si="12"/>
        <v>1465</v>
      </c>
      <c r="B1467" s="10" t="e">
        <f>LEFT(Table1[[#This Row],[EPI_DGN_ANTIC]],1)</f>
        <v>#VALUE!</v>
      </c>
      <c r="C1467" s="10" t="e">
        <f>LEFT(Table1[[#This Row],[EPI_DGN_ANTIC]],3)</f>
        <v>#VALUE!</v>
      </c>
      <c r="D1467" s="10" t="s">
        <v>2701</v>
      </c>
      <c r="E1467" s="10">
        <v>1</v>
      </c>
      <c r="F1467" s="10" t="s">
        <v>2702</v>
      </c>
      <c r="G1467" s="10"/>
      <c r="H1467" s="10"/>
      <c r="I1467" s="7"/>
    </row>
    <row r="1468" spans="1:9" hidden="1">
      <c r="A1468" s="31">
        <f t="shared" si="12"/>
        <v>1466</v>
      </c>
      <c r="B1468" s="10" t="e">
        <f>LEFT(Table1[[#This Row],[EPI_DGN_ANTIC]],1)</f>
        <v>#VALUE!</v>
      </c>
      <c r="C1468" s="10" t="e">
        <f>LEFT(Table1[[#This Row],[EPI_DGN_ANTIC]],3)</f>
        <v>#VALUE!</v>
      </c>
      <c r="D1468" s="10" t="s">
        <v>2703</v>
      </c>
      <c r="E1468" s="10">
        <v>1</v>
      </c>
      <c r="F1468" s="10" t="s">
        <v>2704</v>
      </c>
      <c r="G1468" s="10"/>
      <c r="H1468" s="10"/>
      <c r="I1468" s="7"/>
    </row>
    <row r="1469" spans="1:9" hidden="1">
      <c r="A1469" s="31">
        <f t="shared" si="12"/>
        <v>1467</v>
      </c>
      <c r="B1469" s="10" t="e">
        <f>LEFT(Table1[[#This Row],[EPI_DGN_ANTIC]],1)</f>
        <v>#VALUE!</v>
      </c>
      <c r="C1469" s="10" t="e">
        <f>LEFT(Table1[[#This Row],[EPI_DGN_ANTIC]],3)</f>
        <v>#VALUE!</v>
      </c>
      <c r="D1469" s="10" t="s">
        <v>2705</v>
      </c>
      <c r="E1469" s="10">
        <v>1</v>
      </c>
      <c r="F1469" s="10" t="s">
        <v>2706</v>
      </c>
      <c r="G1469" s="10"/>
      <c r="H1469" s="10"/>
      <c r="I1469" s="7"/>
    </row>
    <row r="1470" spans="1:9" hidden="1">
      <c r="A1470" s="31">
        <f t="shared" si="12"/>
        <v>1468</v>
      </c>
      <c r="B1470" s="10" t="e">
        <f>LEFT(Table1[[#This Row],[EPI_DGN_ANTIC]],1)</f>
        <v>#VALUE!</v>
      </c>
      <c r="C1470" s="10" t="e">
        <f>LEFT(Table1[[#This Row],[EPI_DGN_ANTIC]],3)</f>
        <v>#VALUE!</v>
      </c>
      <c r="D1470" s="10" t="s">
        <v>2707</v>
      </c>
      <c r="E1470" s="10">
        <v>1</v>
      </c>
      <c r="F1470" s="10" t="s">
        <v>2708</v>
      </c>
      <c r="G1470" s="10"/>
      <c r="H1470" s="10"/>
      <c r="I1470" s="7"/>
    </row>
    <row r="1471" spans="1:9" hidden="1">
      <c r="A1471" s="31">
        <f t="shared" si="12"/>
        <v>1469</v>
      </c>
      <c r="B1471" s="10" t="e">
        <f>LEFT(Table1[[#This Row],[EPI_DGN_ANTIC]],1)</f>
        <v>#VALUE!</v>
      </c>
      <c r="C1471" s="10" t="e">
        <f>LEFT(Table1[[#This Row],[EPI_DGN_ANTIC]],3)</f>
        <v>#VALUE!</v>
      </c>
      <c r="D1471" s="10" t="s">
        <v>2709</v>
      </c>
      <c r="E1471" s="10">
        <v>1</v>
      </c>
      <c r="F1471" s="10" t="s">
        <v>2710</v>
      </c>
      <c r="G1471" s="10"/>
      <c r="H1471" s="10"/>
      <c r="I1471" s="7"/>
    </row>
    <row r="1472" spans="1:9" hidden="1">
      <c r="A1472" s="31">
        <f t="shared" si="12"/>
        <v>1470</v>
      </c>
      <c r="B1472" s="10" t="e">
        <f>LEFT(Table1[[#This Row],[EPI_DGN_ANTIC]],1)</f>
        <v>#VALUE!</v>
      </c>
      <c r="C1472" s="10" t="e">
        <f>LEFT(Table1[[#This Row],[EPI_DGN_ANTIC]],3)</f>
        <v>#VALUE!</v>
      </c>
      <c r="D1472" s="10" t="s">
        <v>2711</v>
      </c>
      <c r="E1472" s="10">
        <v>0</v>
      </c>
      <c r="F1472" s="10"/>
      <c r="G1472" s="10"/>
      <c r="H1472" s="10"/>
      <c r="I1472" s="7"/>
    </row>
    <row r="1473" spans="1:9" hidden="1">
      <c r="A1473" s="31">
        <f t="shared" si="12"/>
        <v>1471</v>
      </c>
      <c r="B1473" s="10" t="e">
        <f>LEFT(Table1[[#This Row],[EPI_DGN_ANTIC]],1)</f>
        <v>#VALUE!</v>
      </c>
      <c r="C1473" s="10" t="e">
        <f>LEFT(Table1[[#This Row],[EPI_DGN_ANTIC]],3)</f>
        <v>#VALUE!</v>
      </c>
      <c r="D1473" s="10" t="s">
        <v>2712</v>
      </c>
      <c r="E1473" s="10">
        <v>1</v>
      </c>
      <c r="F1473" s="10" t="s">
        <v>2713</v>
      </c>
      <c r="G1473" s="10"/>
      <c r="H1473" s="10"/>
      <c r="I1473" s="7"/>
    </row>
    <row r="1474" spans="1:9" hidden="1">
      <c r="A1474" s="31">
        <f t="shared" si="12"/>
        <v>1472</v>
      </c>
      <c r="B1474" s="10" t="e">
        <f>LEFT(Table1[[#This Row],[EPI_DGN_ANTIC]],1)</f>
        <v>#VALUE!</v>
      </c>
      <c r="C1474" s="10" t="e">
        <f>LEFT(Table1[[#This Row],[EPI_DGN_ANTIC]],3)</f>
        <v>#VALUE!</v>
      </c>
      <c r="D1474" s="10" t="s">
        <v>2714</v>
      </c>
      <c r="E1474" s="10">
        <v>1</v>
      </c>
      <c r="F1474" s="10" t="s">
        <v>2713</v>
      </c>
      <c r="G1474" s="10"/>
      <c r="H1474" s="10"/>
      <c r="I1474" s="7"/>
    </row>
    <row r="1475" spans="1:9" hidden="1">
      <c r="A1475" s="31">
        <f t="shared" si="12"/>
        <v>1473</v>
      </c>
      <c r="B1475" s="10" t="e">
        <f>LEFT(Table1[[#This Row],[EPI_DGN_ANTIC]],1)</f>
        <v>#VALUE!</v>
      </c>
      <c r="C1475" s="10" t="e">
        <f>LEFT(Table1[[#This Row],[EPI_DGN_ANTIC]],3)</f>
        <v>#VALUE!</v>
      </c>
      <c r="D1475" s="10" t="s">
        <v>2715</v>
      </c>
      <c r="E1475" s="10">
        <v>1</v>
      </c>
      <c r="F1475" s="10" t="s">
        <v>2716</v>
      </c>
      <c r="G1475" s="10"/>
      <c r="H1475" s="10"/>
      <c r="I1475" s="7"/>
    </row>
    <row r="1476" spans="1:9" hidden="1">
      <c r="A1476" s="31">
        <f t="shared" si="12"/>
        <v>1474</v>
      </c>
      <c r="B1476" s="10" t="e">
        <f>LEFT(Table1[[#This Row],[EPI_DGN_ANTIC]],1)</f>
        <v>#VALUE!</v>
      </c>
      <c r="C1476" s="10" t="e">
        <f>LEFT(Table1[[#This Row],[EPI_DGN_ANTIC]],2)</f>
        <v>#VALUE!</v>
      </c>
      <c r="D1476" s="10" t="s">
        <v>2717</v>
      </c>
      <c r="E1476" s="10">
        <v>1</v>
      </c>
      <c r="F1476" s="10" t="s">
        <v>2627</v>
      </c>
      <c r="G1476" s="10"/>
      <c r="H1476" s="10"/>
      <c r="I1476" s="7"/>
    </row>
    <row r="1477" spans="1:9" hidden="1">
      <c r="A1477" s="31">
        <f t="shared" si="12"/>
        <v>1475</v>
      </c>
      <c r="B1477" s="10" t="e">
        <f>LEFT(Table1[[#This Row],[EPI_DGN_ANTIC]],1)</f>
        <v>#VALUE!</v>
      </c>
      <c r="C1477" s="10" t="e">
        <f>LEFT(Table1[[#This Row],[EPI_DGN_ANTIC]],2)</f>
        <v>#VALUE!</v>
      </c>
      <c r="D1477" s="10" t="s">
        <v>2718</v>
      </c>
      <c r="E1477" s="10">
        <v>0</v>
      </c>
      <c r="F1477" s="10"/>
      <c r="G1477" s="10"/>
      <c r="H1477" s="10"/>
      <c r="I1477" s="7"/>
    </row>
    <row r="1478" spans="1:9" hidden="1">
      <c r="A1478" s="31">
        <f t="shared" si="12"/>
        <v>1476</v>
      </c>
      <c r="B1478" s="10" t="e">
        <f>LEFT(Table1[[#This Row],[EPI_DGN_ANTIC]],1)</f>
        <v>#VALUE!</v>
      </c>
      <c r="C1478" s="10" t="e">
        <f>LEFT(Table1[[#This Row],[EPI_DGN_ANTIC]],2)</f>
        <v>#VALUE!</v>
      </c>
      <c r="D1478" s="10" t="s">
        <v>2719</v>
      </c>
      <c r="E1478" s="10">
        <v>1</v>
      </c>
      <c r="F1478" s="10" t="s">
        <v>2720</v>
      </c>
      <c r="G1478" s="10"/>
      <c r="H1478" s="10"/>
      <c r="I1478" s="7"/>
    </row>
    <row r="1479" spans="1:9" hidden="1">
      <c r="A1479" s="31">
        <f t="shared" si="12"/>
        <v>1477</v>
      </c>
      <c r="B1479" s="10" t="e">
        <f>LEFT(Table1[[#This Row],[EPI_DGN_ANTIC]],1)</f>
        <v>#VALUE!</v>
      </c>
      <c r="C1479" s="10" t="e">
        <f>LEFT(Table1[[#This Row],[EPI_DGN_ANTIC]],3)</f>
        <v>#VALUE!</v>
      </c>
      <c r="D1479" s="10" t="s">
        <v>2721</v>
      </c>
      <c r="E1479" s="10">
        <v>1</v>
      </c>
      <c r="F1479" s="10" t="s">
        <v>2722</v>
      </c>
      <c r="G1479" s="10"/>
      <c r="H1479" s="10"/>
      <c r="I1479" s="7"/>
    </row>
    <row r="1480" spans="1:9" hidden="1">
      <c r="A1480" s="31">
        <f t="shared" si="12"/>
        <v>1478</v>
      </c>
      <c r="B1480" s="10" t="e">
        <f>LEFT(Table1[[#This Row],[EPI_DGN_ANTIC]],1)</f>
        <v>#VALUE!</v>
      </c>
      <c r="C1480" s="10" t="e">
        <f>LEFT(Table1[[#This Row],[EPI_DGN_ANTIC]],3)</f>
        <v>#VALUE!</v>
      </c>
      <c r="D1480" s="10" t="s">
        <v>2723</v>
      </c>
      <c r="E1480" s="10">
        <v>1</v>
      </c>
      <c r="F1480" s="10" t="s">
        <v>2724</v>
      </c>
      <c r="G1480" s="10"/>
      <c r="H1480" s="10"/>
      <c r="I1480" s="7"/>
    </row>
    <row r="1481" spans="1:9" hidden="1">
      <c r="A1481" s="31">
        <f t="shared" si="12"/>
        <v>1479</v>
      </c>
      <c r="B1481" s="10" t="e">
        <f>LEFT(Table1[[#This Row],[EPI_DGN_ANTIC]],1)</f>
        <v>#VALUE!</v>
      </c>
      <c r="C1481" s="10" t="e">
        <f>LEFT(Table1[[#This Row],[EPI_DGN_ANTIC]],3)</f>
        <v>#VALUE!</v>
      </c>
      <c r="D1481" s="10" t="s">
        <v>2725</v>
      </c>
      <c r="E1481" s="10">
        <v>1</v>
      </c>
      <c r="F1481" s="10" t="s">
        <v>2716</v>
      </c>
      <c r="G1481" s="10"/>
      <c r="H1481" s="10"/>
      <c r="I1481" s="7"/>
    </row>
    <row r="1482" spans="1:9" hidden="1">
      <c r="A1482" s="31">
        <f t="shared" si="12"/>
        <v>1480</v>
      </c>
      <c r="B1482" s="10" t="e">
        <f>LEFT(Table1[[#This Row],[EPI_DGN_ANTIC]],1)</f>
        <v>#VALUE!</v>
      </c>
      <c r="C1482" s="10" t="e">
        <f>LEFT(Table1[[#This Row],[EPI_DGN_ANTIC]],2)</f>
        <v>#VALUE!</v>
      </c>
      <c r="D1482" s="10" t="s">
        <v>2726</v>
      </c>
      <c r="E1482" s="10">
        <v>1</v>
      </c>
      <c r="F1482" s="10" t="s">
        <v>2727</v>
      </c>
      <c r="G1482" s="10"/>
      <c r="H1482" s="10"/>
      <c r="I1482" s="7"/>
    </row>
    <row r="1483" spans="1:9" hidden="1">
      <c r="A1483" s="31">
        <f t="shared" si="12"/>
        <v>1481</v>
      </c>
      <c r="B1483" s="10" t="e">
        <f>LEFT(Table1[[#This Row],[EPI_DGN_ANTIC]],1)</f>
        <v>#VALUE!</v>
      </c>
      <c r="C1483" s="10" t="e">
        <f>LEFT(Table1[[#This Row],[EPI_DGN_ANTIC]],2)</f>
        <v>#VALUE!</v>
      </c>
      <c r="D1483" s="10" t="s">
        <v>2728</v>
      </c>
      <c r="E1483" s="10">
        <v>1</v>
      </c>
      <c r="F1483" s="10" t="s">
        <v>1973</v>
      </c>
      <c r="G1483" s="10"/>
      <c r="H1483" s="10"/>
      <c r="I1483" s="7"/>
    </row>
    <row r="1484" spans="1:9" hidden="1">
      <c r="A1484" s="31">
        <f t="shared" si="12"/>
        <v>1482</v>
      </c>
      <c r="B1484" s="10" t="e">
        <f>LEFT(Table1[[#This Row],[EPI_DGN_ANTIC]],1)</f>
        <v>#VALUE!</v>
      </c>
      <c r="C1484" s="10" t="e">
        <f>LEFT(Table1[[#This Row],[EPI_DGN_ANTIC]],2)</f>
        <v>#VALUE!</v>
      </c>
      <c r="D1484" s="10" t="s">
        <v>2729</v>
      </c>
      <c r="E1484" s="10">
        <v>1</v>
      </c>
      <c r="F1484" s="10" t="s">
        <v>2730</v>
      </c>
      <c r="G1484" s="10"/>
      <c r="H1484" s="10"/>
      <c r="I1484" s="7"/>
    </row>
    <row r="1485" spans="1:9" hidden="1">
      <c r="A1485" s="31">
        <f t="shared" si="12"/>
        <v>1483</v>
      </c>
      <c r="B1485" s="10" t="e">
        <f>LEFT(Table1[[#This Row],[EPI_DGN_ANTIC]],1)</f>
        <v>#VALUE!</v>
      </c>
      <c r="C1485" s="10" t="e">
        <f>LEFT(Table1[[#This Row],[EPI_DGN_ANTIC]],2)</f>
        <v>#VALUE!</v>
      </c>
      <c r="D1485" s="10" t="s">
        <v>2731</v>
      </c>
      <c r="E1485" s="10">
        <v>1</v>
      </c>
      <c r="F1485" s="10" t="s">
        <v>2732</v>
      </c>
      <c r="G1485" s="10"/>
      <c r="H1485" s="10"/>
      <c r="I1485" s="7"/>
    </row>
    <row r="1486" spans="1:9" hidden="1">
      <c r="A1486" s="31">
        <f t="shared" si="12"/>
        <v>1484</v>
      </c>
      <c r="B1486" s="10" t="e">
        <f>LEFT(Table1[[#This Row],[EPI_DGN_ANTIC]],1)</f>
        <v>#VALUE!</v>
      </c>
      <c r="C1486" s="10" t="e">
        <f>LEFT(Table1[[#This Row],[EPI_DGN_ANTIC]],2)</f>
        <v>#VALUE!</v>
      </c>
      <c r="D1486" s="10" t="s">
        <v>2733</v>
      </c>
      <c r="E1486" s="10">
        <v>1</v>
      </c>
      <c r="F1486" s="10" t="s">
        <v>2732</v>
      </c>
      <c r="G1486" s="10"/>
      <c r="H1486" s="10"/>
      <c r="I1486" s="7"/>
    </row>
    <row r="1487" spans="1:9" hidden="1">
      <c r="A1487" s="31">
        <f t="shared" si="12"/>
        <v>1485</v>
      </c>
      <c r="B1487" s="10" t="e">
        <f>LEFT(Table1[[#This Row],[EPI_DGN_ANTIC]],1)</f>
        <v>#VALUE!</v>
      </c>
      <c r="C1487" s="10" t="e">
        <f>LEFT(Table1[[#This Row],[EPI_DGN_ANTIC]],2)</f>
        <v>#VALUE!</v>
      </c>
      <c r="D1487" s="10" t="s">
        <v>2734</v>
      </c>
      <c r="E1487" s="10">
        <v>1</v>
      </c>
      <c r="F1487" s="10" t="s">
        <v>835</v>
      </c>
      <c r="G1487" s="10"/>
      <c r="H1487" s="10"/>
      <c r="I1487" s="7"/>
    </row>
    <row r="1488" spans="1:9" hidden="1">
      <c r="A1488" s="31">
        <f t="shared" si="12"/>
        <v>1486</v>
      </c>
      <c r="B1488" s="10" t="e">
        <f>LEFT(Table1[[#This Row],[EPI_DGN_ANTIC]],1)</f>
        <v>#VALUE!</v>
      </c>
      <c r="C1488" s="10" t="e">
        <f>LEFT(Table1[[#This Row],[EPI_DGN_ANTIC]],2)</f>
        <v>#VALUE!</v>
      </c>
      <c r="D1488" s="10" t="s">
        <v>2735</v>
      </c>
      <c r="E1488" s="10">
        <v>1</v>
      </c>
      <c r="F1488" s="10" t="s">
        <v>835</v>
      </c>
      <c r="G1488" s="10"/>
      <c r="H1488" s="10"/>
      <c r="I1488" s="7"/>
    </row>
    <row r="1489" spans="1:9" hidden="1">
      <c r="A1489" s="31">
        <f t="shared" si="12"/>
        <v>1487</v>
      </c>
      <c r="B1489" s="10" t="e">
        <f>LEFT(Table1[[#This Row],[EPI_DGN_ANTIC]],1)</f>
        <v>#VALUE!</v>
      </c>
      <c r="C1489" s="10" t="e">
        <f>LEFT(Table1[[#This Row],[EPI_DGN_ANTIC]],3)</f>
        <v>#VALUE!</v>
      </c>
      <c r="D1489" s="10" t="s">
        <v>2711</v>
      </c>
      <c r="E1489" s="10">
        <v>1</v>
      </c>
      <c r="F1489" s="10" t="s">
        <v>2426</v>
      </c>
      <c r="G1489" s="10"/>
      <c r="H1489" s="10"/>
      <c r="I1489" s="7"/>
    </row>
    <row r="1490" spans="1:9" hidden="1">
      <c r="A1490" s="31">
        <f t="shared" si="12"/>
        <v>1488</v>
      </c>
      <c r="B1490" s="10" t="e">
        <f>LEFT(Table1[[#This Row],[EPI_DGN_ANTIC]],1)</f>
        <v>#VALUE!</v>
      </c>
      <c r="C1490" s="10" t="e">
        <f>LEFT(Table1[[#This Row],[EPI_DGN_ANTIC]],3)</f>
        <v>#VALUE!</v>
      </c>
      <c r="D1490" s="10" t="s">
        <v>2736</v>
      </c>
      <c r="E1490" s="10">
        <v>1</v>
      </c>
      <c r="F1490" s="10" t="s">
        <v>2426</v>
      </c>
      <c r="G1490" s="10"/>
      <c r="H1490" s="10"/>
      <c r="I1490" s="7"/>
    </row>
    <row r="1491" spans="1:9" hidden="1">
      <c r="A1491" s="31">
        <f t="shared" si="12"/>
        <v>1489</v>
      </c>
      <c r="B1491" s="10" t="e">
        <f>LEFT(Table1[[#This Row],[EPI_DGN_ANTIC]],1)</f>
        <v>#VALUE!</v>
      </c>
      <c r="C1491" s="10" t="e">
        <f>LEFT(Table1[[#This Row],[EPI_DGN_ANTIC]],3)</f>
        <v>#VALUE!</v>
      </c>
      <c r="D1491" s="10" t="s">
        <v>2737</v>
      </c>
      <c r="E1491" s="10">
        <v>1</v>
      </c>
      <c r="F1491" s="10" t="s">
        <v>2738</v>
      </c>
      <c r="G1491" s="10"/>
      <c r="H1491" s="10"/>
      <c r="I1491" s="7"/>
    </row>
    <row r="1492" spans="1:9" hidden="1">
      <c r="A1492" s="31">
        <f t="shared" si="12"/>
        <v>1490</v>
      </c>
      <c r="B1492" s="10" t="e">
        <f>LEFT(Table1[[#This Row],[EPI_DGN_ANTIC]],1)</f>
        <v>#VALUE!</v>
      </c>
      <c r="C1492" s="10" t="e">
        <f>LEFT(Table1[[#This Row],[EPI_DGN_ANTIC]],3)</f>
        <v>#VALUE!</v>
      </c>
      <c r="D1492" s="10" t="s">
        <v>2739</v>
      </c>
      <c r="E1492" s="10">
        <v>1</v>
      </c>
      <c r="F1492" s="10" t="s">
        <v>2740</v>
      </c>
      <c r="G1492" s="10"/>
      <c r="H1492" s="10"/>
      <c r="I1492" s="7"/>
    </row>
    <row r="1493" spans="1:9" hidden="1">
      <c r="A1493" s="31">
        <f t="shared" si="12"/>
        <v>1491</v>
      </c>
      <c r="B1493" s="10" t="e">
        <f>LEFT(Table1[[#This Row],[EPI_DGN_ANTIC]],1)</f>
        <v>#VALUE!</v>
      </c>
      <c r="C1493" s="10" t="e">
        <f>LEFT(Table1[[#This Row],[EPI_DGN_ANTIC]],3)</f>
        <v>#VALUE!</v>
      </c>
      <c r="D1493" s="10" t="s">
        <v>2741</v>
      </c>
      <c r="E1493" s="10">
        <v>1</v>
      </c>
      <c r="F1493" s="10" t="s">
        <v>2742</v>
      </c>
      <c r="G1493" s="10"/>
      <c r="H1493" s="10"/>
      <c r="I1493" s="7"/>
    </row>
    <row r="1494" spans="1:9" hidden="1">
      <c r="A1494" s="31">
        <f t="shared" si="12"/>
        <v>1492</v>
      </c>
      <c r="B1494" s="10" t="e">
        <f>LEFT(Table1[[#This Row],[EPI_DGN_ANTIC]],1)</f>
        <v>#VALUE!</v>
      </c>
      <c r="C1494" s="10" t="e">
        <f>LEFT(Table1[[#This Row],[EPI_DGN_ANTIC]],2)</f>
        <v>#VALUE!</v>
      </c>
      <c r="D1494" s="10" t="s">
        <v>2743</v>
      </c>
      <c r="E1494" s="10">
        <v>0</v>
      </c>
      <c r="F1494" s="10"/>
      <c r="G1494" s="10"/>
      <c r="H1494" s="10"/>
      <c r="I1494" s="7"/>
    </row>
    <row r="1495" spans="1:9" hidden="1">
      <c r="A1495" s="31">
        <f t="shared" si="12"/>
        <v>1493</v>
      </c>
      <c r="B1495" s="10" t="e">
        <f>LEFT(Table1[[#This Row],[EPI_DGN_ANTIC]],1)</f>
        <v>#VALUE!</v>
      </c>
      <c r="C1495" s="10" t="e">
        <f>LEFT(Table1[[#This Row],[EPI_DGN_ANTIC]],2)</f>
        <v>#VALUE!</v>
      </c>
      <c r="D1495" s="10" t="s">
        <v>2744</v>
      </c>
      <c r="E1495" s="10">
        <v>1</v>
      </c>
      <c r="F1495" s="10" t="s">
        <v>2745</v>
      </c>
      <c r="G1495" s="10"/>
      <c r="H1495" s="10"/>
      <c r="I1495" s="7"/>
    </row>
    <row r="1496" spans="1:9" hidden="1">
      <c r="A1496" s="31">
        <f t="shared" si="12"/>
        <v>1494</v>
      </c>
      <c r="B1496" s="10" t="e">
        <f>LEFT(Table1[[#This Row],[EPI_DGN_ANTIC]],1)</f>
        <v>#VALUE!</v>
      </c>
      <c r="C1496" s="10" t="e">
        <f>LEFT(Table1[[#This Row],[EPI_DGN_ANTIC]],2)</f>
        <v>#VALUE!</v>
      </c>
      <c r="D1496" s="10" t="s">
        <v>2746</v>
      </c>
      <c r="E1496" s="10">
        <v>1</v>
      </c>
      <c r="F1496" s="10" t="s">
        <v>2747</v>
      </c>
      <c r="G1496" s="10"/>
      <c r="H1496" s="10"/>
      <c r="I1496" s="7"/>
    </row>
    <row r="1497" spans="1:9" hidden="1">
      <c r="A1497" s="31">
        <f t="shared" si="12"/>
        <v>1495</v>
      </c>
      <c r="B1497" s="10" t="e">
        <f>LEFT(Table1[[#This Row],[EPI_DGN_ANTIC]],1)</f>
        <v>#VALUE!</v>
      </c>
      <c r="C1497" s="10" t="e">
        <f>LEFT(Table1[[#This Row],[EPI_DGN_ANTIC]],2)</f>
        <v>#VALUE!</v>
      </c>
      <c r="D1497" s="10" t="s">
        <v>2380</v>
      </c>
      <c r="E1497" s="10">
        <v>1</v>
      </c>
      <c r="F1497" s="10" t="s">
        <v>2748</v>
      </c>
      <c r="G1497" s="10"/>
      <c r="H1497" s="10"/>
      <c r="I1497" s="7"/>
    </row>
    <row r="1498" spans="1:9" hidden="1">
      <c r="A1498" s="31">
        <f t="shared" si="12"/>
        <v>1496</v>
      </c>
      <c r="B1498" s="10" t="e">
        <f>LEFT(Table1[[#This Row],[EPI_DGN_ANTIC]],1)</f>
        <v>#VALUE!</v>
      </c>
      <c r="C1498" s="10" t="e">
        <f>LEFT(Table1[[#This Row],[EPI_DGN_ANTIC]],2)</f>
        <v>#VALUE!</v>
      </c>
      <c r="D1498" s="10" t="s">
        <v>2749</v>
      </c>
      <c r="E1498" s="10">
        <v>1</v>
      </c>
      <c r="F1498" s="10" t="s">
        <v>2750</v>
      </c>
      <c r="G1498" s="10"/>
      <c r="H1498" s="10"/>
      <c r="I1498" s="7"/>
    </row>
    <row r="1499" spans="1:9" hidden="1">
      <c r="A1499" s="31">
        <f t="shared" si="12"/>
        <v>1497</v>
      </c>
      <c r="B1499" s="10" t="e">
        <f>LEFT(Table1[[#This Row],[EPI_DGN_ANTIC]],1)</f>
        <v>#VALUE!</v>
      </c>
      <c r="C1499" s="10" t="e">
        <f>LEFT(Table1[[#This Row],[EPI_DGN_ANTIC]],3)</f>
        <v>#VALUE!</v>
      </c>
      <c r="D1499" s="10" t="s">
        <v>2751</v>
      </c>
      <c r="E1499" s="10">
        <v>1</v>
      </c>
      <c r="F1499" s="10" t="s">
        <v>2752</v>
      </c>
      <c r="G1499" s="10"/>
      <c r="H1499" s="10"/>
      <c r="I1499" s="7"/>
    </row>
    <row r="1500" spans="1:9" hidden="1">
      <c r="A1500" s="31">
        <f t="shared" si="12"/>
        <v>1498</v>
      </c>
      <c r="B1500" s="10" t="e">
        <f>LEFT(Table1[[#This Row],[EPI_DGN_ANTIC]],1)</f>
        <v>#VALUE!</v>
      </c>
      <c r="C1500" s="10" t="e">
        <f>LEFT(Table1[[#This Row],[EPI_DGN_ANTIC]],3)</f>
        <v>#VALUE!</v>
      </c>
      <c r="D1500" s="10" t="s">
        <v>2753</v>
      </c>
      <c r="E1500" s="10">
        <v>1</v>
      </c>
      <c r="F1500" s="10" t="s">
        <v>44</v>
      </c>
      <c r="G1500" s="10"/>
      <c r="H1500" s="10"/>
      <c r="I1500" s="7"/>
    </row>
    <row r="1501" spans="1:9" hidden="1">
      <c r="A1501" s="31">
        <f t="shared" si="12"/>
        <v>1499</v>
      </c>
      <c r="B1501" s="10" t="e">
        <f>LEFT(Table1[[#This Row],[EPI_DGN_ANTIC]],1)</f>
        <v>#VALUE!</v>
      </c>
      <c r="C1501" s="10" t="e">
        <f>LEFT(Table1[[#This Row],[EPI_DGN_ANTIC]],3)</f>
        <v>#VALUE!</v>
      </c>
      <c r="D1501" s="10" t="s">
        <v>2754</v>
      </c>
      <c r="E1501" s="10">
        <v>1</v>
      </c>
      <c r="F1501" s="10" t="s">
        <v>1312</v>
      </c>
      <c r="G1501" s="10"/>
      <c r="H1501" s="10"/>
      <c r="I1501" s="7"/>
    </row>
    <row r="1502" spans="1:9" hidden="1">
      <c r="A1502" s="31">
        <f t="shared" si="12"/>
        <v>1500</v>
      </c>
      <c r="B1502" s="10" t="e">
        <f>LEFT(Table1[[#This Row],[EPI_DGN_ANTIC]],1)</f>
        <v>#VALUE!</v>
      </c>
      <c r="C1502" s="10" t="e">
        <f>LEFT(Table1[[#This Row],[EPI_DGN_ANTIC]],3)</f>
        <v>#VALUE!</v>
      </c>
      <c r="D1502" s="10" t="s">
        <v>2755</v>
      </c>
      <c r="E1502" s="10">
        <v>1</v>
      </c>
      <c r="F1502" s="10" t="s">
        <v>1314</v>
      </c>
      <c r="G1502" s="10"/>
      <c r="H1502" s="10"/>
      <c r="I1502" s="7"/>
    </row>
    <row r="1503" spans="1:9" hidden="1">
      <c r="A1503" s="31">
        <f t="shared" si="12"/>
        <v>1501</v>
      </c>
      <c r="B1503" s="10" t="e">
        <f>LEFT(Table1[[#This Row],[EPI_DGN_ANTIC]],1)</f>
        <v>#VALUE!</v>
      </c>
      <c r="C1503" s="10" t="e">
        <f>LEFT(Table1[[#This Row],[EPI_DGN_ANTIC]],3)</f>
        <v>#VALUE!</v>
      </c>
      <c r="D1503" s="10" t="s">
        <v>2756</v>
      </c>
      <c r="E1503" s="10">
        <v>1</v>
      </c>
      <c r="F1503" s="10" t="s">
        <v>1319</v>
      </c>
      <c r="G1503" s="10"/>
      <c r="H1503" s="10"/>
      <c r="I1503" s="7"/>
    </row>
    <row r="1504" spans="1:9" hidden="1">
      <c r="A1504" s="31">
        <f t="shared" si="12"/>
        <v>1502</v>
      </c>
      <c r="B1504" s="10" t="e">
        <f>LEFT(Table1[[#This Row],[EPI_DGN_ANTIC]],1)</f>
        <v>#VALUE!</v>
      </c>
      <c r="C1504" s="10" t="e">
        <f>LEFT(Table1[[#This Row],[EPI_DGN_ANTIC]],3)</f>
        <v>#VALUE!</v>
      </c>
      <c r="D1504" s="10" t="s">
        <v>2757</v>
      </c>
      <c r="E1504" s="10">
        <v>1</v>
      </c>
      <c r="F1504" s="10" t="s">
        <v>1320</v>
      </c>
      <c r="G1504" s="10"/>
      <c r="H1504" s="10"/>
      <c r="I1504" s="7"/>
    </row>
    <row r="1505" spans="1:9" hidden="1">
      <c r="A1505" s="31">
        <f t="shared" si="12"/>
        <v>1503</v>
      </c>
      <c r="B1505" s="10" t="e">
        <f>LEFT(Table1[[#This Row],[EPI_DGN_ANTIC]],1)</f>
        <v>#VALUE!</v>
      </c>
      <c r="C1505" s="10" t="e">
        <f>LEFT(Table1[[#This Row],[EPI_DGN_ANTIC]],2)</f>
        <v>#VALUE!</v>
      </c>
      <c r="D1505" s="10" t="s">
        <v>2758</v>
      </c>
      <c r="E1505" s="10">
        <v>1</v>
      </c>
      <c r="F1505" s="10" t="s">
        <v>1321</v>
      </c>
      <c r="G1505" s="10"/>
      <c r="H1505" s="10"/>
      <c r="I1505" s="7"/>
    </row>
    <row r="1506" spans="1:9" hidden="1">
      <c r="A1506" s="31">
        <f t="shared" si="12"/>
        <v>1504</v>
      </c>
      <c r="B1506" s="10" t="e">
        <f>LEFT(Table1[[#This Row],[EPI_DGN_ANTIC]],1)</f>
        <v>#VALUE!</v>
      </c>
      <c r="C1506" s="10" t="e">
        <f>LEFT(Table1[[#This Row],[EPI_DGN_ANTIC]],3)</f>
        <v>#VALUE!</v>
      </c>
      <c r="D1506" s="10" t="s">
        <v>2759</v>
      </c>
      <c r="E1506" s="10">
        <v>1</v>
      </c>
      <c r="F1506" s="10" t="s">
        <v>1315</v>
      </c>
      <c r="G1506" s="10"/>
      <c r="H1506" s="10"/>
      <c r="I1506" s="7"/>
    </row>
    <row r="1507" spans="1:9" hidden="1">
      <c r="A1507" s="31">
        <f t="shared" si="12"/>
        <v>1505</v>
      </c>
      <c r="B1507" s="10" t="e">
        <f>LEFT(Table1[[#This Row],[EPI_DGN_ANTIC]],1)</f>
        <v>#VALUE!</v>
      </c>
      <c r="C1507" s="10" t="e">
        <f>LEFT(Table1[[#This Row],[EPI_DGN_ANTIC]],3)</f>
        <v>#VALUE!</v>
      </c>
      <c r="D1507" s="10" t="s">
        <v>2760</v>
      </c>
      <c r="E1507" s="10">
        <v>1</v>
      </c>
      <c r="F1507" s="10" t="s">
        <v>2677</v>
      </c>
      <c r="G1507" s="10"/>
      <c r="H1507" s="10"/>
      <c r="I1507" s="7"/>
    </row>
    <row r="1508" spans="1:9" hidden="1">
      <c r="A1508" s="31">
        <f t="shared" si="12"/>
        <v>1506</v>
      </c>
      <c r="B1508" s="10" t="e">
        <f>LEFT(Table1[[#This Row],[EPI_DGN_ANTIC]],1)</f>
        <v>#VALUE!</v>
      </c>
      <c r="C1508" s="10" t="e">
        <f>LEFT(Table1[[#This Row],[EPI_DGN_ANTIC]],3)</f>
        <v>#VALUE!</v>
      </c>
      <c r="D1508" s="10" t="s">
        <v>2761</v>
      </c>
      <c r="E1508" s="10">
        <v>1</v>
      </c>
      <c r="F1508" s="10" t="s">
        <v>50</v>
      </c>
      <c r="G1508" s="10"/>
      <c r="H1508" s="10"/>
      <c r="I1508" s="7"/>
    </row>
    <row r="1509" spans="1:9" hidden="1">
      <c r="A1509" s="31">
        <f t="shared" si="12"/>
        <v>1507</v>
      </c>
      <c r="B1509" s="10" t="e">
        <f>LEFT(Table1[[#This Row],[EPI_DGN_ANTIC]],1)</f>
        <v>#VALUE!</v>
      </c>
      <c r="C1509" s="10" t="e">
        <f>LEFT(Table1[[#This Row],[EPI_DGN_ANTIC]],3)</f>
        <v>#VALUE!</v>
      </c>
      <c r="D1509" s="10" t="s">
        <v>1873</v>
      </c>
      <c r="E1509" s="10">
        <v>1</v>
      </c>
      <c r="F1509" s="10" t="s">
        <v>1393</v>
      </c>
      <c r="G1509" s="10"/>
      <c r="H1509" s="10"/>
      <c r="I1509" s="7"/>
    </row>
    <row r="1510" spans="1:9" hidden="1">
      <c r="A1510" s="31">
        <f t="shared" si="12"/>
        <v>1508</v>
      </c>
      <c r="B1510" s="10" t="e">
        <f>LEFT(Table1[[#This Row],[EPI_DGN_ANTIC]],1)</f>
        <v>#VALUE!</v>
      </c>
      <c r="C1510" s="10" t="e">
        <f>LEFT(Table1[[#This Row],[EPI_DGN_ANTIC]],3)</f>
        <v>#VALUE!</v>
      </c>
      <c r="D1510" s="10" t="s">
        <v>2762</v>
      </c>
      <c r="E1510" s="10">
        <v>1</v>
      </c>
      <c r="F1510" s="10" t="s">
        <v>1501</v>
      </c>
      <c r="G1510" s="10"/>
      <c r="H1510" s="10"/>
      <c r="I1510" s="7"/>
    </row>
    <row r="1511" spans="1:9" hidden="1">
      <c r="A1511" s="31">
        <f t="shared" si="12"/>
        <v>1509</v>
      </c>
      <c r="B1511" s="10" t="e">
        <f>LEFT(Table1[[#This Row],[EPI_DGN_ANTIC]],1)</f>
        <v>#VALUE!</v>
      </c>
      <c r="C1511" s="10" t="e">
        <f>LEFT(Table1[[#This Row],[EPI_DGN_ANTIC]],2)</f>
        <v>#VALUE!</v>
      </c>
      <c r="D1511" s="10" t="s">
        <v>2763</v>
      </c>
      <c r="E1511" s="10">
        <v>1</v>
      </c>
      <c r="F1511" s="10" t="s">
        <v>2764</v>
      </c>
      <c r="G1511" s="10"/>
      <c r="H1511" s="10"/>
      <c r="I1511" s="7"/>
    </row>
    <row r="1512" spans="1:9" hidden="1">
      <c r="A1512" s="31">
        <f t="shared" si="12"/>
        <v>1510</v>
      </c>
      <c r="B1512" s="10" t="e">
        <f>LEFT(Table1[[#This Row],[EPI_DGN_ANTIC]],1)</f>
        <v>#VALUE!</v>
      </c>
      <c r="C1512" s="10" t="e">
        <f>LEFT(Table1[[#This Row],[EPI_DGN_ANTIC]],2)</f>
        <v>#VALUE!</v>
      </c>
      <c r="D1512" s="10" t="s">
        <v>2765</v>
      </c>
      <c r="E1512" s="10">
        <v>0</v>
      </c>
      <c r="F1512" s="10"/>
      <c r="G1512" s="10"/>
      <c r="H1512" s="10"/>
      <c r="I1512" s="7"/>
    </row>
    <row r="1513" spans="1:9" hidden="1">
      <c r="A1513" s="31">
        <f t="shared" si="12"/>
        <v>1511</v>
      </c>
      <c r="B1513" s="10" t="e">
        <f>LEFT(Table1[[#This Row],[EPI_DGN_ANTIC]],1)</f>
        <v>#VALUE!</v>
      </c>
      <c r="C1513" s="10" t="e">
        <f>LEFT(Table1[[#This Row],[EPI_DGN_ANTIC]],3)</f>
        <v>#VALUE!</v>
      </c>
      <c r="D1513" s="10" t="s">
        <v>2766</v>
      </c>
      <c r="E1513" s="10">
        <v>1</v>
      </c>
      <c r="F1513" s="10" t="s">
        <v>589</v>
      </c>
      <c r="G1513" s="10"/>
      <c r="H1513" s="10"/>
      <c r="I1513" s="7"/>
    </row>
    <row r="1514" spans="1:9" hidden="1">
      <c r="A1514" s="31">
        <f t="shared" si="12"/>
        <v>1512</v>
      </c>
      <c r="B1514" s="10" t="e">
        <f>LEFT(Table1[[#This Row],[EPI_DGN_ANTIC]],1)</f>
        <v>#VALUE!</v>
      </c>
      <c r="C1514" s="10" t="e">
        <f>LEFT(Table1[[#This Row],[EPI_DGN_ANTIC]],3)</f>
        <v>#VALUE!</v>
      </c>
      <c r="D1514" s="10" t="s">
        <v>2675</v>
      </c>
      <c r="E1514" s="10">
        <v>1</v>
      </c>
      <c r="F1514" s="10" t="s">
        <v>2767</v>
      </c>
      <c r="G1514" s="10"/>
      <c r="H1514" s="10"/>
      <c r="I1514" s="7"/>
    </row>
    <row r="1515" spans="1:9" hidden="1">
      <c r="A1515" s="31">
        <f t="shared" si="12"/>
        <v>1513</v>
      </c>
      <c r="B1515" s="10" t="e">
        <f>LEFT(Table1[[#This Row],[EPI_DGN_ANTIC]],1)</f>
        <v>#VALUE!</v>
      </c>
      <c r="C1515" s="10" t="e">
        <f>LEFT(Table1[[#This Row],[EPI_DGN_ANTIC]],3)</f>
        <v>#VALUE!</v>
      </c>
      <c r="D1515" s="10" t="s">
        <v>2768</v>
      </c>
      <c r="E1515" s="10">
        <v>1</v>
      </c>
      <c r="F1515" s="10" t="s">
        <v>2769</v>
      </c>
      <c r="G1515" s="10"/>
      <c r="H1515" s="10"/>
      <c r="I1515" s="7"/>
    </row>
    <row r="1516" spans="1:9" hidden="1">
      <c r="A1516" s="31">
        <f t="shared" si="12"/>
        <v>1514</v>
      </c>
      <c r="B1516" s="10" t="e">
        <f>LEFT(Table1[[#This Row],[EPI_DGN_ANTIC]],1)</f>
        <v>#VALUE!</v>
      </c>
      <c r="C1516" s="10" t="e">
        <f>LEFT(Table1[[#This Row],[EPI_DGN_ANTIC]],2)</f>
        <v>#VALUE!</v>
      </c>
      <c r="D1516" s="10" t="s">
        <v>2770</v>
      </c>
      <c r="E1516" s="10">
        <v>1</v>
      </c>
      <c r="F1516" s="10" t="s">
        <v>2771</v>
      </c>
      <c r="G1516" s="10"/>
      <c r="H1516" s="10"/>
      <c r="I1516" s="7"/>
    </row>
    <row r="1517" spans="1:9" hidden="1">
      <c r="A1517" s="31">
        <f t="shared" si="12"/>
        <v>1515</v>
      </c>
      <c r="B1517" s="10" t="e">
        <f>LEFT(Table1[[#This Row],[EPI_DGN_ANTIC]],1)</f>
        <v>#VALUE!</v>
      </c>
      <c r="C1517" s="10" t="e">
        <f>LEFT(Table1[[#This Row],[EPI_DGN_ANTIC]],2)</f>
        <v>#VALUE!</v>
      </c>
      <c r="D1517" s="10" t="s">
        <v>2772</v>
      </c>
      <c r="E1517" s="10">
        <v>1</v>
      </c>
      <c r="F1517" s="10" t="s">
        <v>1738</v>
      </c>
      <c r="G1517" s="10"/>
      <c r="H1517" s="10"/>
      <c r="I1517" s="7"/>
    </row>
    <row r="1518" spans="1:9" hidden="1">
      <c r="A1518" s="31">
        <f t="shared" si="12"/>
        <v>1516</v>
      </c>
      <c r="B1518" s="10" t="e">
        <f>LEFT(Table1[[#This Row],[EPI_DGN_ANTIC]],1)</f>
        <v>#VALUE!</v>
      </c>
      <c r="C1518" s="10" t="e">
        <f>LEFT(Table1[[#This Row],[EPI_DGN_ANTIC]],3)</f>
        <v>#VALUE!</v>
      </c>
      <c r="D1518" s="10" t="s">
        <v>2773</v>
      </c>
      <c r="E1518" s="10">
        <v>0</v>
      </c>
      <c r="F1518" s="10"/>
      <c r="G1518" s="10"/>
      <c r="H1518" s="10"/>
      <c r="I1518" s="7"/>
    </row>
    <row r="1519" spans="1:9" hidden="1">
      <c r="A1519" s="31">
        <f t="shared" si="12"/>
        <v>1517</v>
      </c>
      <c r="B1519" s="10" t="e">
        <f>LEFT(Table1[[#This Row],[EPI_DGN_ANTIC]],1)</f>
        <v>#VALUE!</v>
      </c>
      <c r="C1519" s="10" t="e">
        <f>LEFT(Table1[[#This Row],[EPI_DGN_ANTIC]],3)</f>
        <v>#VALUE!</v>
      </c>
      <c r="D1519" s="10" t="s">
        <v>2774</v>
      </c>
      <c r="E1519" s="10">
        <v>1</v>
      </c>
      <c r="F1519" s="10" t="s">
        <v>2775</v>
      </c>
      <c r="G1519" s="10"/>
      <c r="H1519" s="10"/>
      <c r="I1519" s="7"/>
    </row>
    <row r="1520" spans="1:9" hidden="1">
      <c r="A1520" s="31">
        <f t="shared" si="12"/>
        <v>1518</v>
      </c>
      <c r="B1520" s="10" t="e">
        <f>LEFT(Table1[[#This Row],[EPI_DGN_ANTIC]],1)</f>
        <v>#VALUE!</v>
      </c>
      <c r="C1520" s="10" t="e">
        <f>LEFT(Table1[[#This Row],[EPI_DGN_ANTIC]],3)</f>
        <v>#VALUE!</v>
      </c>
      <c r="D1520" s="10" t="s">
        <v>2776</v>
      </c>
      <c r="E1520" s="10">
        <v>1</v>
      </c>
      <c r="F1520" s="10" t="s">
        <v>2775</v>
      </c>
      <c r="G1520" s="10"/>
      <c r="H1520" s="10"/>
      <c r="I1520" s="7"/>
    </row>
    <row r="1521" spans="1:9" hidden="1">
      <c r="A1521" s="31">
        <f t="shared" si="12"/>
        <v>1519</v>
      </c>
      <c r="B1521" s="10" t="e">
        <f>LEFT(Table1[[#This Row],[EPI_DGN_ANTIC]],1)</f>
        <v>#VALUE!</v>
      </c>
      <c r="C1521" s="10" t="e">
        <f>LEFT(Table1[[#This Row],[EPI_DGN_ANTIC]],3)</f>
        <v>#VALUE!</v>
      </c>
      <c r="D1521" s="10" t="s">
        <v>2777</v>
      </c>
      <c r="E1521" s="10">
        <v>1</v>
      </c>
      <c r="F1521" s="10" t="s">
        <v>957</v>
      </c>
      <c r="G1521" s="10"/>
      <c r="H1521" s="10"/>
      <c r="I1521" s="7"/>
    </row>
    <row r="1522" spans="1:9" hidden="1">
      <c r="A1522" s="31">
        <f t="shared" si="12"/>
        <v>1520</v>
      </c>
      <c r="B1522" s="10" t="e">
        <f>LEFT(Table1[[#This Row],[EPI_DGN_ANTIC]],1)</f>
        <v>#VALUE!</v>
      </c>
      <c r="C1522" s="10" t="e">
        <f>LEFT(Table1[[#This Row],[EPI_DGN_ANTIC]],3)</f>
        <v>#VALUE!</v>
      </c>
      <c r="D1522" s="10" t="s">
        <v>2778</v>
      </c>
      <c r="E1522" s="10">
        <v>1</v>
      </c>
      <c r="F1522" s="10" t="s">
        <v>2775</v>
      </c>
      <c r="G1522" s="10"/>
      <c r="H1522" s="10"/>
      <c r="I1522" s="7"/>
    </row>
    <row r="1523" spans="1:9" hidden="1">
      <c r="A1523" s="31">
        <f t="shared" si="12"/>
        <v>1521</v>
      </c>
      <c r="B1523" s="10" t="e">
        <f>LEFT(Table1[[#This Row],[EPI_DGN_ANTIC]],1)</f>
        <v>#VALUE!</v>
      </c>
      <c r="C1523" s="10" t="e">
        <f>LEFT(Table1[[#This Row],[EPI_DGN_ANTIC]],3)</f>
        <v>#VALUE!</v>
      </c>
      <c r="D1523" s="10" t="s">
        <v>2779</v>
      </c>
      <c r="E1523" s="10">
        <v>1</v>
      </c>
      <c r="F1523" s="10" t="s">
        <v>2775</v>
      </c>
      <c r="G1523" s="10"/>
      <c r="H1523" s="10"/>
      <c r="I1523" s="7"/>
    </row>
    <row r="1524" spans="1:9" hidden="1">
      <c r="A1524" s="31">
        <f t="shared" si="12"/>
        <v>1522</v>
      </c>
      <c r="B1524" s="10" t="e">
        <f>LEFT(Table1[[#This Row],[EPI_DGN_ANTIC]],1)</f>
        <v>#VALUE!</v>
      </c>
      <c r="C1524" s="10" t="e">
        <f>LEFT(Table1[[#This Row],[EPI_DGN_ANTIC]],3)</f>
        <v>#VALUE!</v>
      </c>
      <c r="D1524" s="10" t="s">
        <v>2780</v>
      </c>
      <c r="E1524" s="10">
        <v>1</v>
      </c>
      <c r="F1524" s="10" t="s">
        <v>1996</v>
      </c>
      <c r="G1524" s="10"/>
      <c r="H1524" s="10"/>
      <c r="I1524" s="7"/>
    </row>
    <row r="1525" spans="1:9" hidden="1">
      <c r="A1525" s="31">
        <f t="shared" si="12"/>
        <v>1523</v>
      </c>
      <c r="B1525" s="10" t="e">
        <f>LEFT(Table1[[#This Row],[EPI_DGN_ANTIC]],1)</f>
        <v>#VALUE!</v>
      </c>
      <c r="C1525" s="10" t="e">
        <f>LEFT(Table1[[#This Row],[EPI_DGN_ANTIC]],3)</f>
        <v>#VALUE!</v>
      </c>
      <c r="D1525" s="10" t="s">
        <v>2781</v>
      </c>
      <c r="E1525" s="10">
        <v>1</v>
      </c>
      <c r="F1525" s="10" t="s">
        <v>2775</v>
      </c>
      <c r="G1525" s="10"/>
      <c r="H1525" s="10"/>
      <c r="I1525" s="7"/>
    </row>
    <row r="1526" spans="1:9" hidden="1">
      <c r="A1526" s="31">
        <f t="shared" si="12"/>
        <v>1524</v>
      </c>
      <c r="B1526" s="10" t="e">
        <f>LEFT(Table1[[#This Row],[EPI_DGN_ANTIC]],1)</f>
        <v>#VALUE!</v>
      </c>
      <c r="C1526" s="10" t="e">
        <f>LEFT(Table1[[#This Row],[EPI_DGN_ANTIC]],3)</f>
        <v>#VALUE!</v>
      </c>
      <c r="D1526" s="10" t="s">
        <v>2782</v>
      </c>
      <c r="E1526" s="10">
        <v>1</v>
      </c>
      <c r="F1526" s="10" t="s">
        <v>2783</v>
      </c>
      <c r="G1526" s="10"/>
      <c r="H1526" s="10"/>
      <c r="I1526" s="7"/>
    </row>
    <row r="1527" spans="1:9" hidden="1">
      <c r="A1527" s="31">
        <f t="shared" ref="A1527:A1577" si="13">A1526+1</f>
        <v>1525</v>
      </c>
      <c r="B1527" s="10" t="e">
        <f>LEFT(Table1[[#This Row],[EPI_DGN_ANTIC]],1)</f>
        <v>#VALUE!</v>
      </c>
      <c r="C1527" s="10" t="e">
        <f>LEFT(Table1[[#This Row],[EPI_DGN_ANTIC]],3)</f>
        <v>#VALUE!</v>
      </c>
      <c r="D1527" s="10" t="s">
        <v>2784</v>
      </c>
      <c r="E1527" s="10">
        <v>1</v>
      </c>
      <c r="F1527" s="10" t="s">
        <v>2069</v>
      </c>
      <c r="G1527" s="10"/>
      <c r="H1527" s="10"/>
      <c r="I1527" s="7"/>
    </row>
    <row r="1528" spans="1:9" hidden="1">
      <c r="A1528" s="31">
        <f t="shared" si="13"/>
        <v>1526</v>
      </c>
      <c r="B1528" s="10" t="e">
        <f>LEFT(Table1[[#This Row],[EPI_DGN_ANTIC]],1)</f>
        <v>#VALUE!</v>
      </c>
      <c r="C1528" s="10" t="e">
        <f>LEFT(Table1[[#This Row],[EPI_DGN_ANTIC]],3)</f>
        <v>#VALUE!</v>
      </c>
      <c r="D1528" s="10" t="s">
        <v>2785</v>
      </c>
      <c r="E1528" s="10">
        <v>1</v>
      </c>
      <c r="F1528" s="10" t="s">
        <v>2006</v>
      </c>
      <c r="G1528" s="10"/>
      <c r="H1528" s="10"/>
      <c r="I1528" s="7"/>
    </row>
    <row r="1529" spans="1:9" hidden="1">
      <c r="A1529" s="31">
        <f t="shared" si="13"/>
        <v>1527</v>
      </c>
      <c r="B1529" s="10" t="e">
        <f>LEFT(Table1[[#This Row],[EPI_DGN_ANTIC]],1)</f>
        <v>#VALUE!</v>
      </c>
      <c r="C1529" s="10" t="e">
        <f>LEFT(Table1[[#This Row],[EPI_DGN_ANTIC]],3)</f>
        <v>#VALUE!</v>
      </c>
      <c r="D1529" s="10" t="s">
        <v>2786</v>
      </c>
      <c r="E1529" s="10">
        <v>1</v>
      </c>
      <c r="F1529" s="10" t="s">
        <v>2787</v>
      </c>
      <c r="G1529" s="10"/>
      <c r="H1529" s="10"/>
      <c r="I1529" s="7"/>
    </row>
    <row r="1530" spans="1:9" hidden="1">
      <c r="A1530" s="31">
        <f t="shared" si="13"/>
        <v>1528</v>
      </c>
      <c r="B1530" s="10" t="e">
        <f>LEFT(Table1[[#This Row],[EPI_DGN_ANTIC]],1)</f>
        <v>#VALUE!</v>
      </c>
      <c r="C1530" s="10" t="e">
        <f>LEFT(Table1[[#This Row],[EPI_DGN_ANTIC]],3)</f>
        <v>#VALUE!</v>
      </c>
      <c r="D1530" s="10" t="s">
        <v>2788</v>
      </c>
      <c r="E1530" s="10">
        <v>1</v>
      </c>
      <c r="F1530" s="10" t="s">
        <v>1738</v>
      </c>
      <c r="G1530" s="10"/>
      <c r="H1530" s="10"/>
      <c r="I1530" s="7"/>
    </row>
    <row r="1531" spans="1:9" hidden="1">
      <c r="A1531" s="31">
        <f t="shared" si="13"/>
        <v>1529</v>
      </c>
      <c r="B1531" s="10" t="e">
        <f>LEFT(Table1[[#This Row],[EPI_DGN_ANTIC]],1)</f>
        <v>#VALUE!</v>
      </c>
      <c r="C1531" s="10" t="e">
        <f>LEFT(Table1[[#This Row],[EPI_DGN_ANTIC]],3)</f>
        <v>#VALUE!</v>
      </c>
      <c r="D1531" s="10" t="s">
        <v>2789</v>
      </c>
      <c r="E1531" s="10">
        <v>1</v>
      </c>
      <c r="F1531" s="10" t="s">
        <v>2790</v>
      </c>
      <c r="G1531" s="10"/>
      <c r="H1531" s="10"/>
      <c r="I1531" s="7"/>
    </row>
    <row r="1532" spans="1:9" hidden="1">
      <c r="A1532" s="31">
        <f t="shared" si="13"/>
        <v>1530</v>
      </c>
      <c r="B1532" s="10" t="e">
        <f>LEFT(Table1[[#This Row],[EPI_DGN_ANTIC]],1)</f>
        <v>#VALUE!</v>
      </c>
      <c r="C1532" s="10" t="e">
        <f>LEFT(Table1[[#This Row],[EPI_DGN_ANTIC]],3)</f>
        <v>#VALUE!</v>
      </c>
      <c r="D1532" s="10" t="s">
        <v>2791</v>
      </c>
      <c r="E1532" s="10">
        <v>1</v>
      </c>
      <c r="F1532" s="10" t="s">
        <v>2792</v>
      </c>
      <c r="G1532" s="10"/>
      <c r="H1532" s="10"/>
      <c r="I1532" s="7"/>
    </row>
    <row r="1533" spans="1:9" hidden="1">
      <c r="A1533" s="31">
        <f t="shared" si="13"/>
        <v>1531</v>
      </c>
      <c r="B1533" s="10" t="e">
        <f>LEFT(Table1[[#This Row],[EPI_DGN_ANTIC]],1)</f>
        <v>#VALUE!</v>
      </c>
      <c r="C1533" s="10" t="e">
        <f>LEFT(Table1[[#This Row],[EPI_DGN_ANTIC]],3)</f>
        <v>#VALUE!</v>
      </c>
      <c r="D1533" s="10" t="s">
        <v>2793</v>
      </c>
      <c r="E1533" s="10">
        <v>1</v>
      </c>
      <c r="F1533" s="10" t="s">
        <v>2794</v>
      </c>
      <c r="G1533" s="10"/>
      <c r="H1533" s="10"/>
      <c r="I1533" s="7"/>
    </row>
    <row r="1534" spans="1:9" hidden="1">
      <c r="A1534" s="31">
        <f t="shared" si="13"/>
        <v>1532</v>
      </c>
      <c r="B1534" s="10" t="e">
        <f>LEFT(Table1[[#This Row],[EPI_DGN_ANTIC]],1)</f>
        <v>#VALUE!</v>
      </c>
      <c r="C1534" s="10" t="e">
        <f>LEFT(Table1[[#This Row],[EPI_DGN_ANTIC]],3)</f>
        <v>#VALUE!</v>
      </c>
      <c r="D1534" s="10" t="s">
        <v>2795</v>
      </c>
      <c r="E1534" s="10">
        <v>1</v>
      </c>
      <c r="F1534" s="10" t="s">
        <v>2724</v>
      </c>
      <c r="G1534" s="10"/>
      <c r="H1534" s="10"/>
      <c r="I1534" s="7"/>
    </row>
    <row r="1535" spans="1:9" hidden="1">
      <c r="A1535" s="31">
        <f t="shared" si="13"/>
        <v>1533</v>
      </c>
      <c r="B1535" s="10" t="e">
        <f>LEFT(Table1[[#This Row],[EPI_DGN_ANTIC]],1)</f>
        <v>#VALUE!</v>
      </c>
      <c r="C1535" s="10" t="e">
        <f>LEFT(Table1[[#This Row],[EPI_DGN_ANTIC]],3)</f>
        <v>#VALUE!</v>
      </c>
      <c r="D1535" s="10" t="s">
        <v>2796</v>
      </c>
      <c r="E1535" s="10">
        <v>1</v>
      </c>
      <c r="F1535" s="10" t="s">
        <v>2797</v>
      </c>
      <c r="G1535" s="10"/>
      <c r="H1535" s="10"/>
      <c r="I1535" s="7"/>
    </row>
    <row r="1536" spans="1:9" hidden="1">
      <c r="A1536" s="31">
        <f t="shared" si="13"/>
        <v>1534</v>
      </c>
      <c r="B1536" s="10" t="e">
        <f>LEFT(Table1[[#This Row],[EPI_DGN_ANTIC]],1)</f>
        <v>#VALUE!</v>
      </c>
      <c r="C1536" s="10" t="e">
        <f>LEFT(Table1[[#This Row],[EPI_DGN_ANTIC]],3)</f>
        <v>#VALUE!</v>
      </c>
      <c r="D1536" s="10" t="s">
        <v>2798</v>
      </c>
      <c r="E1536" s="10">
        <v>1</v>
      </c>
      <c r="F1536" s="10" t="s">
        <v>1142</v>
      </c>
      <c r="G1536" s="10"/>
      <c r="H1536" s="10"/>
      <c r="I1536" s="7"/>
    </row>
    <row r="1537" spans="1:9" hidden="1">
      <c r="A1537" s="31">
        <f t="shared" si="13"/>
        <v>1535</v>
      </c>
      <c r="B1537" s="10" t="e">
        <f>LEFT(Table1[[#This Row],[EPI_DGN_ANTIC]],1)</f>
        <v>#VALUE!</v>
      </c>
      <c r="C1537" s="10" t="e">
        <f>LEFT(Table1[[#This Row],[EPI_DGN_ANTIC]],3)</f>
        <v>#VALUE!</v>
      </c>
      <c r="D1537" s="10" t="s">
        <v>2799</v>
      </c>
      <c r="E1537" s="10">
        <v>1</v>
      </c>
      <c r="F1537" s="10" t="s">
        <v>2800</v>
      </c>
      <c r="G1537" s="10"/>
      <c r="H1537" s="10"/>
      <c r="I1537" s="7"/>
    </row>
    <row r="1538" spans="1:9" hidden="1">
      <c r="A1538" s="31">
        <f t="shared" si="13"/>
        <v>1536</v>
      </c>
      <c r="B1538" s="10" t="e">
        <f>LEFT(Table1[[#This Row],[EPI_DGN_ANTIC]],1)</f>
        <v>#VALUE!</v>
      </c>
      <c r="C1538" s="10" t="e">
        <f>LEFT(Table1[[#This Row],[EPI_DGN_ANTIC]],3)</f>
        <v>#VALUE!</v>
      </c>
      <c r="D1538" s="10" t="s">
        <v>2801</v>
      </c>
      <c r="E1538" s="10">
        <v>1</v>
      </c>
      <c r="F1538" s="10" t="s">
        <v>2724</v>
      </c>
      <c r="G1538" s="10"/>
      <c r="H1538" s="10"/>
      <c r="I1538" s="7"/>
    </row>
    <row r="1539" spans="1:9" hidden="1">
      <c r="A1539" s="31">
        <f t="shared" si="13"/>
        <v>1537</v>
      </c>
      <c r="B1539" s="10" t="e">
        <f>LEFT(Table1[[#This Row],[EPI_DGN_ANTIC]],1)</f>
        <v>#VALUE!</v>
      </c>
      <c r="C1539" s="10" t="e">
        <f>LEFT(Table1[[#This Row],[EPI_DGN_ANTIC]],3)</f>
        <v>#VALUE!</v>
      </c>
      <c r="D1539" s="10" t="s">
        <v>2802</v>
      </c>
      <c r="E1539" s="10">
        <v>1</v>
      </c>
      <c r="F1539" s="10" t="s">
        <v>474</v>
      </c>
      <c r="G1539" s="10"/>
      <c r="H1539" s="10"/>
      <c r="I1539" s="7"/>
    </row>
    <row r="1540" spans="1:9" hidden="1">
      <c r="A1540" s="31">
        <f t="shared" si="13"/>
        <v>1538</v>
      </c>
      <c r="B1540" s="10" t="e">
        <f>LEFT(Table1[[#This Row],[EPI_DGN_ANTIC]],1)</f>
        <v>#VALUE!</v>
      </c>
      <c r="C1540" s="10" t="e">
        <f>LEFT(Table1[[#This Row],[EPI_DGN_ANTIC]],3)</f>
        <v>#VALUE!</v>
      </c>
      <c r="D1540" s="10" t="s">
        <v>2803</v>
      </c>
      <c r="E1540" s="10">
        <v>1</v>
      </c>
      <c r="F1540" s="10" t="s">
        <v>2804</v>
      </c>
      <c r="G1540" s="10"/>
      <c r="H1540" s="10"/>
      <c r="I1540" s="7"/>
    </row>
    <row r="1541" spans="1:9" hidden="1">
      <c r="A1541" s="31">
        <f t="shared" si="13"/>
        <v>1539</v>
      </c>
      <c r="B1541" s="10" t="e">
        <f>LEFT(Table1[[#This Row],[EPI_DGN_ANTIC]],1)</f>
        <v>#VALUE!</v>
      </c>
      <c r="C1541" s="10" t="e">
        <f>LEFT(Table1[[#This Row],[EPI_DGN_ANTIC]],3)</f>
        <v>#VALUE!</v>
      </c>
      <c r="D1541" s="10" t="s">
        <v>2805</v>
      </c>
      <c r="E1541" s="10">
        <v>1</v>
      </c>
      <c r="F1541" s="10" t="s">
        <v>2806</v>
      </c>
      <c r="G1541" s="10"/>
      <c r="H1541" s="10"/>
      <c r="I1541" s="7"/>
    </row>
    <row r="1542" spans="1:9" hidden="1">
      <c r="A1542" s="31">
        <f t="shared" si="13"/>
        <v>1540</v>
      </c>
      <c r="B1542" s="10" t="e">
        <f>LEFT(Table1[[#This Row],[EPI_DGN_ANTIC]],1)</f>
        <v>#VALUE!</v>
      </c>
      <c r="C1542" s="10" t="e">
        <f>LEFT(Table1[[#This Row],[EPI_DGN_ANTIC]],3)</f>
        <v>#VALUE!</v>
      </c>
      <c r="D1542" s="10" t="s">
        <v>2807</v>
      </c>
      <c r="E1542" s="10">
        <v>1</v>
      </c>
      <c r="F1542" s="10" t="s">
        <v>2775</v>
      </c>
      <c r="G1542" s="10"/>
      <c r="H1542" s="10"/>
      <c r="I1542" s="7"/>
    </row>
    <row r="1543" spans="1:9" hidden="1">
      <c r="A1543" s="31">
        <f t="shared" si="13"/>
        <v>1541</v>
      </c>
      <c r="B1543" s="10" t="e">
        <f>LEFT(Table1[[#This Row],[EPI_DGN_ANTIC]],1)</f>
        <v>#VALUE!</v>
      </c>
      <c r="C1543" s="10" t="e">
        <f>LEFT(Table1[[#This Row],[EPI_DGN_ANTIC]],3)</f>
        <v>#VALUE!</v>
      </c>
      <c r="D1543" s="10" t="s">
        <v>2808</v>
      </c>
      <c r="E1543" s="10">
        <v>1</v>
      </c>
      <c r="F1543" s="10" t="s">
        <v>2809</v>
      </c>
      <c r="G1543" s="10"/>
      <c r="H1543" s="10"/>
      <c r="I1543" s="7"/>
    </row>
    <row r="1544" spans="1:9" hidden="1">
      <c r="A1544" s="31">
        <f t="shared" si="13"/>
        <v>1542</v>
      </c>
      <c r="B1544" s="10" t="e">
        <f>LEFT(Table1[[#This Row],[EPI_DGN_ANTIC]],1)</f>
        <v>#VALUE!</v>
      </c>
      <c r="C1544" s="10" t="e">
        <f>LEFT(Table1[[#This Row],[EPI_DGN_ANTIC]],3)</f>
        <v>#VALUE!</v>
      </c>
      <c r="D1544" s="10" t="s">
        <v>2810</v>
      </c>
      <c r="E1544" s="10">
        <v>1</v>
      </c>
      <c r="F1544" s="10" t="s">
        <v>2811</v>
      </c>
      <c r="G1544" s="10"/>
      <c r="H1544" s="10"/>
      <c r="I1544" s="7"/>
    </row>
    <row r="1545" spans="1:9" hidden="1">
      <c r="A1545" s="31">
        <f t="shared" si="13"/>
        <v>1543</v>
      </c>
      <c r="B1545" s="10" t="e">
        <f>LEFT(Table1[[#This Row],[EPI_DGN_ANTIC]],1)</f>
        <v>#VALUE!</v>
      </c>
      <c r="C1545" s="10" t="e">
        <f>LEFT(Table1[[#This Row],[EPI_DGN_ANTIC]],2)</f>
        <v>#VALUE!</v>
      </c>
      <c r="D1545" s="10" t="s">
        <v>2812</v>
      </c>
      <c r="E1545" s="10">
        <v>1</v>
      </c>
      <c r="F1545" s="10" t="s">
        <v>2813</v>
      </c>
      <c r="G1545" s="10"/>
      <c r="H1545" s="10"/>
      <c r="I1545" s="7"/>
    </row>
    <row r="1546" spans="1:9" hidden="1">
      <c r="A1546" s="31">
        <f t="shared" si="13"/>
        <v>1544</v>
      </c>
      <c r="B1546" s="10" t="e">
        <f>LEFT(Table1[[#This Row],[EPI_DGN_ANTIC]],1)</f>
        <v>#VALUE!</v>
      </c>
      <c r="C1546" s="10" t="e">
        <f>LEFT(Table1[[#This Row],[EPI_DGN_ANTIC]],3)</f>
        <v>#VALUE!</v>
      </c>
      <c r="D1546" s="10" t="s">
        <v>2814</v>
      </c>
      <c r="E1546" s="10">
        <v>1</v>
      </c>
      <c r="F1546" s="10" t="s">
        <v>2815</v>
      </c>
      <c r="G1546" s="10"/>
      <c r="H1546" s="10"/>
      <c r="I1546" s="7"/>
    </row>
    <row r="1547" spans="1:9" hidden="1">
      <c r="A1547" s="31">
        <f t="shared" si="13"/>
        <v>1545</v>
      </c>
      <c r="B1547" s="10" t="s">
        <v>1355</v>
      </c>
      <c r="C1547" s="10" t="e">
        <f>LEFT(Table1[[#This Row],[EPI_DGN_ANTIC]],1)</f>
        <v>#VALUE!</v>
      </c>
      <c r="D1547" s="10" t="s">
        <v>2816</v>
      </c>
      <c r="E1547" s="10">
        <v>0</v>
      </c>
      <c r="F1547" s="10"/>
      <c r="G1547" s="10"/>
      <c r="H1547" s="10"/>
      <c r="I1547" s="7"/>
    </row>
    <row r="1548" spans="1:9" hidden="1">
      <c r="A1548" s="31">
        <f t="shared" si="13"/>
        <v>1546</v>
      </c>
      <c r="B1548" s="10" t="s">
        <v>1355</v>
      </c>
      <c r="C1548" s="10" t="e">
        <f>LEFT(Table1[[#This Row],[EPI_DGN_ANTIC]],1)</f>
        <v>#VALUE!</v>
      </c>
      <c r="D1548" s="10" t="s">
        <v>2817</v>
      </c>
      <c r="E1548" s="10">
        <v>0</v>
      </c>
      <c r="F1548" s="10"/>
      <c r="G1548" s="10"/>
      <c r="H1548" s="10"/>
      <c r="I1548" s="7"/>
    </row>
    <row r="1549" spans="1:9" hidden="1">
      <c r="A1549" s="31">
        <f t="shared" si="13"/>
        <v>1547</v>
      </c>
      <c r="B1549" s="10" t="s">
        <v>1355</v>
      </c>
      <c r="C1549" s="10" t="e">
        <f>LEFT(Table1[[#This Row],[EPI_DGN_ANTIC]],1)</f>
        <v>#VALUE!</v>
      </c>
      <c r="D1549" s="10" t="s">
        <v>2818</v>
      </c>
      <c r="E1549" s="10">
        <v>0</v>
      </c>
      <c r="F1549" s="10"/>
      <c r="G1549" s="10"/>
      <c r="H1549" s="10"/>
      <c r="I1549" s="7"/>
    </row>
    <row r="1550" spans="1:9" hidden="1">
      <c r="A1550" s="31">
        <f t="shared" si="13"/>
        <v>1548</v>
      </c>
      <c r="B1550" s="10" t="s">
        <v>1355</v>
      </c>
      <c r="C1550" s="10" t="e">
        <f>LEFT(Table1[[#This Row],[EPI_DGN_ANTIC]],1)</f>
        <v>#VALUE!</v>
      </c>
      <c r="D1550" s="10" t="s">
        <v>2819</v>
      </c>
      <c r="E1550" s="10">
        <v>0</v>
      </c>
      <c r="F1550" s="10"/>
      <c r="G1550" s="10"/>
      <c r="H1550" s="10"/>
      <c r="I1550" s="7"/>
    </row>
    <row r="1551" spans="1:9" hidden="1">
      <c r="A1551" s="31">
        <f t="shared" si="13"/>
        <v>1549</v>
      </c>
      <c r="B1551" s="10" t="s">
        <v>1355</v>
      </c>
      <c r="C1551" s="10" t="e">
        <f>LEFT(Table1[[#This Row],[EPI_DGN_ANTIC]],1)</f>
        <v>#VALUE!</v>
      </c>
      <c r="D1551" s="10" t="s">
        <v>2820</v>
      </c>
      <c r="E1551" s="10">
        <v>0</v>
      </c>
      <c r="F1551" s="10"/>
      <c r="G1551" s="10"/>
      <c r="H1551" s="10"/>
      <c r="I1551" s="7"/>
    </row>
    <row r="1552" spans="1:9" hidden="1">
      <c r="A1552" s="31">
        <f t="shared" si="13"/>
        <v>1550</v>
      </c>
      <c r="B1552" s="10" t="s">
        <v>1355</v>
      </c>
      <c r="C1552" s="10" t="e">
        <f>LEFT(Table1[[#This Row],[EPI_DGN_ANTIC]],1)</f>
        <v>#VALUE!</v>
      </c>
      <c r="D1552" s="10" t="s">
        <v>2821</v>
      </c>
      <c r="E1552" s="10">
        <v>0</v>
      </c>
      <c r="F1552" s="10"/>
      <c r="G1552" s="10"/>
      <c r="H1552" s="10"/>
      <c r="I1552" s="7"/>
    </row>
    <row r="1553" spans="1:9" hidden="1">
      <c r="A1553" s="31">
        <f t="shared" si="13"/>
        <v>1551</v>
      </c>
      <c r="B1553" s="10" t="s">
        <v>1355</v>
      </c>
      <c r="C1553" s="10" t="e">
        <f>LEFT(Table1[[#This Row],[EPI_DGN_ANTIC]],1)</f>
        <v>#VALUE!</v>
      </c>
      <c r="D1553" s="10" t="s">
        <v>2822</v>
      </c>
      <c r="E1553" s="10">
        <v>0</v>
      </c>
      <c r="F1553" s="10"/>
      <c r="G1553" s="10"/>
      <c r="H1553" s="10"/>
      <c r="I1553" s="7"/>
    </row>
    <row r="1554" spans="1:9" hidden="1">
      <c r="A1554" s="31">
        <f t="shared" si="13"/>
        <v>1552</v>
      </c>
      <c r="B1554" s="10" t="s">
        <v>1355</v>
      </c>
      <c r="C1554" s="10" t="e">
        <f>LEFT(Table1[[#This Row],[EPI_DGN_ANTIC]],1)</f>
        <v>#VALUE!</v>
      </c>
      <c r="D1554" s="10" t="s">
        <v>2823</v>
      </c>
      <c r="E1554" s="10">
        <v>0</v>
      </c>
      <c r="F1554" s="10"/>
      <c r="G1554" s="10"/>
      <c r="H1554" s="10"/>
      <c r="I1554" s="7"/>
    </row>
    <row r="1555" spans="1:9" hidden="1">
      <c r="A1555" s="31">
        <f t="shared" si="13"/>
        <v>1553</v>
      </c>
      <c r="B1555" s="10" t="s">
        <v>1355</v>
      </c>
      <c r="C1555" s="10" t="e">
        <f>LEFT(Table1[[#This Row],[EPI_DGN_ANTIC]],1)</f>
        <v>#VALUE!</v>
      </c>
      <c r="D1555" s="10" t="s">
        <v>2824</v>
      </c>
      <c r="E1555" s="10">
        <v>0</v>
      </c>
      <c r="F1555" s="10"/>
      <c r="G1555" s="10"/>
      <c r="H1555" s="10"/>
      <c r="I1555" s="7"/>
    </row>
    <row r="1556" spans="1:9" hidden="1">
      <c r="A1556" s="31">
        <f t="shared" si="13"/>
        <v>1554</v>
      </c>
      <c r="B1556" s="10" t="s">
        <v>1355</v>
      </c>
      <c r="C1556" s="10" t="e">
        <f>LEFT(Table1[[#This Row],[EPI_DGN_ANTIC]],1)</f>
        <v>#VALUE!</v>
      </c>
      <c r="D1556" s="10" t="s">
        <v>2825</v>
      </c>
      <c r="E1556" s="10">
        <v>0</v>
      </c>
      <c r="F1556" s="10"/>
      <c r="G1556" s="10"/>
      <c r="H1556" s="10"/>
      <c r="I1556" s="7"/>
    </row>
    <row r="1557" spans="1:9" hidden="1">
      <c r="A1557" s="31">
        <f t="shared" si="13"/>
        <v>1555</v>
      </c>
      <c r="B1557" s="10" t="s">
        <v>1355</v>
      </c>
      <c r="C1557" s="10" t="e">
        <f>LEFT(Table1[[#This Row],[EPI_DGN_ANTIC]],1)</f>
        <v>#VALUE!</v>
      </c>
      <c r="D1557" s="10" t="s">
        <v>2826</v>
      </c>
      <c r="E1557" s="10">
        <v>0</v>
      </c>
      <c r="F1557" s="10"/>
      <c r="G1557" s="10"/>
      <c r="H1557" s="10"/>
      <c r="I1557" s="7"/>
    </row>
    <row r="1558" spans="1:9" hidden="1">
      <c r="A1558" s="31">
        <f t="shared" si="13"/>
        <v>1556</v>
      </c>
      <c r="B1558" s="10" t="s">
        <v>1355</v>
      </c>
      <c r="C1558" s="10" t="e">
        <f>LEFT(Table1[[#This Row],[EPI_DGN_ANTIC]],1)</f>
        <v>#VALUE!</v>
      </c>
      <c r="D1558" s="10" t="s">
        <v>2827</v>
      </c>
      <c r="E1558" s="10">
        <v>0</v>
      </c>
      <c r="F1558" s="10"/>
      <c r="G1558" s="10"/>
      <c r="H1558" s="10"/>
      <c r="I1558" s="7"/>
    </row>
    <row r="1559" spans="1:9" hidden="1">
      <c r="A1559" s="31">
        <f t="shared" si="13"/>
        <v>1557</v>
      </c>
      <c r="B1559" s="10" t="s">
        <v>1355</v>
      </c>
      <c r="C1559" s="10" t="e">
        <f>LEFT(Table1[[#This Row],[EPI_DGN_ANTIC]],1)</f>
        <v>#VALUE!</v>
      </c>
      <c r="D1559" s="10" t="s">
        <v>2828</v>
      </c>
      <c r="E1559" s="10">
        <v>0</v>
      </c>
      <c r="F1559" s="10"/>
      <c r="G1559" s="10"/>
      <c r="H1559" s="10"/>
      <c r="I1559" s="7"/>
    </row>
    <row r="1560" spans="1:9" hidden="1">
      <c r="A1560" s="31">
        <f t="shared" si="13"/>
        <v>1558</v>
      </c>
      <c r="B1560" s="10" t="s">
        <v>1355</v>
      </c>
      <c r="C1560" s="10" t="e">
        <f>LEFT(Table1[[#This Row],[EPI_DGN_ANTIC]],1)</f>
        <v>#VALUE!</v>
      </c>
      <c r="D1560" s="10" t="s">
        <v>2829</v>
      </c>
      <c r="E1560" s="10">
        <v>0</v>
      </c>
      <c r="F1560" s="10"/>
      <c r="G1560" s="10"/>
      <c r="H1560" s="10"/>
      <c r="I1560" s="7"/>
    </row>
    <row r="1561" spans="1:9" hidden="1">
      <c r="A1561" s="31">
        <f t="shared" si="13"/>
        <v>1559</v>
      </c>
      <c r="B1561" s="10" t="s">
        <v>1355</v>
      </c>
      <c r="C1561" s="10" t="e">
        <f>LEFT(Table1[[#This Row],[EPI_DGN_ANTIC]],1)</f>
        <v>#VALUE!</v>
      </c>
      <c r="D1561" s="10" t="s">
        <v>2830</v>
      </c>
      <c r="E1561" s="10">
        <v>0</v>
      </c>
      <c r="F1561" s="10"/>
      <c r="G1561" s="10"/>
      <c r="H1561" s="10"/>
      <c r="I1561" s="7"/>
    </row>
    <row r="1562" spans="1:9" hidden="1">
      <c r="A1562" s="31">
        <f t="shared" si="13"/>
        <v>1560</v>
      </c>
      <c r="B1562" s="10" t="s">
        <v>1355</v>
      </c>
      <c r="C1562" s="10" t="e">
        <f>LEFT(Table1[[#This Row],[EPI_DGN_ANTIC]],1)</f>
        <v>#VALUE!</v>
      </c>
      <c r="D1562" s="10" t="s">
        <v>2831</v>
      </c>
      <c r="E1562" s="10">
        <v>0</v>
      </c>
      <c r="F1562" s="10"/>
      <c r="G1562" s="10"/>
      <c r="H1562" s="10"/>
      <c r="I1562" s="7"/>
    </row>
    <row r="1563" spans="1:9" hidden="1">
      <c r="A1563" s="31">
        <f t="shared" si="13"/>
        <v>1561</v>
      </c>
      <c r="B1563" s="10" t="s">
        <v>1355</v>
      </c>
      <c r="C1563" s="10" t="e">
        <f>LEFT(Table1[[#This Row],[EPI_DGN_ANTIC]],1)</f>
        <v>#VALUE!</v>
      </c>
      <c r="D1563" s="10" t="s">
        <v>2832</v>
      </c>
      <c r="E1563" s="10">
        <v>0</v>
      </c>
      <c r="F1563" s="10"/>
      <c r="G1563" s="10"/>
      <c r="H1563" s="10"/>
      <c r="I1563" s="7"/>
    </row>
    <row r="1564" spans="1:9" hidden="1">
      <c r="A1564" s="31">
        <f t="shared" si="13"/>
        <v>1562</v>
      </c>
      <c r="B1564" s="10" t="s">
        <v>1355</v>
      </c>
      <c r="C1564" s="10" t="e">
        <f>LEFT(Table1[[#This Row],[EPI_DGN_ANTIC]],1)</f>
        <v>#VALUE!</v>
      </c>
      <c r="D1564" s="10" t="s">
        <v>2833</v>
      </c>
      <c r="E1564" s="10">
        <v>0</v>
      </c>
      <c r="F1564" s="10"/>
      <c r="G1564" s="10"/>
      <c r="H1564" s="10"/>
      <c r="I1564" s="7"/>
    </row>
    <row r="1565" spans="1:9" hidden="1">
      <c r="A1565" s="31">
        <f t="shared" si="13"/>
        <v>1563</v>
      </c>
      <c r="B1565" s="10" t="s">
        <v>1355</v>
      </c>
      <c r="C1565" s="10" t="e">
        <f>LEFT(Table1[[#This Row],[EPI_DGN_ANTIC]],1)</f>
        <v>#VALUE!</v>
      </c>
      <c r="D1565" s="10" t="s">
        <v>2834</v>
      </c>
      <c r="E1565" s="10">
        <v>0</v>
      </c>
      <c r="F1565" s="10"/>
      <c r="G1565" s="10"/>
      <c r="H1565" s="10"/>
      <c r="I1565" s="7"/>
    </row>
    <row r="1566" spans="1:9" hidden="1">
      <c r="A1566" s="31">
        <f t="shared" si="13"/>
        <v>1564</v>
      </c>
      <c r="B1566" s="10" t="s">
        <v>1355</v>
      </c>
      <c r="C1566" s="10" t="e">
        <f>LEFT(Table1[[#This Row],[EPI_DGN_ANTIC]],1)</f>
        <v>#VALUE!</v>
      </c>
      <c r="D1566" s="10" t="s">
        <v>2835</v>
      </c>
      <c r="E1566" s="10">
        <v>0</v>
      </c>
      <c r="F1566" s="10"/>
      <c r="G1566" s="10"/>
      <c r="H1566" s="10"/>
      <c r="I1566" s="7"/>
    </row>
    <row r="1567" spans="1:9" hidden="1">
      <c r="A1567" s="31">
        <f t="shared" si="13"/>
        <v>1565</v>
      </c>
      <c r="B1567" s="10" t="s">
        <v>1355</v>
      </c>
      <c r="C1567" s="10" t="e">
        <f>LEFT(Table1[[#This Row],[EPI_DGN_ANTIC]],1)</f>
        <v>#VALUE!</v>
      </c>
      <c r="D1567" s="10" t="s">
        <v>2836</v>
      </c>
      <c r="E1567" s="10">
        <v>0</v>
      </c>
      <c r="F1567" s="10"/>
      <c r="G1567" s="10"/>
      <c r="H1567" s="10"/>
      <c r="I1567" s="7"/>
    </row>
    <row r="1568" spans="1:9" hidden="1">
      <c r="A1568" s="31">
        <f t="shared" si="13"/>
        <v>1566</v>
      </c>
      <c r="B1568" s="10" t="s">
        <v>1355</v>
      </c>
      <c r="C1568" s="10" t="e">
        <f>LEFT(Table1[[#This Row],[EPI_DGN_ANTIC]],1)</f>
        <v>#VALUE!</v>
      </c>
      <c r="D1568" s="10" t="s">
        <v>2837</v>
      </c>
      <c r="E1568" s="10">
        <v>0</v>
      </c>
      <c r="F1568" s="10"/>
      <c r="G1568" s="10"/>
      <c r="H1568" s="10"/>
      <c r="I1568" s="7"/>
    </row>
    <row r="1569" spans="1:9" hidden="1">
      <c r="A1569" s="31">
        <f t="shared" si="13"/>
        <v>1567</v>
      </c>
      <c r="B1569" s="10" t="s">
        <v>1355</v>
      </c>
      <c r="C1569" s="10" t="e">
        <f>LEFT(Table1[[#This Row],[EPI_DGN_ANTIC]],1)</f>
        <v>#VALUE!</v>
      </c>
      <c r="D1569" s="10" t="s">
        <v>2838</v>
      </c>
      <c r="E1569" s="10">
        <v>0</v>
      </c>
      <c r="F1569" s="10"/>
      <c r="G1569" s="10"/>
      <c r="H1569" s="10"/>
      <c r="I1569" s="7"/>
    </row>
    <row r="1570" spans="1:9" hidden="1">
      <c r="A1570" s="31">
        <f t="shared" si="13"/>
        <v>1568</v>
      </c>
      <c r="B1570" s="10" t="s">
        <v>1355</v>
      </c>
      <c r="C1570" s="10" t="e">
        <f>LEFT(Table1[[#This Row],[EPI_DGN_ANTIC]],1)</f>
        <v>#VALUE!</v>
      </c>
      <c r="D1570" s="10" t="s">
        <v>2839</v>
      </c>
      <c r="E1570" s="10">
        <v>0</v>
      </c>
      <c r="F1570" s="10"/>
      <c r="G1570" s="10"/>
      <c r="H1570" s="10"/>
      <c r="I1570" s="7"/>
    </row>
    <row r="1571" spans="1:9" hidden="1">
      <c r="A1571" s="31">
        <f t="shared" si="13"/>
        <v>1569</v>
      </c>
      <c r="B1571" s="10" t="s">
        <v>1355</v>
      </c>
      <c r="C1571" s="10" t="e">
        <f>LEFT(Table1[[#This Row],[EPI_DGN_ANTIC]],1)</f>
        <v>#VALUE!</v>
      </c>
      <c r="D1571" s="10" t="s">
        <v>2840</v>
      </c>
      <c r="E1571" s="10">
        <v>0</v>
      </c>
      <c r="F1571" s="10"/>
      <c r="G1571" s="10"/>
      <c r="H1571" s="10"/>
      <c r="I1571" s="7"/>
    </row>
    <row r="1572" spans="1:9" hidden="1">
      <c r="A1572" s="31">
        <f t="shared" si="13"/>
        <v>1570</v>
      </c>
      <c r="B1572" s="10" t="s">
        <v>1355</v>
      </c>
      <c r="C1572" s="10" t="e">
        <f>LEFT(Table1[[#This Row],[EPI_DGN_ANTIC]],1)</f>
        <v>#VALUE!</v>
      </c>
      <c r="D1572" s="10" t="s">
        <v>2841</v>
      </c>
      <c r="E1572" s="10">
        <v>0</v>
      </c>
      <c r="F1572" s="10"/>
      <c r="G1572" s="10"/>
      <c r="H1572" s="10"/>
      <c r="I1572" s="7"/>
    </row>
    <row r="1573" spans="1:9" hidden="1">
      <c r="A1573" s="31">
        <f t="shared" si="13"/>
        <v>1571</v>
      </c>
      <c r="B1573" s="10" t="s">
        <v>1355</v>
      </c>
      <c r="C1573" s="10" t="e">
        <f>LEFT(Table1[[#This Row],[EPI_DGN_ANTIC]],1)</f>
        <v>#VALUE!</v>
      </c>
      <c r="D1573" s="10" t="s">
        <v>2842</v>
      </c>
      <c r="E1573" s="10">
        <v>0</v>
      </c>
      <c r="F1573" s="10"/>
      <c r="G1573" s="10"/>
      <c r="H1573" s="10"/>
      <c r="I1573" s="7"/>
    </row>
    <row r="1574" spans="1:9" hidden="1">
      <c r="A1574" s="31">
        <f t="shared" si="13"/>
        <v>1572</v>
      </c>
      <c r="B1574" s="10" t="s">
        <v>1355</v>
      </c>
      <c r="C1574" s="10" t="e">
        <f>LEFT(Table1[[#This Row],[EPI_DGN_ANTIC]],1)</f>
        <v>#VALUE!</v>
      </c>
      <c r="D1574" s="10" t="s">
        <v>2843</v>
      </c>
      <c r="E1574" s="10">
        <v>0</v>
      </c>
      <c r="F1574" s="10"/>
      <c r="G1574" s="10"/>
      <c r="H1574" s="10"/>
      <c r="I1574" s="7"/>
    </row>
    <row r="1575" spans="1:9" hidden="1">
      <c r="A1575" s="31">
        <f t="shared" si="13"/>
        <v>1573</v>
      </c>
      <c r="B1575" s="10" t="s">
        <v>1355</v>
      </c>
      <c r="C1575" s="10" t="e">
        <f>LEFT(Table1[[#This Row],[EPI_DGN_ANTIC]],1)</f>
        <v>#VALUE!</v>
      </c>
      <c r="D1575" s="10" t="s">
        <v>2844</v>
      </c>
      <c r="E1575" s="10">
        <v>0</v>
      </c>
      <c r="F1575" s="10"/>
      <c r="G1575" s="10"/>
      <c r="H1575" s="10"/>
      <c r="I1575" s="7"/>
    </row>
    <row r="1576" spans="1:9" hidden="1">
      <c r="A1576" s="31">
        <f t="shared" si="13"/>
        <v>1574</v>
      </c>
      <c r="B1576" s="10" t="s">
        <v>1355</v>
      </c>
      <c r="C1576" s="10" t="e">
        <f>LEFT(Table1[[#This Row],[EPI_DGN_ANTIC]],1)</f>
        <v>#VALUE!</v>
      </c>
      <c r="D1576" s="10" t="s">
        <v>2845</v>
      </c>
      <c r="E1576" s="10">
        <v>0</v>
      </c>
      <c r="F1576" s="10"/>
      <c r="G1576" s="10"/>
      <c r="H1576" s="10"/>
      <c r="I1576" s="7"/>
    </row>
    <row r="1577" spans="1:9" hidden="1">
      <c r="A1577" s="31">
        <f t="shared" si="13"/>
        <v>1575</v>
      </c>
      <c r="B1577" s="13" t="s">
        <v>1355</v>
      </c>
      <c r="C1577" s="13" t="e">
        <f>LEFT(Table1[[#This Row],[EPI_DGN_ANTIC]],1)</f>
        <v>#VALUE!</v>
      </c>
      <c r="D1577" s="13" t="s">
        <v>2846</v>
      </c>
      <c r="E1577" s="13">
        <v>0</v>
      </c>
      <c r="F1577" s="13"/>
      <c r="G1577" s="13"/>
      <c r="H1577" s="13"/>
      <c r="I1577" s="14"/>
    </row>
  </sheetData>
  <autoFilter ref="A1:G1577" xr:uid="{E9D2F647-F8F0-4739-9645-3D780B64D468}">
    <filterColumn colId="3">
      <filters>
        <filter val="Gbh"/>
      </filters>
    </filterColumn>
  </autoFilter>
  <conditionalFormatting sqref="E1 B1:C1 E3:E5 E7:E692 C199:C638 J1:J692 C643:C652 B4:B692 C656:C657 C662:C665 C667:C670 C674:C675 C681:C683 C686:C688 C691:C692 C677 C659:C660 C2:C197">
    <cfRule type="containsText" dxfId="12" priority="9" operator="containsText" text="0">
      <formula>NOT(ISERROR(SEARCH("0",B1)))</formula>
    </cfRule>
  </conditionalFormatting>
  <conditionalFormatting sqref="E1 B1:C1 E3:E5 E7:E692 C199:C638 J1:J692 C643:C652 B4:B692 C656:C657 C662:C665 C667:C670 C674:C675 C681:C683 C686:C688 C691:C692 C677 C659:C660 C2:C197">
    <cfRule type="cellIs" dxfId="11" priority="8" operator="equal">
      <formula>1</formula>
    </cfRule>
  </conditionalFormatting>
  <conditionalFormatting sqref="E1 B1:C1 E3:E5 E7:E692 C199:C638 J1:J692 C643:C652 B4:B692 C656:C657 C662:C665 C667:C670 C674:C675 C681:C683 C686:C688 C691:C692 C677 C659:C660 C2:C197">
    <cfRule type="containsText" dxfId="10" priority="7" operator="containsText" text="2">
      <formula>NOT(ISERROR(SEARCH("2",B1)))</formula>
    </cfRule>
  </conditionalFormatting>
  <conditionalFormatting sqref="E2 E6">
    <cfRule type="containsText" dxfId="9" priority="6" operator="containsText" text="0">
      <formula>NOT(ISERROR(SEARCH("0",E2)))</formula>
    </cfRule>
  </conditionalFormatting>
  <conditionalFormatting sqref="E2 E6">
    <cfRule type="cellIs" dxfId="8" priority="5" operator="equal">
      <formula>1</formula>
    </cfRule>
  </conditionalFormatting>
  <conditionalFormatting sqref="E2 E6">
    <cfRule type="containsText" dxfId="7" priority="4" operator="containsText" text="2">
      <formula>NOT(ISERROR(SEARCH("2",E2)))</formula>
    </cfRule>
  </conditionalFormatting>
  <conditionalFormatting sqref="E693:E1577">
    <cfRule type="containsText" dxfId="6" priority="3" operator="containsText" text="0">
      <formula>NOT(ISERROR(SEARCH("0",E693)))</formula>
    </cfRule>
  </conditionalFormatting>
  <conditionalFormatting sqref="E693:E1577">
    <cfRule type="cellIs" dxfId="5" priority="2" operator="equal">
      <formula>1</formula>
    </cfRule>
  </conditionalFormatting>
  <conditionalFormatting sqref="E693:E1577">
    <cfRule type="containsText" dxfId="4" priority="1" operator="containsText" text="2">
      <formula>NOT(ISERROR(SEARCH("2",E693)))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Becari Marcos, Alex</cp:lastModifiedBy>
  <cp:revision/>
  <dcterms:created xsi:type="dcterms:W3CDTF">2024-03-12T16:00:40Z</dcterms:created>
  <dcterms:modified xsi:type="dcterms:W3CDTF">2024-04-17T10:46:52Z</dcterms:modified>
  <cp:category/>
  <cp:contentStatus/>
</cp:coreProperties>
</file>